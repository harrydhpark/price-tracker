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V 유럽영업\15. AX Task\2026 AX 실행과제\Price Tracker\참조\"/>
    </mc:Choice>
  </mc:AlternateContent>
  <xr:revisionPtr revIDLastSave="0" documentId="8_{E3538A43-D504-4A00-BCA4-F0F954B0E044}" xr6:coauthVersionLast="47" xr6:coauthVersionMax="47" xr10:uidLastSave="{00000000-0000-0000-0000-000000000000}"/>
  <bookViews>
    <workbookView xWindow="-120" yWindow="-120" windowWidth="29040" windowHeight="15720" xr2:uid="{7812F0FA-473A-4328-8C3B-2BC553F22324}"/>
  </bookViews>
  <sheets>
    <sheet name="Swiss" sheetId="1" r:id="rId1"/>
  </sheets>
  <definedNames>
    <definedName name="_xlnm._FilterDatabase" localSheetId="0" hidden="1">Swiss!#REF!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N116" i="1" l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B87" i="1"/>
  <c r="EK85" i="1"/>
  <c r="EN78" i="1" s="1"/>
  <c r="EG85" i="1"/>
  <c r="EC85" i="1"/>
  <c r="EK84" i="1"/>
  <c r="EG84" i="1"/>
  <c r="EC84" i="1"/>
  <c r="EK83" i="1"/>
  <c r="EG83" i="1"/>
  <c r="EJ76" i="1" s="1"/>
  <c r="EC83" i="1"/>
  <c r="EF76" i="1" s="1"/>
  <c r="EK82" i="1"/>
  <c r="EG82" i="1"/>
  <c r="EC82" i="1"/>
  <c r="EK81" i="1"/>
  <c r="EG81" i="1"/>
  <c r="EC81" i="1"/>
  <c r="EK80" i="1"/>
  <c r="EN73" i="1" s="1"/>
  <c r="EG80" i="1"/>
  <c r="EJ73" i="1" s="1"/>
  <c r="EC80" i="1"/>
  <c r="EK79" i="1"/>
  <c r="EG79" i="1"/>
  <c r="EC79" i="1"/>
  <c r="EK78" i="1"/>
  <c r="EG78" i="1"/>
  <c r="EJ78" i="1" s="1"/>
  <c r="EF78" i="1"/>
  <c r="EC78" i="1"/>
  <c r="EN77" i="1"/>
  <c r="EK77" i="1"/>
  <c r="EJ77" i="1"/>
  <c r="EG77" i="1"/>
  <c r="EC77" i="1"/>
  <c r="EF77" i="1" s="1"/>
  <c r="EN76" i="1"/>
  <c r="EK76" i="1"/>
  <c r="EG76" i="1"/>
  <c r="EC76" i="1"/>
  <c r="EK75" i="1"/>
  <c r="EN75" i="1" s="1"/>
  <c r="EJ75" i="1"/>
  <c r="EG75" i="1"/>
  <c r="EF75" i="1"/>
  <c r="EC75" i="1"/>
  <c r="EN74" i="1"/>
  <c r="EK74" i="1"/>
  <c r="EG74" i="1"/>
  <c r="EJ74" i="1" s="1"/>
  <c r="EF74" i="1"/>
  <c r="EC74" i="1"/>
  <c r="EK73" i="1"/>
  <c r="EG73" i="1"/>
  <c r="EC73" i="1"/>
  <c r="EF73" i="1" s="1"/>
  <c r="EK71" i="1"/>
  <c r="EG71" i="1"/>
  <c r="EJ52" i="1" s="1"/>
  <c r="EC71" i="1"/>
  <c r="EK70" i="1"/>
  <c r="EG70" i="1"/>
  <c r="EC70" i="1"/>
  <c r="EF51" i="1" s="1"/>
  <c r="EK69" i="1"/>
  <c r="EN50" i="1" s="1"/>
  <c r="EG69" i="1"/>
  <c r="EC69" i="1"/>
  <c r="EK68" i="1"/>
  <c r="EN49" i="1" s="1"/>
  <c r="EG68" i="1"/>
  <c r="EC68" i="1"/>
  <c r="EK66" i="1"/>
  <c r="EN46" i="1" s="1"/>
  <c r="EG66" i="1"/>
  <c r="EC66" i="1"/>
  <c r="EK65" i="1"/>
  <c r="EG65" i="1"/>
  <c r="EJ45" i="1" s="1"/>
  <c r="EC65" i="1"/>
  <c r="EK64" i="1"/>
  <c r="EG64" i="1"/>
  <c r="EC64" i="1"/>
  <c r="EF44" i="1" s="1"/>
  <c r="EK63" i="1"/>
  <c r="EG63" i="1"/>
  <c r="EC63" i="1"/>
  <c r="EK62" i="1"/>
  <c r="EN42" i="1" s="1"/>
  <c r="EG62" i="1"/>
  <c r="EC62" i="1"/>
  <c r="EK61" i="1"/>
  <c r="EG61" i="1"/>
  <c r="EJ41" i="1" s="1"/>
  <c r="EC61" i="1"/>
  <c r="EK59" i="1"/>
  <c r="EN59" i="1" s="1"/>
  <c r="EJ59" i="1"/>
  <c r="EG59" i="1"/>
  <c r="EF59" i="1"/>
  <c r="EC59" i="1"/>
  <c r="EN58" i="1"/>
  <c r="EK58" i="1"/>
  <c r="EG58" i="1"/>
  <c r="EJ58" i="1" s="1"/>
  <c r="EF58" i="1"/>
  <c r="EC58" i="1"/>
  <c r="EN57" i="1"/>
  <c r="EK57" i="1"/>
  <c r="EJ57" i="1"/>
  <c r="EG57" i="1"/>
  <c r="EC57" i="1"/>
  <c r="EF57" i="1" s="1"/>
  <c r="EJ56" i="1"/>
  <c r="EG56" i="1"/>
  <c r="EF56" i="1"/>
  <c r="EC56" i="1"/>
  <c r="EN54" i="1"/>
  <c r="EK54" i="1"/>
  <c r="EG54" i="1"/>
  <c r="EJ54" i="1" s="1"/>
  <c r="EF54" i="1"/>
  <c r="EC54" i="1"/>
  <c r="EN53" i="1"/>
  <c r="EK53" i="1"/>
  <c r="EJ53" i="1"/>
  <c r="EG53" i="1"/>
  <c r="EC53" i="1"/>
  <c r="EF53" i="1" s="1"/>
  <c r="EN52" i="1"/>
  <c r="EK52" i="1"/>
  <c r="EG52" i="1"/>
  <c r="EF52" i="1"/>
  <c r="EC52" i="1"/>
  <c r="EK51" i="1"/>
  <c r="EN51" i="1" s="1"/>
  <c r="EJ51" i="1"/>
  <c r="EG51" i="1"/>
  <c r="EC51" i="1"/>
  <c r="EK50" i="1"/>
  <c r="EG50" i="1"/>
  <c r="EJ50" i="1" s="1"/>
  <c r="EF50" i="1"/>
  <c r="EC50" i="1"/>
  <c r="EK49" i="1"/>
  <c r="EJ49" i="1"/>
  <c r="EG49" i="1"/>
  <c r="EC49" i="1"/>
  <c r="EF49" i="1" s="1"/>
  <c r="EG48" i="1"/>
  <c r="EC48" i="1"/>
  <c r="EK46" i="1"/>
  <c r="EJ46" i="1"/>
  <c r="EG46" i="1"/>
  <c r="EC46" i="1"/>
  <c r="EF46" i="1" s="1"/>
  <c r="EN45" i="1"/>
  <c r="EK45" i="1"/>
  <c r="EG45" i="1"/>
  <c r="EF45" i="1"/>
  <c r="EC45" i="1"/>
  <c r="EK44" i="1"/>
  <c r="EN44" i="1" s="1"/>
  <c r="EJ44" i="1"/>
  <c r="EG44" i="1"/>
  <c r="EC44" i="1"/>
  <c r="EN43" i="1"/>
  <c r="EK43" i="1"/>
  <c r="EG43" i="1"/>
  <c r="EJ43" i="1" s="1"/>
  <c r="EF43" i="1"/>
  <c r="EC43" i="1"/>
  <c r="EK42" i="1"/>
  <c r="EJ42" i="1"/>
  <c r="EG42" i="1"/>
  <c r="EC42" i="1"/>
  <c r="EF42" i="1" s="1"/>
  <c r="EN41" i="1"/>
  <c r="EK41" i="1"/>
  <c r="EG41" i="1"/>
  <c r="EF41" i="1"/>
  <c r="EC41" i="1"/>
  <c r="EK39" i="1"/>
  <c r="EG39" i="1"/>
  <c r="EC39" i="1"/>
  <c r="EF21" i="1" s="1"/>
  <c r="EK38" i="1"/>
  <c r="EG38" i="1"/>
  <c r="EC38" i="1"/>
  <c r="EK37" i="1"/>
  <c r="EN19" i="1" s="1"/>
  <c r="EG37" i="1"/>
  <c r="EC37" i="1"/>
  <c r="EK36" i="1"/>
  <c r="EG36" i="1"/>
  <c r="EJ18" i="1" s="1"/>
  <c r="EC36" i="1"/>
  <c r="EK34" i="1"/>
  <c r="EG34" i="1"/>
  <c r="EC34" i="1"/>
  <c r="EF16" i="1" s="1"/>
  <c r="EK33" i="1"/>
  <c r="EG33" i="1"/>
  <c r="EC33" i="1"/>
  <c r="EK32" i="1"/>
  <c r="EN14" i="1" s="1"/>
  <c r="EG32" i="1"/>
  <c r="EC32" i="1"/>
  <c r="EK31" i="1"/>
  <c r="EG31" i="1"/>
  <c r="EJ13" i="1" s="1"/>
  <c r="EC31" i="1"/>
  <c r="EK30" i="1"/>
  <c r="EG30" i="1"/>
  <c r="EC30" i="1"/>
  <c r="EF12" i="1" s="1"/>
  <c r="EK29" i="1"/>
  <c r="EG29" i="1"/>
  <c r="EC29" i="1"/>
  <c r="EK27" i="1"/>
  <c r="EG27" i="1"/>
  <c r="EC27" i="1"/>
  <c r="EK26" i="1"/>
  <c r="EN7" i="1" s="1"/>
  <c r="EG26" i="1"/>
  <c r="EJ7" i="1" s="1"/>
  <c r="EC26" i="1"/>
  <c r="EK25" i="1"/>
  <c r="EG25" i="1"/>
  <c r="EC25" i="1"/>
  <c r="EK24" i="1"/>
  <c r="EG24" i="1"/>
  <c r="EJ5" i="1" s="1"/>
  <c r="EC24" i="1"/>
  <c r="EN22" i="1"/>
  <c r="EK22" i="1"/>
  <c r="EJ22" i="1"/>
  <c r="EG22" i="1"/>
  <c r="EF22" i="1"/>
  <c r="EC22" i="1"/>
  <c r="EK21" i="1"/>
  <c r="EN21" i="1" s="1"/>
  <c r="EJ21" i="1"/>
  <c r="EG21" i="1"/>
  <c r="EC21" i="1"/>
  <c r="EN20" i="1"/>
  <c r="EK20" i="1"/>
  <c r="EG20" i="1"/>
  <c r="EJ20" i="1" s="1"/>
  <c r="EF20" i="1"/>
  <c r="EC20" i="1"/>
  <c r="EK19" i="1"/>
  <c r="EJ19" i="1"/>
  <c r="EG19" i="1"/>
  <c r="EC19" i="1"/>
  <c r="EF19" i="1" s="1"/>
  <c r="EN18" i="1"/>
  <c r="EK18" i="1"/>
  <c r="EG18" i="1"/>
  <c r="EF18" i="1"/>
  <c r="EC18" i="1"/>
  <c r="EK16" i="1"/>
  <c r="EN16" i="1" s="1"/>
  <c r="EG16" i="1"/>
  <c r="EC16" i="1"/>
  <c r="EK15" i="1"/>
  <c r="EN15" i="1" s="1"/>
  <c r="EG15" i="1"/>
  <c r="EJ15" i="1" s="1"/>
  <c r="EC15" i="1"/>
  <c r="EF15" i="1" s="1"/>
  <c r="EK14" i="1"/>
  <c r="EG14" i="1"/>
  <c r="EJ14" i="1" s="1"/>
  <c r="EC14" i="1"/>
  <c r="EF14" i="1" s="1"/>
  <c r="EK13" i="1"/>
  <c r="EN13" i="1" s="1"/>
  <c r="EG13" i="1"/>
  <c r="EC13" i="1"/>
  <c r="EF13" i="1" s="1"/>
  <c r="EK12" i="1"/>
  <c r="EN12" i="1" s="1"/>
  <c r="EG12" i="1"/>
  <c r="EJ12" i="1" s="1"/>
  <c r="EC12" i="1"/>
  <c r="EK11" i="1"/>
  <c r="EN11" i="1" s="1"/>
  <c r="EG11" i="1"/>
  <c r="EJ11" i="1" s="1"/>
  <c r="EC11" i="1"/>
  <c r="EF11" i="1" s="1"/>
  <c r="EK9" i="1"/>
  <c r="EG9" i="1"/>
  <c r="EC9" i="1"/>
  <c r="EN8" i="1"/>
  <c r="EK8" i="1"/>
  <c r="EG8" i="1"/>
  <c r="EJ8" i="1" s="1"/>
  <c r="EF8" i="1"/>
  <c r="EC8" i="1"/>
  <c r="EK7" i="1"/>
  <c r="EG7" i="1"/>
  <c r="EC7" i="1"/>
  <c r="EF7" i="1" s="1"/>
  <c r="EN6" i="1"/>
  <c r="EK6" i="1"/>
  <c r="EJ6" i="1"/>
  <c r="EG6" i="1"/>
  <c r="EF6" i="1"/>
  <c r="EC6" i="1"/>
  <c r="EK5" i="1"/>
  <c r="EN5" i="1" s="1" a="1"/>
  <c r="EN5" i="1" s="1"/>
  <c r="EG5" i="1"/>
  <c r="EC5" i="1"/>
  <c r="EF5" i="1" s="1"/>
  <c r="EA116" i="1" l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O87" i="1"/>
  <c r="DX85" i="1"/>
  <c r="DT85" i="1"/>
  <c r="DW78" i="1" s="1"/>
  <c r="DP85" i="1"/>
  <c r="DX84" i="1"/>
  <c r="DT84" i="1"/>
  <c r="DP84" i="1"/>
  <c r="DX83" i="1"/>
  <c r="DT83" i="1"/>
  <c r="DP83" i="1"/>
  <c r="DX82" i="1"/>
  <c r="DT82" i="1"/>
  <c r="DP82" i="1"/>
  <c r="DX81" i="1"/>
  <c r="DT81" i="1"/>
  <c r="DW74" i="1" s="1"/>
  <c r="DP81" i="1"/>
  <c r="DX80" i="1"/>
  <c r="DT80" i="1"/>
  <c r="DP80" i="1"/>
  <c r="DS73" i="1" s="1"/>
  <c r="DX79" i="1"/>
  <c r="DT79" i="1"/>
  <c r="DP79" i="1"/>
  <c r="DX78" i="1"/>
  <c r="DT78" i="1"/>
  <c r="DP78" i="1"/>
  <c r="DX77" i="1"/>
  <c r="EA77" i="1" s="1"/>
  <c r="DT77" i="1"/>
  <c r="DW77" i="1" s="1"/>
  <c r="DP77" i="1"/>
  <c r="DS77" i="1" s="1"/>
  <c r="DX76" i="1"/>
  <c r="DT76" i="1"/>
  <c r="DP76" i="1"/>
  <c r="DX75" i="1"/>
  <c r="DT75" i="1"/>
  <c r="DP75" i="1"/>
  <c r="DS75" i="1" s="1"/>
  <c r="DX74" i="1"/>
  <c r="EA74" i="1" s="1"/>
  <c r="DT74" i="1"/>
  <c r="DP74" i="1"/>
  <c r="DX73" i="1"/>
  <c r="DT73" i="1"/>
  <c r="DP73" i="1"/>
  <c r="DX71" i="1"/>
  <c r="DT71" i="1"/>
  <c r="DP71" i="1"/>
  <c r="DX70" i="1"/>
  <c r="DT70" i="1"/>
  <c r="DP70" i="1"/>
  <c r="DS51" i="1" s="1"/>
  <c r="DX69" i="1"/>
  <c r="DT69" i="1"/>
  <c r="DP69" i="1"/>
  <c r="DX68" i="1"/>
  <c r="DT68" i="1"/>
  <c r="DP68" i="1"/>
  <c r="DX66" i="1"/>
  <c r="DT66" i="1"/>
  <c r="DP66" i="1"/>
  <c r="DX65" i="1"/>
  <c r="DT65" i="1"/>
  <c r="DP65" i="1"/>
  <c r="DX64" i="1"/>
  <c r="DT64" i="1"/>
  <c r="DP64" i="1"/>
  <c r="DX63" i="1"/>
  <c r="DT63" i="1"/>
  <c r="DP63" i="1"/>
  <c r="DX62" i="1"/>
  <c r="DT62" i="1"/>
  <c r="DP62" i="1"/>
  <c r="DX61" i="1"/>
  <c r="DT61" i="1"/>
  <c r="DP61" i="1"/>
  <c r="DX59" i="1"/>
  <c r="EA59" i="1" s="1"/>
  <c r="DT59" i="1"/>
  <c r="DW59" i="1" s="1"/>
  <c r="DP59" i="1"/>
  <c r="DS59" i="1" s="1"/>
  <c r="DX58" i="1"/>
  <c r="EA58" i="1" s="1"/>
  <c r="DT58" i="1"/>
  <c r="DW58" i="1" s="1"/>
  <c r="DP58" i="1"/>
  <c r="DS58" i="1" s="1"/>
  <c r="DX57" i="1"/>
  <c r="EA57" i="1" s="1"/>
  <c r="DT57" i="1"/>
  <c r="DW57" i="1" s="1"/>
  <c r="DP57" i="1"/>
  <c r="DS57" i="1" s="1"/>
  <c r="DT56" i="1"/>
  <c r="DW56" i="1" s="1"/>
  <c r="DS56" i="1"/>
  <c r="DP56" i="1"/>
  <c r="DX54" i="1"/>
  <c r="EA54" i="1" s="1"/>
  <c r="DT54" i="1"/>
  <c r="DW54" i="1" s="1"/>
  <c r="DP54" i="1"/>
  <c r="DS54" i="1" s="1"/>
  <c r="EA53" i="1"/>
  <c r="DX53" i="1"/>
  <c r="DT53" i="1"/>
  <c r="DW53" i="1" s="1"/>
  <c r="DP53" i="1"/>
  <c r="DS53" i="1" s="1"/>
  <c r="DX52" i="1"/>
  <c r="EA52" i="1" s="1"/>
  <c r="DT52" i="1"/>
  <c r="DP52" i="1"/>
  <c r="DS52" i="1" s="1"/>
  <c r="DX51" i="1"/>
  <c r="DT51" i="1"/>
  <c r="DW51" i="1" s="1"/>
  <c r="DP51" i="1"/>
  <c r="DX50" i="1"/>
  <c r="DT50" i="1"/>
  <c r="DP50" i="1"/>
  <c r="DX49" i="1"/>
  <c r="DT49" i="1"/>
  <c r="DW49" i="1" s="1"/>
  <c r="DP49" i="1"/>
  <c r="DT48" i="1"/>
  <c r="DP48" i="1"/>
  <c r="DX46" i="1"/>
  <c r="EA46" i="1" s="1"/>
  <c r="DT46" i="1"/>
  <c r="DP46" i="1"/>
  <c r="DX45" i="1"/>
  <c r="DT45" i="1"/>
  <c r="DP45" i="1"/>
  <c r="DX44" i="1"/>
  <c r="DT44" i="1"/>
  <c r="DW44" i="1" s="1"/>
  <c r="DS44" i="1"/>
  <c r="DP44" i="1"/>
  <c r="DX43" i="1"/>
  <c r="EA43" i="1" s="1"/>
  <c r="DT43" i="1"/>
  <c r="DP43" i="1"/>
  <c r="DX42" i="1"/>
  <c r="EA42" i="1" s="1"/>
  <c r="DT42" i="1"/>
  <c r="DW42" i="1" s="1"/>
  <c r="DP42" i="1"/>
  <c r="DX41" i="1"/>
  <c r="EA41" i="1" s="1"/>
  <c r="DT41" i="1"/>
  <c r="DP41" i="1"/>
  <c r="DX39" i="1"/>
  <c r="DT39" i="1"/>
  <c r="DP39" i="1"/>
  <c r="DX38" i="1"/>
  <c r="DT38" i="1"/>
  <c r="DP38" i="1"/>
  <c r="DX37" i="1"/>
  <c r="DT37" i="1"/>
  <c r="DP37" i="1"/>
  <c r="DX36" i="1"/>
  <c r="DT36" i="1"/>
  <c r="DP36" i="1"/>
  <c r="DX34" i="1"/>
  <c r="DT34" i="1"/>
  <c r="DP34" i="1"/>
  <c r="DX33" i="1"/>
  <c r="DT33" i="1"/>
  <c r="DP33" i="1"/>
  <c r="DX32" i="1"/>
  <c r="DT32" i="1"/>
  <c r="DP32" i="1"/>
  <c r="DS14" i="1" s="1"/>
  <c r="DX31" i="1"/>
  <c r="DT31" i="1"/>
  <c r="DP31" i="1"/>
  <c r="DX30" i="1"/>
  <c r="EA12" i="1" s="1"/>
  <c r="DT30" i="1"/>
  <c r="DP30" i="1"/>
  <c r="DX29" i="1"/>
  <c r="EA11" i="1" s="1"/>
  <c r="DT29" i="1"/>
  <c r="DP29" i="1"/>
  <c r="DX27" i="1"/>
  <c r="DT27" i="1"/>
  <c r="DW8" i="1" s="1"/>
  <c r="DP27" i="1"/>
  <c r="DX26" i="1"/>
  <c r="DT26" i="1"/>
  <c r="DP26" i="1"/>
  <c r="DX25" i="1"/>
  <c r="DT25" i="1"/>
  <c r="DP25" i="1"/>
  <c r="DX24" i="1"/>
  <c r="DT24" i="1"/>
  <c r="DP24" i="1"/>
  <c r="DX22" i="1"/>
  <c r="EA22" i="1" s="1"/>
  <c r="DT22" i="1"/>
  <c r="DW22" i="1" s="1"/>
  <c r="DP22" i="1"/>
  <c r="DS22" i="1" s="1"/>
  <c r="DX21" i="1"/>
  <c r="DT21" i="1"/>
  <c r="DP21" i="1"/>
  <c r="DX20" i="1"/>
  <c r="EA20" i="1" s="1"/>
  <c r="DT20" i="1"/>
  <c r="DP20" i="1"/>
  <c r="DS20" i="1" s="1"/>
  <c r="DX19" i="1"/>
  <c r="EA19" i="1" s="1"/>
  <c r="DT19" i="1"/>
  <c r="DW19" i="1" s="1"/>
  <c r="DP19" i="1"/>
  <c r="DX18" i="1"/>
  <c r="DT18" i="1"/>
  <c r="DP18" i="1"/>
  <c r="DX16" i="1"/>
  <c r="DT16" i="1"/>
  <c r="DP16" i="1"/>
  <c r="DS16" i="1" s="1"/>
  <c r="EA15" i="1"/>
  <c r="DX15" i="1"/>
  <c r="DT15" i="1"/>
  <c r="DP15" i="1"/>
  <c r="DX14" i="1"/>
  <c r="DT14" i="1"/>
  <c r="DP14" i="1"/>
  <c r="DX13" i="1"/>
  <c r="EA13" i="1" s="1"/>
  <c r="DT13" i="1"/>
  <c r="DP13" i="1"/>
  <c r="DX12" i="1"/>
  <c r="DT12" i="1"/>
  <c r="DP12" i="1"/>
  <c r="DS12" i="1" s="1"/>
  <c r="DX11" i="1"/>
  <c r="DT11" i="1"/>
  <c r="DP11" i="1"/>
  <c r="DX9" i="1"/>
  <c r="DT9" i="1"/>
  <c r="DP9" i="1"/>
  <c r="DX8" i="1"/>
  <c r="DT8" i="1"/>
  <c r="DP8" i="1"/>
  <c r="DS8" i="1" s="1"/>
  <c r="DX7" i="1"/>
  <c r="DT7" i="1"/>
  <c r="DW7" i="1" s="1"/>
  <c r="DP7" i="1"/>
  <c r="DX6" i="1"/>
  <c r="DT6" i="1"/>
  <c r="DW6" i="1" s="1"/>
  <c r="DP6" i="1"/>
  <c r="DX5" i="1"/>
  <c r="EA5" i="1" s="1" a="1"/>
  <c r="EA5" i="1" s="1"/>
  <c r="DT5" i="1"/>
  <c r="DW5" i="1" s="1"/>
  <c r="DP5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B87" i="1"/>
  <c r="DK85" i="1"/>
  <c r="DG85" i="1"/>
  <c r="DC85" i="1"/>
  <c r="DK84" i="1"/>
  <c r="DG84" i="1"/>
  <c r="DC84" i="1"/>
  <c r="DK83" i="1"/>
  <c r="DN76" i="1" s="1"/>
  <c r="DG83" i="1"/>
  <c r="DC83" i="1"/>
  <c r="DK82" i="1"/>
  <c r="DG82" i="1"/>
  <c r="DC82" i="1"/>
  <c r="DK81" i="1"/>
  <c r="DG81" i="1"/>
  <c r="DC81" i="1"/>
  <c r="DK80" i="1"/>
  <c r="DG80" i="1"/>
  <c r="DC80" i="1"/>
  <c r="DF73" i="1" s="1"/>
  <c r="DK79" i="1"/>
  <c r="DG79" i="1"/>
  <c r="DC79" i="1"/>
  <c r="DK78" i="1"/>
  <c r="DG78" i="1"/>
  <c r="DC78" i="1"/>
  <c r="DK77" i="1"/>
  <c r="DN77" i="1" s="1"/>
  <c r="DG77" i="1"/>
  <c r="DC77" i="1"/>
  <c r="DK76" i="1"/>
  <c r="DG76" i="1"/>
  <c r="DJ76" i="1" s="1"/>
  <c r="DC76" i="1"/>
  <c r="DK75" i="1"/>
  <c r="DG75" i="1"/>
  <c r="DJ75" i="1" s="1"/>
  <c r="DC75" i="1"/>
  <c r="DF75" i="1" s="1"/>
  <c r="DK74" i="1"/>
  <c r="DG74" i="1"/>
  <c r="DC74" i="1"/>
  <c r="DF74" i="1" s="1"/>
  <c r="DK73" i="1"/>
  <c r="DN73" i="1" s="1"/>
  <c r="DG73" i="1"/>
  <c r="DC73" i="1"/>
  <c r="DK71" i="1"/>
  <c r="DG71" i="1"/>
  <c r="DC71" i="1"/>
  <c r="DK70" i="1"/>
  <c r="DG70" i="1"/>
  <c r="DC70" i="1"/>
  <c r="DK69" i="1"/>
  <c r="DG69" i="1"/>
  <c r="DC69" i="1"/>
  <c r="DK68" i="1"/>
  <c r="DG68" i="1"/>
  <c r="DC68" i="1"/>
  <c r="DK66" i="1"/>
  <c r="DG66" i="1"/>
  <c r="DC66" i="1"/>
  <c r="DK65" i="1"/>
  <c r="DG65" i="1"/>
  <c r="DC65" i="1"/>
  <c r="DK64" i="1"/>
  <c r="DG64" i="1"/>
  <c r="DC64" i="1"/>
  <c r="DK63" i="1"/>
  <c r="DG63" i="1"/>
  <c r="DC63" i="1"/>
  <c r="DK62" i="1"/>
  <c r="DG62" i="1"/>
  <c r="DC62" i="1"/>
  <c r="DK61" i="1"/>
  <c r="DG61" i="1"/>
  <c r="DC61" i="1"/>
  <c r="DK59" i="1"/>
  <c r="DN59" i="1" s="1"/>
  <c r="DG59" i="1"/>
  <c r="DJ59" i="1" s="1"/>
  <c r="DC59" i="1"/>
  <c r="DF59" i="1" s="1"/>
  <c r="DK58" i="1"/>
  <c r="DN58" i="1" s="1"/>
  <c r="DG58" i="1"/>
  <c r="DJ58" i="1" s="1"/>
  <c r="DC58" i="1"/>
  <c r="DF58" i="1" s="1"/>
  <c r="DK57" i="1"/>
  <c r="DN57" i="1" s="1"/>
  <c r="DG57" i="1"/>
  <c r="DJ57" i="1" s="1"/>
  <c r="DC57" i="1"/>
  <c r="DF57" i="1" s="1"/>
  <c r="DG56" i="1"/>
  <c r="DJ56" i="1" s="1"/>
  <c r="DF56" i="1"/>
  <c r="DC56" i="1"/>
  <c r="DK54" i="1"/>
  <c r="DN54" i="1" s="1"/>
  <c r="DG54" i="1"/>
  <c r="DJ54" i="1" s="1"/>
  <c r="DC54" i="1"/>
  <c r="DF54" i="1" s="1"/>
  <c r="DK53" i="1"/>
  <c r="DN53" i="1" s="1"/>
  <c r="DG53" i="1"/>
  <c r="DJ53" i="1" s="1"/>
  <c r="DC53" i="1"/>
  <c r="DF53" i="1" s="1"/>
  <c r="DK52" i="1"/>
  <c r="DN52" i="1" s="1"/>
  <c r="DG52" i="1"/>
  <c r="DJ52" i="1" s="1"/>
  <c r="DC52" i="1"/>
  <c r="DK51" i="1"/>
  <c r="DG51" i="1"/>
  <c r="DJ51" i="1" s="1"/>
  <c r="DC51" i="1"/>
  <c r="DF51" i="1" s="1"/>
  <c r="DK50" i="1"/>
  <c r="DG50" i="1"/>
  <c r="DJ50" i="1" s="1"/>
  <c r="DC50" i="1"/>
  <c r="DF50" i="1" s="1"/>
  <c r="DN49" i="1"/>
  <c r="DK49" i="1"/>
  <c r="DG49" i="1"/>
  <c r="DC49" i="1"/>
  <c r="DG48" i="1"/>
  <c r="DC48" i="1"/>
  <c r="DK46" i="1"/>
  <c r="DN46" i="1" s="1"/>
  <c r="DG46" i="1"/>
  <c r="DC46" i="1"/>
  <c r="DK45" i="1"/>
  <c r="DN45" i="1" s="1"/>
  <c r="DG45" i="1"/>
  <c r="DJ45" i="1" s="1"/>
  <c r="DC45" i="1"/>
  <c r="DK44" i="1"/>
  <c r="DG44" i="1"/>
  <c r="DC44" i="1"/>
  <c r="DF44" i="1" s="1"/>
  <c r="DK43" i="1"/>
  <c r="DG43" i="1"/>
  <c r="DC43" i="1"/>
  <c r="DK42" i="1"/>
  <c r="DN42" i="1" s="1"/>
  <c r="DG42" i="1"/>
  <c r="DC42" i="1"/>
  <c r="DK41" i="1"/>
  <c r="DG41" i="1"/>
  <c r="DC41" i="1"/>
  <c r="DF41" i="1" s="1"/>
  <c r="DK39" i="1"/>
  <c r="DG39" i="1"/>
  <c r="DC39" i="1"/>
  <c r="DK38" i="1"/>
  <c r="DG38" i="1"/>
  <c r="DC38" i="1"/>
  <c r="DK37" i="1"/>
  <c r="DG37" i="1"/>
  <c r="DC37" i="1"/>
  <c r="DF19" i="1" s="1"/>
  <c r="DK36" i="1"/>
  <c r="DG36" i="1"/>
  <c r="DC36" i="1"/>
  <c r="DK34" i="1"/>
  <c r="DG34" i="1"/>
  <c r="DC34" i="1"/>
  <c r="DK33" i="1"/>
  <c r="DG33" i="1"/>
  <c r="DC33" i="1"/>
  <c r="DK32" i="1"/>
  <c r="DG32" i="1"/>
  <c r="DJ14" i="1" s="1"/>
  <c r="DC32" i="1"/>
  <c r="DK31" i="1"/>
  <c r="DG31" i="1"/>
  <c r="DC31" i="1"/>
  <c r="DK30" i="1"/>
  <c r="DG30" i="1"/>
  <c r="DC30" i="1"/>
  <c r="DK29" i="1"/>
  <c r="DG29" i="1"/>
  <c r="DC29" i="1"/>
  <c r="DK27" i="1"/>
  <c r="DG27" i="1"/>
  <c r="DC27" i="1"/>
  <c r="DK26" i="1"/>
  <c r="DG26" i="1"/>
  <c r="DC26" i="1"/>
  <c r="DK25" i="1"/>
  <c r="DG25" i="1"/>
  <c r="DC25" i="1"/>
  <c r="DK24" i="1"/>
  <c r="DG24" i="1"/>
  <c r="DC24" i="1"/>
  <c r="DK22" i="1"/>
  <c r="DN22" i="1" s="1"/>
  <c r="DG22" i="1"/>
  <c r="DJ22" i="1" s="1"/>
  <c r="DC22" i="1"/>
  <c r="DF22" i="1" s="1"/>
  <c r="DK21" i="1"/>
  <c r="DG21" i="1"/>
  <c r="DJ21" i="1" s="1"/>
  <c r="DC21" i="1"/>
  <c r="DK20" i="1"/>
  <c r="DN20" i="1" s="1"/>
  <c r="DG20" i="1"/>
  <c r="DC20" i="1"/>
  <c r="DK19" i="1"/>
  <c r="DG19" i="1"/>
  <c r="DJ19" i="1" s="1"/>
  <c r="DC19" i="1"/>
  <c r="DK18" i="1"/>
  <c r="DN18" i="1" s="1"/>
  <c r="DG18" i="1"/>
  <c r="DJ18" i="1" s="1"/>
  <c r="DC18" i="1"/>
  <c r="DK16" i="1"/>
  <c r="DG16" i="1"/>
  <c r="DC16" i="1"/>
  <c r="DF16" i="1" s="1"/>
  <c r="DK15" i="1"/>
  <c r="DJ15" i="1"/>
  <c r="DG15" i="1"/>
  <c r="DC15" i="1"/>
  <c r="DK14" i="1"/>
  <c r="DG14" i="1"/>
  <c r="DC14" i="1"/>
  <c r="DK13" i="1"/>
  <c r="DG13" i="1"/>
  <c r="DC13" i="1"/>
  <c r="DF13" i="1" s="1"/>
  <c r="DK12" i="1"/>
  <c r="DG12" i="1"/>
  <c r="DC12" i="1"/>
  <c r="DK11" i="1"/>
  <c r="DG11" i="1"/>
  <c r="DC11" i="1"/>
  <c r="DF11" i="1" s="1"/>
  <c r="DK9" i="1"/>
  <c r="DG9" i="1"/>
  <c r="DC9" i="1"/>
  <c r="DK8" i="1"/>
  <c r="DG8" i="1"/>
  <c r="DJ8" i="1" s="1"/>
  <c r="DC8" i="1"/>
  <c r="DF8" i="1" s="1"/>
  <c r="DK7" i="1"/>
  <c r="DG7" i="1"/>
  <c r="DC7" i="1"/>
  <c r="DK6" i="1"/>
  <c r="DG6" i="1"/>
  <c r="DF6" i="1"/>
  <c r="DC6" i="1"/>
  <c r="DK5" i="1"/>
  <c r="DN5" i="1" s="1" a="1"/>
  <c r="DN5" i="1" s="1"/>
  <c r="DG5" i="1"/>
  <c r="DJ5" i="1" s="1"/>
  <c r="DC5" i="1"/>
  <c r="DA18" i="1"/>
  <c r="CO116" i="1"/>
  <c r="CO115" i="1"/>
  <c r="CO114" i="1"/>
  <c r="CO113" i="1"/>
  <c r="CO112" i="1"/>
  <c r="CO111" i="1"/>
  <c r="CO110" i="1"/>
  <c r="CO109" i="1"/>
  <c r="CO108" i="1"/>
  <c r="CO107" i="1"/>
  <c r="CO106" i="1"/>
  <c r="CO105" i="1"/>
  <c r="CO104" i="1"/>
  <c r="CO103" i="1"/>
  <c r="CO102" i="1"/>
  <c r="CO101" i="1"/>
  <c r="CO100" i="1"/>
  <c r="CO99" i="1"/>
  <c r="CO98" i="1"/>
  <c r="CO97" i="1"/>
  <c r="CO96" i="1"/>
  <c r="CO95" i="1"/>
  <c r="CO94" i="1"/>
  <c r="CO93" i="1"/>
  <c r="CO92" i="1"/>
  <c r="CO91" i="1"/>
  <c r="CO90" i="1"/>
  <c r="CO89" i="1"/>
  <c r="CO87" i="1"/>
  <c r="CX85" i="1"/>
  <c r="CT85" i="1"/>
  <c r="CP85" i="1"/>
  <c r="CS78" i="1" s="1"/>
  <c r="CX84" i="1"/>
  <c r="CT84" i="1"/>
  <c r="CP84" i="1"/>
  <c r="CX83" i="1"/>
  <c r="CT83" i="1"/>
  <c r="CP83" i="1"/>
  <c r="CX82" i="1"/>
  <c r="CT82" i="1"/>
  <c r="CP82" i="1"/>
  <c r="CX81" i="1"/>
  <c r="CT81" i="1"/>
  <c r="CP81" i="1"/>
  <c r="CX80" i="1"/>
  <c r="DA73" i="1" s="1"/>
  <c r="CT80" i="1"/>
  <c r="CP80" i="1"/>
  <c r="CX79" i="1"/>
  <c r="CT79" i="1"/>
  <c r="CP79" i="1"/>
  <c r="CX78" i="1"/>
  <c r="CT78" i="1"/>
  <c r="CP78" i="1"/>
  <c r="CX77" i="1"/>
  <c r="DA77" i="1" s="1"/>
  <c r="CT77" i="1"/>
  <c r="CW77" i="1" s="1"/>
  <c r="CP77" i="1"/>
  <c r="CX76" i="1"/>
  <c r="DA76" i="1" s="1"/>
  <c r="CT76" i="1"/>
  <c r="CP76" i="1"/>
  <c r="CX75" i="1"/>
  <c r="DA75" i="1" s="1"/>
  <c r="CT75" i="1"/>
  <c r="CP75" i="1"/>
  <c r="CS75" i="1" s="1"/>
  <c r="CX74" i="1"/>
  <c r="DA74" i="1" s="1"/>
  <c r="CT74" i="1"/>
  <c r="CP74" i="1"/>
  <c r="CX73" i="1"/>
  <c r="CT73" i="1"/>
  <c r="CP73" i="1"/>
  <c r="CX71" i="1"/>
  <c r="CT71" i="1"/>
  <c r="CP71" i="1"/>
  <c r="CX70" i="1"/>
  <c r="CT70" i="1"/>
  <c r="CP70" i="1"/>
  <c r="CX69" i="1"/>
  <c r="CT69" i="1"/>
  <c r="CP69" i="1"/>
  <c r="CX68" i="1"/>
  <c r="DA49" i="1" s="1"/>
  <c r="CT68" i="1"/>
  <c r="CP68" i="1"/>
  <c r="CX66" i="1"/>
  <c r="CT66" i="1"/>
  <c r="CP66" i="1"/>
  <c r="CX65" i="1"/>
  <c r="CT65" i="1"/>
  <c r="CP65" i="1"/>
  <c r="CX64" i="1"/>
  <c r="CT64" i="1"/>
  <c r="CP64" i="1"/>
  <c r="CX63" i="1"/>
  <c r="CT63" i="1"/>
  <c r="CP63" i="1"/>
  <c r="CX62" i="1"/>
  <c r="DA42" i="1" s="1"/>
  <c r="CT62" i="1"/>
  <c r="CP62" i="1"/>
  <c r="CX61" i="1"/>
  <c r="CT61" i="1"/>
  <c r="CP61" i="1"/>
  <c r="CX59" i="1"/>
  <c r="DA59" i="1" s="1"/>
  <c r="CT59" i="1"/>
  <c r="CW59" i="1" s="1"/>
  <c r="CS59" i="1"/>
  <c r="CP59" i="1"/>
  <c r="CX58" i="1"/>
  <c r="DA58" i="1" s="1"/>
  <c r="CT58" i="1"/>
  <c r="CW58" i="1" s="1"/>
  <c r="CP58" i="1"/>
  <c r="CS58" i="1" s="1"/>
  <c r="CX57" i="1"/>
  <c r="DA57" i="1" s="1"/>
  <c r="CT57" i="1"/>
  <c r="CW57" i="1" s="1"/>
  <c r="CP57" i="1"/>
  <c r="CS57" i="1" s="1"/>
  <c r="CW56" i="1"/>
  <c r="CT56" i="1"/>
  <c r="CP56" i="1"/>
  <c r="CS56" i="1" s="1"/>
  <c r="CX54" i="1"/>
  <c r="DA54" i="1" s="1"/>
  <c r="CT54" i="1"/>
  <c r="CW54" i="1" s="1"/>
  <c r="CP54" i="1"/>
  <c r="CS54" i="1" s="1"/>
  <c r="DA53" i="1"/>
  <c r="CX53" i="1"/>
  <c r="CT53" i="1"/>
  <c r="CW53" i="1" s="1"/>
  <c r="CP53" i="1"/>
  <c r="CS53" i="1" s="1"/>
  <c r="CX52" i="1"/>
  <c r="DA52" i="1" s="1"/>
  <c r="CT52" i="1"/>
  <c r="CP52" i="1"/>
  <c r="CS52" i="1" s="1"/>
  <c r="CX51" i="1"/>
  <c r="CT51" i="1"/>
  <c r="CW51" i="1" s="1"/>
  <c r="CP51" i="1"/>
  <c r="CS51" i="1" s="1"/>
  <c r="CX50" i="1"/>
  <c r="DA50" i="1" s="1"/>
  <c r="CT50" i="1"/>
  <c r="CW50" i="1" s="1"/>
  <c r="CP50" i="1"/>
  <c r="CX49" i="1"/>
  <c r="CT49" i="1"/>
  <c r="CP49" i="1"/>
  <c r="CT48" i="1"/>
  <c r="CP48" i="1"/>
  <c r="DA46" i="1"/>
  <c r="CX46" i="1"/>
  <c r="CT46" i="1"/>
  <c r="CP46" i="1"/>
  <c r="CX45" i="1"/>
  <c r="DA45" i="1" s="1"/>
  <c r="CT45" i="1"/>
  <c r="CP45" i="1"/>
  <c r="CX44" i="1"/>
  <c r="DA44" i="1" s="1"/>
  <c r="CT44" i="1"/>
  <c r="CP44" i="1"/>
  <c r="CS44" i="1" s="1"/>
  <c r="CX43" i="1"/>
  <c r="DA43" i="1" s="1"/>
  <c r="CT43" i="1"/>
  <c r="CW43" i="1" s="1"/>
  <c r="CP43" i="1"/>
  <c r="CX42" i="1"/>
  <c r="CT42" i="1"/>
  <c r="CP42" i="1"/>
  <c r="CS42" i="1" s="1"/>
  <c r="CX41" i="1"/>
  <c r="CT41" i="1"/>
  <c r="CW41" i="1" s="1"/>
  <c r="CP41" i="1"/>
  <c r="CX39" i="1"/>
  <c r="CT39" i="1"/>
  <c r="CP39" i="1"/>
  <c r="CX38" i="1"/>
  <c r="CT38" i="1"/>
  <c r="CP38" i="1"/>
  <c r="CX37" i="1"/>
  <c r="CT37" i="1"/>
  <c r="CP37" i="1"/>
  <c r="CX36" i="1"/>
  <c r="CT36" i="1"/>
  <c r="CP36" i="1"/>
  <c r="CX34" i="1"/>
  <c r="CT34" i="1"/>
  <c r="CP34" i="1"/>
  <c r="CX33" i="1"/>
  <c r="CT33" i="1"/>
  <c r="CP33" i="1"/>
  <c r="CX32" i="1"/>
  <c r="CT32" i="1"/>
  <c r="CP32" i="1"/>
  <c r="CX31" i="1"/>
  <c r="CT31" i="1"/>
  <c r="CP31" i="1"/>
  <c r="CX30" i="1"/>
  <c r="CT30" i="1"/>
  <c r="CP30" i="1"/>
  <c r="CX29" i="1"/>
  <c r="CT29" i="1"/>
  <c r="CP29" i="1"/>
  <c r="CX27" i="1"/>
  <c r="CT27" i="1"/>
  <c r="CP27" i="1"/>
  <c r="CX26" i="1"/>
  <c r="CT26" i="1"/>
  <c r="CP26" i="1"/>
  <c r="CX25" i="1"/>
  <c r="CT25" i="1"/>
  <c r="CP25" i="1"/>
  <c r="CX24" i="1"/>
  <c r="CT24" i="1"/>
  <c r="CP24" i="1"/>
  <c r="CS5" i="1" s="1"/>
  <c r="CX22" i="1"/>
  <c r="DA22" i="1" s="1"/>
  <c r="CT22" i="1"/>
  <c r="CW22" i="1" s="1"/>
  <c r="CP22" i="1"/>
  <c r="CS22" i="1" s="1"/>
  <c r="CX21" i="1"/>
  <c r="CT21" i="1"/>
  <c r="CP21" i="1"/>
  <c r="CX20" i="1"/>
  <c r="CT20" i="1"/>
  <c r="CW20" i="1" s="1"/>
  <c r="CP20" i="1"/>
  <c r="CX19" i="1"/>
  <c r="DA19" i="1" s="1"/>
  <c r="CT19" i="1"/>
  <c r="CP19" i="1"/>
  <c r="CS19" i="1" s="1"/>
  <c r="CX18" i="1"/>
  <c r="CT18" i="1"/>
  <c r="CP18" i="1"/>
  <c r="CS18" i="1" s="1"/>
  <c r="CX16" i="1"/>
  <c r="CT16" i="1"/>
  <c r="CP16" i="1"/>
  <c r="CX15" i="1"/>
  <c r="DA15" i="1" s="1"/>
  <c r="CT15" i="1"/>
  <c r="CP15" i="1"/>
  <c r="CX14" i="1"/>
  <c r="CT14" i="1"/>
  <c r="CP14" i="1"/>
  <c r="CX13" i="1"/>
  <c r="CT13" i="1"/>
  <c r="CP13" i="1"/>
  <c r="CS13" i="1" s="1"/>
  <c r="CX12" i="1"/>
  <c r="DA12" i="1" s="1"/>
  <c r="CT12" i="1"/>
  <c r="CP12" i="1"/>
  <c r="CX11" i="1"/>
  <c r="CT11" i="1"/>
  <c r="CP11" i="1"/>
  <c r="CX9" i="1"/>
  <c r="CT9" i="1"/>
  <c r="CP9" i="1"/>
  <c r="CX8" i="1"/>
  <c r="CT8" i="1"/>
  <c r="CP8" i="1"/>
  <c r="CX7" i="1"/>
  <c r="CT7" i="1"/>
  <c r="CW7" i="1" s="1"/>
  <c r="CP7" i="1"/>
  <c r="CS7" i="1" s="1"/>
  <c r="CX6" i="1"/>
  <c r="CT6" i="1"/>
  <c r="CP6" i="1"/>
  <c r="CX5" i="1"/>
  <c r="DA5" i="1" s="1" a="1"/>
  <c r="DA5" i="1" s="1"/>
  <c r="CT5" i="1"/>
  <c r="CW5" i="1" s="1"/>
  <c r="CP5" i="1"/>
  <c r="CB116" i="1"/>
  <c r="CB115" i="1"/>
  <c r="CB114" i="1"/>
  <c r="CB113" i="1"/>
  <c r="CB112" i="1"/>
  <c r="CB111" i="1"/>
  <c r="CB110" i="1"/>
  <c r="CB109" i="1"/>
  <c r="CB108" i="1"/>
  <c r="CB107" i="1"/>
  <c r="CB106" i="1"/>
  <c r="CB105" i="1"/>
  <c r="CB104" i="1"/>
  <c r="CB103" i="1"/>
  <c r="CB102" i="1"/>
  <c r="CB101" i="1"/>
  <c r="CB100" i="1"/>
  <c r="CB99" i="1"/>
  <c r="CB98" i="1"/>
  <c r="CB97" i="1"/>
  <c r="CB96" i="1"/>
  <c r="CB95" i="1"/>
  <c r="CB94" i="1"/>
  <c r="CB93" i="1"/>
  <c r="CB92" i="1"/>
  <c r="CB91" i="1"/>
  <c r="CB90" i="1"/>
  <c r="CB89" i="1"/>
  <c r="CB87" i="1"/>
  <c r="CK85" i="1"/>
  <c r="CG85" i="1"/>
  <c r="CC85" i="1"/>
  <c r="CK84" i="1"/>
  <c r="CG84" i="1"/>
  <c r="CC84" i="1"/>
  <c r="CK83" i="1"/>
  <c r="CG83" i="1"/>
  <c r="CC83" i="1"/>
  <c r="CK82" i="1"/>
  <c r="CG82" i="1"/>
  <c r="CC82" i="1"/>
  <c r="CK81" i="1"/>
  <c r="CG81" i="1"/>
  <c r="CC81" i="1"/>
  <c r="CK80" i="1"/>
  <c r="CG80" i="1"/>
  <c r="CC80" i="1"/>
  <c r="CK79" i="1"/>
  <c r="CG79" i="1"/>
  <c r="CC79" i="1"/>
  <c r="CK78" i="1"/>
  <c r="CG78" i="1"/>
  <c r="CC78" i="1"/>
  <c r="CK77" i="1"/>
  <c r="CG77" i="1"/>
  <c r="CC77" i="1"/>
  <c r="CK76" i="1"/>
  <c r="CG76" i="1"/>
  <c r="CC76" i="1"/>
  <c r="CF76" i="1" s="1"/>
  <c r="CK75" i="1"/>
  <c r="CG75" i="1"/>
  <c r="CC75" i="1"/>
  <c r="CK74" i="1"/>
  <c r="CG74" i="1"/>
  <c r="CC74" i="1"/>
  <c r="CK73" i="1"/>
  <c r="CG73" i="1"/>
  <c r="CJ73" i="1" s="1"/>
  <c r="CC73" i="1"/>
  <c r="CK71" i="1"/>
  <c r="CG71" i="1"/>
  <c r="CC71" i="1"/>
  <c r="CK70" i="1"/>
  <c r="CG70" i="1"/>
  <c r="CC70" i="1"/>
  <c r="CK69" i="1"/>
  <c r="CG69" i="1"/>
  <c r="CC69" i="1"/>
  <c r="CK68" i="1"/>
  <c r="CG68" i="1"/>
  <c r="CC68" i="1"/>
  <c r="CK66" i="1"/>
  <c r="CG66" i="1"/>
  <c r="CC66" i="1"/>
  <c r="CK65" i="1"/>
  <c r="CG65" i="1"/>
  <c r="CC65" i="1"/>
  <c r="CK64" i="1"/>
  <c r="CG64" i="1"/>
  <c r="CC64" i="1"/>
  <c r="CK63" i="1"/>
  <c r="CG63" i="1"/>
  <c r="CC63" i="1"/>
  <c r="CK62" i="1"/>
  <c r="CG62" i="1"/>
  <c r="CC62" i="1"/>
  <c r="CK61" i="1"/>
  <c r="CG61" i="1"/>
  <c r="CC61" i="1"/>
  <c r="CK59" i="1"/>
  <c r="CN59" i="1" s="1"/>
  <c r="CG59" i="1"/>
  <c r="CJ59" i="1" s="1"/>
  <c r="CC59" i="1"/>
  <c r="CF59" i="1" s="1"/>
  <c r="CK58" i="1"/>
  <c r="CN58" i="1" s="1"/>
  <c r="CG58" i="1"/>
  <c r="CJ58" i="1" s="1"/>
  <c r="CC58" i="1"/>
  <c r="CF58" i="1" s="1"/>
  <c r="CK57" i="1"/>
  <c r="CN57" i="1" s="1"/>
  <c r="CG57" i="1"/>
  <c r="CJ57" i="1" s="1"/>
  <c r="CC57" i="1"/>
  <c r="CF57" i="1" s="1"/>
  <c r="CG56" i="1"/>
  <c r="CJ56" i="1" s="1"/>
  <c r="CC56" i="1"/>
  <c r="CF56" i="1" s="1"/>
  <c r="CK54" i="1"/>
  <c r="CN54" i="1" s="1"/>
  <c r="CG54" i="1"/>
  <c r="CJ54" i="1" s="1"/>
  <c r="CC54" i="1"/>
  <c r="CF54" i="1" s="1"/>
  <c r="CK53" i="1"/>
  <c r="CN53" i="1" s="1"/>
  <c r="CG53" i="1"/>
  <c r="CJ53" i="1" s="1"/>
  <c r="CC53" i="1"/>
  <c r="CF53" i="1" s="1"/>
  <c r="CK52" i="1"/>
  <c r="CG52" i="1"/>
  <c r="CC52" i="1"/>
  <c r="CK51" i="1"/>
  <c r="CG51" i="1"/>
  <c r="CC51" i="1"/>
  <c r="CK50" i="1"/>
  <c r="CG50" i="1"/>
  <c r="CJ50" i="1" s="1"/>
  <c r="CC50" i="1"/>
  <c r="CK49" i="1"/>
  <c r="CN49" i="1" s="1"/>
  <c r="CG49" i="1"/>
  <c r="CC49" i="1"/>
  <c r="CG48" i="1"/>
  <c r="CC48" i="1"/>
  <c r="CK46" i="1"/>
  <c r="CG46" i="1"/>
  <c r="CC46" i="1"/>
  <c r="CK45" i="1"/>
  <c r="CG45" i="1"/>
  <c r="CC45" i="1"/>
  <c r="CF45" i="1" s="1"/>
  <c r="CK44" i="1"/>
  <c r="CG44" i="1"/>
  <c r="CC44" i="1"/>
  <c r="CK43" i="1"/>
  <c r="CN43" i="1" s="1"/>
  <c r="CG43" i="1"/>
  <c r="CC43" i="1"/>
  <c r="CK42" i="1"/>
  <c r="CG42" i="1"/>
  <c r="CJ42" i="1" s="1"/>
  <c r="CC42" i="1"/>
  <c r="CK41" i="1"/>
  <c r="CG41" i="1"/>
  <c r="CC41" i="1"/>
  <c r="CK39" i="1"/>
  <c r="CG39" i="1"/>
  <c r="CC39" i="1"/>
  <c r="CK38" i="1"/>
  <c r="CG38" i="1"/>
  <c r="CC38" i="1"/>
  <c r="CK37" i="1"/>
  <c r="CG37" i="1"/>
  <c r="CC37" i="1"/>
  <c r="CK36" i="1"/>
  <c r="CG36" i="1"/>
  <c r="CC36" i="1"/>
  <c r="CK34" i="1"/>
  <c r="CG34" i="1"/>
  <c r="CC34" i="1"/>
  <c r="CK33" i="1"/>
  <c r="CG33" i="1"/>
  <c r="CC33" i="1"/>
  <c r="CK32" i="1"/>
  <c r="CG32" i="1"/>
  <c r="CC32" i="1"/>
  <c r="CK31" i="1"/>
  <c r="CG31" i="1"/>
  <c r="CC31" i="1"/>
  <c r="CK30" i="1"/>
  <c r="CG30" i="1"/>
  <c r="CC30" i="1"/>
  <c r="CK29" i="1"/>
  <c r="CG29" i="1"/>
  <c r="CC29" i="1"/>
  <c r="CK27" i="1"/>
  <c r="CG27" i="1"/>
  <c r="CC27" i="1"/>
  <c r="CK26" i="1"/>
  <c r="CG26" i="1"/>
  <c r="CC26" i="1"/>
  <c r="CK25" i="1"/>
  <c r="CG25" i="1"/>
  <c r="CC25" i="1"/>
  <c r="CK24" i="1"/>
  <c r="CG24" i="1"/>
  <c r="CC24" i="1"/>
  <c r="CK22" i="1"/>
  <c r="CN22" i="1" s="1"/>
  <c r="CG22" i="1"/>
  <c r="CJ22" i="1" s="1"/>
  <c r="CC22" i="1"/>
  <c r="CF22" i="1" s="1"/>
  <c r="CK21" i="1"/>
  <c r="CG21" i="1"/>
  <c r="CC21" i="1"/>
  <c r="CK20" i="1"/>
  <c r="CG20" i="1"/>
  <c r="CC20" i="1"/>
  <c r="CK19" i="1"/>
  <c r="CG19" i="1"/>
  <c r="CC19" i="1"/>
  <c r="CK18" i="1"/>
  <c r="CG18" i="1"/>
  <c r="CC18" i="1"/>
  <c r="CK16" i="1"/>
  <c r="CG16" i="1"/>
  <c r="CC16" i="1"/>
  <c r="CF16" i="1" s="1"/>
  <c r="CK15" i="1"/>
  <c r="CG15" i="1"/>
  <c r="CC15" i="1"/>
  <c r="CK14" i="1"/>
  <c r="CG14" i="1"/>
  <c r="CC14" i="1"/>
  <c r="CK13" i="1"/>
  <c r="CG13" i="1"/>
  <c r="CC13" i="1"/>
  <c r="CK12" i="1"/>
  <c r="CG12" i="1"/>
  <c r="CC12" i="1"/>
  <c r="CK11" i="1"/>
  <c r="CG11" i="1"/>
  <c r="CC11" i="1"/>
  <c r="CK9" i="1"/>
  <c r="CG9" i="1"/>
  <c r="CC9" i="1"/>
  <c r="CK8" i="1"/>
  <c r="CG8" i="1"/>
  <c r="CC8" i="1"/>
  <c r="CK7" i="1"/>
  <c r="CG7" i="1"/>
  <c r="CC7" i="1"/>
  <c r="CF7" i="1" s="1"/>
  <c r="CK6" i="1"/>
  <c r="CG6" i="1"/>
  <c r="CC6" i="1"/>
  <c r="CK5" i="1"/>
  <c r="CN5" i="1" s="1" a="1"/>
  <c r="CN5" i="1" s="1"/>
  <c r="CG5" i="1"/>
  <c r="CJ5" i="1" s="1"/>
  <c r="CC5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7" i="1"/>
  <c r="BX85" i="1"/>
  <c r="BT85" i="1"/>
  <c r="BP85" i="1"/>
  <c r="BX84" i="1"/>
  <c r="BT84" i="1"/>
  <c r="BP84" i="1"/>
  <c r="BX83" i="1"/>
  <c r="BT83" i="1"/>
  <c r="BP83" i="1"/>
  <c r="BX82" i="1"/>
  <c r="BT82" i="1"/>
  <c r="BP82" i="1"/>
  <c r="BX81" i="1"/>
  <c r="BT81" i="1"/>
  <c r="BP81" i="1"/>
  <c r="BX80" i="1"/>
  <c r="BT80" i="1"/>
  <c r="BP80" i="1"/>
  <c r="BX79" i="1"/>
  <c r="BT79" i="1"/>
  <c r="BP79" i="1"/>
  <c r="BX78" i="1"/>
  <c r="BT78" i="1"/>
  <c r="BP78" i="1"/>
  <c r="BX77" i="1"/>
  <c r="BT77" i="1"/>
  <c r="BP77" i="1"/>
  <c r="BX76" i="1"/>
  <c r="BT76" i="1"/>
  <c r="BP76" i="1"/>
  <c r="BX75" i="1"/>
  <c r="BT75" i="1"/>
  <c r="BP75" i="1"/>
  <c r="BX74" i="1"/>
  <c r="BT74" i="1"/>
  <c r="BP74" i="1"/>
  <c r="BX73" i="1"/>
  <c r="BT73" i="1"/>
  <c r="BP73" i="1"/>
  <c r="BX71" i="1"/>
  <c r="BT71" i="1"/>
  <c r="BP71" i="1"/>
  <c r="BX70" i="1"/>
  <c r="BT70" i="1"/>
  <c r="BP70" i="1"/>
  <c r="BX69" i="1"/>
  <c r="BT69" i="1"/>
  <c r="BP69" i="1"/>
  <c r="BX68" i="1"/>
  <c r="BT68" i="1"/>
  <c r="BP68" i="1"/>
  <c r="BX66" i="1"/>
  <c r="BT66" i="1"/>
  <c r="BP66" i="1"/>
  <c r="BX65" i="1"/>
  <c r="BT65" i="1"/>
  <c r="BP65" i="1"/>
  <c r="BX64" i="1"/>
  <c r="BT64" i="1"/>
  <c r="BP64" i="1"/>
  <c r="BX63" i="1"/>
  <c r="BT63" i="1"/>
  <c r="BP63" i="1"/>
  <c r="BX62" i="1"/>
  <c r="BT62" i="1"/>
  <c r="BP62" i="1"/>
  <c r="BX61" i="1"/>
  <c r="BT61" i="1"/>
  <c r="BP61" i="1"/>
  <c r="BX59" i="1"/>
  <c r="CA59" i="1" s="1"/>
  <c r="BT59" i="1"/>
  <c r="BW59" i="1" s="1"/>
  <c r="BP59" i="1"/>
  <c r="BS59" i="1" s="1"/>
  <c r="BX58" i="1"/>
  <c r="CA58" i="1" s="1"/>
  <c r="BT58" i="1"/>
  <c r="BW58" i="1" s="1"/>
  <c r="BP58" i="1"/>
  <c r="BS58" i="1" s="1"/>
  <c r="BX57" i="1"/>
  <c r="CA57" i="1" s="1"/>
  <c r="BT57" i="1"/>
  <c r="BW57" i="1" s="1"/>
  <c r="BS57" i="1"/>
  <c r="BP57" i="1"/>
  <c r="BT56" i="1"/>
  <c r="BW56" i="1" s="1"/>
  <c r="BP56" i="1"/>
  <c r="BS56" i="1" s="1"/>
  <c r="BX54" i="1"/>
  <c r="CA54" i="1" s="1"/>
  <c r="BT54" i="1"/>
  <c r="BW54" i="1" s="1"/>
  <c r="BP54" i="1"/>
  <c r="BS54" i="1" s="1"/>
  <c r="BX53" i="1"/>
  <c r="CA53" i="1" s="1"/>
  <c r="BT53" i="1"/>
  <c r="BW53" i="1" s="1"/>
  <c r="BP53" i="1"/>
  <c r="BS53" i="1" s="1"/>
  <c r="BX52" i="1"/>
  <c r="BT52" i="1"/>
  <c r="BP52" i="1"/>
  <c r="BX51" i="1"/>
  <c r="BT51" i="1"/>
  <c r="BP51" i="1"/>
  <c r="BS51" i="1" s="1"/>
  <c r="BX50" i="1"/>
  <c r="CA50" i="1" s="1"/>
  <c r="BT50" i="1"/>
  <c r="BP50" i="1"/>
  <c r="BX49" i="1"/>
  <c r="BT49" i="1"/>
  <c r="BP49" i="1"/>
  <c r="BT48" i="1"/>
  <c r="BP48" i="1"/>
  <c r="BX46" i="1"/>
  <c r="BT46" i="1"/>
  <c r="BP46" i="1"/>
  <c r="BX45" i="1"/>
  <c r="BT45" i="1"/>
  <c r="BP45" i="1"/>
  <c r="BX44" i="1"/>
  <c r="BT44" i="1"/>
  <c r="BP44" i="1"/>
  <c r="BX43" i="1"/>
  <c r="BT43" i="1"/>
  <c r="BW43" i="1" s="1"/>
  <c r="BP43" i="1"/>
  <c r="BX42" i="1"/>
  <c r="BT42" i="1"/>
  <c r="BP42" i="1"/>
  <c r="BX41" i="1"/>
  <c r="CA41" i="1" s="1"/>
  <c r="BT41" i="1"/>
  <c r="BP41" i="1"/>
  <c r="BX39" i="1"/>
  <c r="BT39" i="1"/>
  <c r="BP39" i="1"/>
  <c r="BX38" i="1"/>
  <c r="BT38" i="1"/>
  <c r="BP38" i="1"/>
  <c r="BX37" i="1"/>
  <c r="BT37" i="1"/>
  <c r="BP37" i="1"/>
  <c r="BX36" i="1"/>
  <c r="BT36" i="1"/>
  <c r="BP36" i="1"/>
  <c r="BX34" i="1"/>
  <c r="BT34" i="1"/>
  <c r="BP34" i="1"/>
  <c r="BX33" i="1"/>
  <c r="BT33" i="1"/>
  <c r="BP33" i="1"/>
  <c r="BX32" i="1"/>
  <c r="BT32" i="1"/>
  <c r="BP32" i="1"/>
  <c r="BX31" i="1"/>
  <c r="BT31" i="1"/>
  <c r="BP31" i="1"/>
  <c r="BX30" i="1"/>
  <c r="BT30" i="1"/>
  <c r="BP30" i="1"/>
  <c r="BX29" i="1"/>
  <c r="BT29" i="1"/>
  <c r="BP29" i="1"/>
  <c r="BX27" i="1"/>
  <c r="BT27" i="1"/>
  <c r="BP27" i="1"/>
  <c r="BX26" i="1"/>
  <c r="BT26" i="1"/>
  <c r="BP26" i="1"/>
  <c r="BX25" i="1"/>
  <c r="BT25" i="1"/>
  <c r="BP25" i="1"/>
  <c r="BX24" i="1"/>
  <c r="BT24" i="1"/>
  <c r="BP24" i="1"/>
  <c r="BX22" i="1"/>
  <c r="CA22" i="1" s="1"/>
  <c r="BT22" i="1"/>
  <c r="BW22" i="1" s="1"/>
  <c r="BP22" i="1"/>
  <c r="BS22" i="1" s="1"/>
  <c r="BX21" i="1"/>
  <c r="BT21" i="1"/>
  <c r="BP21" i="1"/>
  <c r="BX20" i="1"/>
  <c r="BT20" i="1"/>
  <c r="BP20" i="1"/>
  <c r="BX19" i="1"/>
  <c r="BT19" i="1"/>
  <c r="BP19" i="1"/>
  <c r="BX18" i="1"/>
  <c r="BT18" i="1"/>
  <c r="BP18" i="1"/>
  <c r="BX16" i="1"/>
  <c r="BT16" i="1"/>
  <c r="BP16" i="1"/>
  <c r="BX15" i="1"/>
  <c r="BT15" i="1"/>
  <c r="BP15" i="1"/>
  <c r="BX14" i="1"/>
  <c r="BT14" i="1"/>
  <c r="BP14" i="1"/>
  <c r="BX13" i="1"/>
  <c r="BT13" i="1"/>
  <c r="BP13" i="1"/>
  <c r="BX12" i="1"/>
  <c r="BT12" i="1"/>
  <c r="BP12" i="1"/>
  <c r="BX11" i="1"/>
  <c r="BT11" i="1"/>
  <c r="BP11" i="1"/>
  <c r="BX9" i="1"/>
  <c r="BT9" i="1"/>
  <c r="BP9" i="1"/>
  <c r="BX8" i="1"/>
  <c r="BT8" i="1"/>
  <c r="BW8" i="1" s="1"/>
  <c r="BP8" i="1"/>
  <c r="BX7" i="1"/>
  <c r="BT7" i="1"/>
  <c r="BP7" i="1"/>
  <c r="BX6" i="1"/>
  <c r="BT6" i="1"/>
  <c r="BP6" i="1"/>
  <c r="BS6" i="1" s="1"/>
  <c r="BX5" i="1"/>
  <c r="CA5" i="1" s="1" a="1"/>
  <c r="CA5" i="1" s="1"/>
  <c r="BT5" i="1"/>
  <c r="BP5" i="1"/>
  <c r="BG54" i="1"/>
  <c r="DS50" i="1" l="1"/>
  <c r="DS74" i="1"/>
  <c r="DS76" i="1"/>
  <c r="DS46" i="1"/>
  <c r="DS45" i="1"/>
  <c r="DS43" i="1"/>
  <c r="EA78" i="1"/>
  <c r="EA73" i="1"/>
  <c r="EA75" i="1"/>
  <c r="DW41" i="1"/>
  <c r="DW45" i="1"/>
  <c r="DW43" i="1"/>
  <c r="DW73" i="1"/>
  <c r="DW76" i="1"/>
  <c r="DW50" i="1"/>
  <c r="DW21" i="1"/>
  <c r="DW18" i="1"/>
  <c r="DW15" i="1"/>
  <c r="DW12" i="1"/>
  <c r="DW13" i="1"/>
  <c r="EA21" i="1"/>
  <c r="EA14" i="1"/>
  <c r="EA7" i="1"/>
  <c r="EA6" i="1"/>
  <c r="DS21" i="1"/>
  <c r="DS19" i="1"/>
  <c r="DS13" i="1"/>
  <c r="DS6" i="1"/>
  <c r="DS5" i="1"/>
  <c r="EA8" i="1"/>
  <c r="EA16" i="1"/>
  <c r="EA50" i="1"/>
  <c r="EA51" i="1"/>
  <c r="EA44" i="1"/>
  <c r="EA18" i="1"/>
  <c r="EA49" i="1"/>
  <c r="EA76" i="1"/>
  <c r="EA45" i="1"/>
  <c r="DW75" i="1"/>
  <c r="DW11" i="1"/>
  <c r="DW20" i="1"/>
  <c r="DW14" i="1"/>
  <c r="DW52" i="1"/>
  <c r="DW46" i="1"/>
  <c r="DS7" i="1"/>
  <c r="DS49" i="1"/>
  <c r="DS42" i="1"/>
  <c r="DS78" i="1"/>
  <c r="DS11" i="1"/>
  <c r="DS15" i="1"/>
  <c r="DS41" i="1"/>
  <c r="DS18" i="1"/>
  <c r="DJ12" i="1"/>
  <c r="DJ43" i="1"/>
  <c r="DJ77" i="1"/>
  <c r="DJ6" i="1"/>
  <c r="DJ46" i="1"/>
  <c r="DJ41" i="1"/>
  <c r="DJ44" i="1"/>
  <c r="DN75" i="1"/>
  <c r="DN41" i="1"/>
  <c r="DN51" i="1"/>
  <c r="DN21" i="1"/>
  <c r="DN19" i="1"/>
  <c r="DN15" i="1"/>
  <c r="DN13" i="1"/>
  <c r="DN12" i="1"/>
  <c r="DN8" i="1"/>
  <c r="DN7" i="1"/>
  <c r="DF76" i="1"/>
  <c r="DF78" i="1"/>
  <c r="DF77" i="1"/>
  <c r="DF49" i="1"/>
  <c r="DF43" i="1"/>
  <c r="DF46" i="1"/>
  <c r="DF7" i="1"/>
  <c r="DF21" i="1"/>
  <c r="DF20" i="1"/>
  <c r="DF15" i="1"/>
  <c r="DN14" i="1"/>
  <c r="DN43" i="1"/>
  <c r="DN74" i="1"/>
  <c r="DN78" i="1"/>
  <c r="DN50" i="1"/>
  <c r="DN44" i="1"/>
  <c r="DN6" i="1"/>
  <c r="DN16" i="1"/>
  <c r="DN11" i="1"/>
  <c r="DJ13" i="1"/>
  <c r="DJ11" i="1"/>
  <c r="DJ42" i="1"/>
  <c r="DJ74" i="1"/>
  <c r="DJ7" i="1"/>
  <c r="DJ49" i="1"/>
  <c r="DJ20" i="1"/>
  <c r="DJ78" i="1"/>
  <c r="DJ73" i="1"/>
  <c r="DF42" i="1"/>
  <c r="DF52" i="1"/>
  <c r="DF18" i="1"/>
  <c r="DF12" i="1"/>
  <c r="DF5" i="1"/>
  <c r="DF14" i="1"/>
  <c r="DF45" i="1"/>
  <c r="CW42" i="1"/>
  <c r="CW49" i="1"/>
  <c r="CW78" i="1"/>
  <c r="CW76" i="1"/>
  <c r="CW74" i="1"/>
  <c r="CW46" i="1"/>
  <c r="CS77" i="1"/>
  <c r="CS74" i="1"/>
  <c r="CS73" i="1"/>
  <c r="CS50" i="1"/>
  <c r="CS46" i="1"/>
  <c r="CS45" i="1"/>
  <c r="CS43" i="1"/>
  <c r="CS41" i="1"/>
  <c r="CW15" i="1"/>
  <c r="CW14" i="1"/>
  <c r="DA20" i="1"/>
  <c r="DA16" i="1"/>
  <c r="DA11" i="1"/>
  <c r="DA7" i="1"/>
  <c r="CS8" i="1"/>
  <c r="DA41" i="1"/>
  <c r="CW44" i="1"/>
  <c r="CW75" i="1"/>
  <c r="DA51" i="1"/>
  <c r="BW46" i="1"/>
  <c r="CJ41" i="1"/>
  <c r="CF44" i="1"/>
  <c r="CN46" i="1"/>
  <c r="CF43" i="1"/>
  <c r="CN76" i="1"/>
  <c r="CW6" i="1"/>
  <c r="CS76" i="1"/>
  <c r="CF13" i="1"/>
  <c r="CJ19" i="1"/>
  <c r="CF20" i="1"/>
  <c r="CW21" i="1"/>
  <c r="CW52" i="1"/>
  <c r="CW45" i="1"/>
  <c r="CW13" i="1"/>
  <c r="CS16" i="1"/>
  <c r="BW13" i="1"/>
  <c r="BS16" i="1"/>
  <c r="CA19" i="1"/>
  <c r="BW74" i="1"/>
  <c r="CN42" i="1"/>
  <c r="CJ74" i="1"/>
  <c r="CF77" i="1"/>
  <c r="CJ75" i="1"/>
  <c r="CF78" i="1"/>
  <c r="DA13" i="1"/>
  <c r="DA6" i="1"/>
  <c r="CW11" i="1"/>
  <c r="CS49" i="1"/>
  <c r="CW73" i="1"/>
  <c r="DA78" i="1"/>
  <c r="CA12" i="1"/>
  <c r="BW18" i="1"/>
  <c r="CN11" i="1"/>
  <c r="CJ14" i="1"/>
  <c r="CN74" i="1"/>
  <c r="CJ77" i="1"/>
  <c r="BW20" i="1"/>
  <c r="CJ43" i="1"/>
  <c r="CF46" i="1"/>
  <c r="CF50" i="1"/>
  <c r="CN52" i="1"/>
  <c r="CF75" i="1"/>
  <c r="CN77" i="1"/>
  <c r="CS20" i="1"/>
  <c r="DA21" i="1"/>
  <c r="DA8" i="1"/>
  <c r="DA14" i="1"/>
  <c r="CW8" i="1"/>
  <c r="CW19" i="1"/>
  <c r="CW12" i="1"/>
  <c r="CW18" i="1"/>
  <c r="CS15" i="1"/>
  <c r="CS11" i="1"/>
  <c r="CS14" i="1"/>
  <c r="CS6" i="1"/>
  <c r="CS12" i="1"/>
  <c r="CS21" i="1"/>
  <c r="CJ15" i="1"/>
  <c r="CJ12" i="1"/>
  <c r="CJ13" i="1"/>
  <c r="CN20" i="1"/>
  <c r="CN19" i="1"/>
  <c r="CN15" i="1"/>
  <c r="CN12" i="1"/>
  <c r="CN8" i="1"/>
  <c r="BW19" i="1"/>
  <c r="CA16" i="1"/>
  <c r="BW73" i="1"/>
  <c r="BS49" i="1"/>
  <c r="CA51" i="1"/>
  <c r="BS11" i="1"/>
  <c r="CA74" i="1"/>
  <c r="BW77" i="1"/>
  <c r="BS73" i="1"/>
  <c r="CA75" i="1"/>
  <c r="BW78" i="1"/>
  <c r="CJ49" i="1"/>
  <c r="BS75" i="1"/>
  <c r="CA77" i="1"/>
  <c r="CF15" i="1"/>
  <c r="CF49" i="1"/>
  <c r="CA46" i="1"/>
  <c r="BW75" i="1"/>
  <c r="CF42" i="1"/>
  <c r="CN44" i="1"/>
  <c r="CJ8" i="1"/>
  <c r="CN50" i="1"/>
  <c r="CF73" i="1"/>
  <c r="CN75" i="1"/>
  <c r="CN21" i="1"/>
  <c r="CJ46" i="1"/>
  <c r="CJ52" i="1"/>
  <c r="CF19" i="1"/>
  <c r="CF18" i="1"/>
  <c r="CF5" i="1"/>
  <c r="CF8" i="1"/>
  <c r="CN18" i="1"/>
  <c r="CN45" i="1"/>
  <c r="CN13" i="1"/>
  <c r="CN73" i="1"/>
  <c r="CN78" i="1"/>
  <c r="CN14" i="1"/>
  <c r="CN6" i="1"/>
  <c r="CN16" i="1"/>
  <c r="CN7" i="1"/>
  <c r="CN41" i="1"/>
  <c r="CN51" i="1"/>
  <c r="CJ7" i="1"/>
  <c r="CJ11" i="1"/>
  <c r="CJ20" i="1"/>
  <c r="CJ18" i="1"/>
  <c r="CJ21" i="1"/>
  <c r="CJ45" i="1"/>
  <c r="CJ51" i="1"/>
  <c r="CJ78" i="1"/>
  <c r="CJ44" i="1"/>
  <c r="CJ6" i="1"/>
  <c r="CJ76" i="1"/>
  <c r="CF41" i="1"/>
  <c r="CF52" i="1"/>
  <c r="CF11" i="1"/>
  <c r="CF14" i="1"/>
  <c r="CF74" i="1"/>
  <c r="CF6" i="1"/>
  <c r="CF12" i="1"/>
  <c r="CF21" i="1"/>
  <c r="CF51" i="1"/>
  <c r="BW49" i="1"/>
  <c r="BW51" i="1"/>
  <c r="BW50" i="1"/>
  <c r="BW42" i="1"/>
  <c r="BW41" i="1"/>
  <c r="BW44" i="1"/>
  <c r="BW52" i="1"/>
  <c r="CA44" i="1"/>
  <c r="CA42" i="1"/>
  <c r="CA21" i="1"/>
  <c r="CA14" i="1"/>
  <c r="CA8" i="1"/>
  <c r="CA7" i="1"/>
  <c r="CA11" i="1"/>
  <c r="BW6" i="1"/>
  <c r="BW21" i="1"/>
  <c r="BW11" i="1"/>
  <c r="BW12" i="1"/>
  <c r="BW14" i="1"/>
  <c r="BS74" i="1"/>
  <c r="BS76" i="1"/>
  <c r="BS77" i="1"/>
  <c r="BS52" i="1"/>
  <c r="BS50" i="1"/>
  <c r="BS46" i="1"/>
  <c r="BS45" i="1"/>
  <c r="BS44" i="1"/>
  <c r="BS42" i="1"/>
  <c r="BS41" i="1"/>
  <c r="BS20" i="1"/>
  <c r="BS19" i="1"/>
  <c r="BS12" i="1"/>
  <c r="BS8" i="1"/>
  <c r="BS7" i="1"/>
  <c r="BS5" i="1"/>
  <c r="CA18" i="1"/>
  <c r="CA20" i="1"/>
  <c r="CA52" i="1"/>
  <c r="CA73" i="1"/>
  <c r="CA49" i="1"/>
  <c r="CA13" i="1"/>
  <c r="CA78" i="1"/>
  <c r="CA6" i="1"/>
  <c r="CA15" i="1"/>
  <c r="CA45" i="1"/>
  <c r="CA76" i="1"/>
  <c r="CA43" i="1"/>
  <c r="BW15" i="1"/>
  <c r="BW45" i="1"/>
  <c r="BW76" i="1"/>
  <c r="BW5" i="1"/>
  <c r="BW7" i="1"/>
  <c r="BS21" i="1"/>
  <c r="BS78" i="1"/>
  <c r="BS14" i="1"/>
  <c r="BS13" i="1"/>
  <c r="BS43" i="1"/>
  <c r="BS15" i="1"/>
  <c r="BS18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7" i="1"/>
  <c r="BK85" i="1"/>
  <c r="BG85" i="1"/>
  <c r="BC85" i="1"/>
  <c r="BK84" i="1"/>
  <c r="BG84" i="1"/>
  <c r="BC84" i="1"/>
  <c r="BK83" i="1"/>
  <c r="BG83" i="1"/>
  <c r="BC83" i="1"/>
  <c r="BK82" i="1"/>
  <c r="BG82" i="1"/>
  <c r="BC82" i="1"/>
  <c r="BK81" i="1"/>
  <c r="BG81" i="1"/>
  <c r="BC81" i="1"/>
  <c r="BK80" i="1"/>
  <c r="BG80" i="1"/>
  <c r="BC80" i="1"/>
  <c r="BK79" i="1"/>
  <c r="BG79" i="1"/>
  <c r="BC79" i="1"/>
  <c r="BK78" i="1"/>
  <c r="BG78" i="1"/>
  <c r="BC78" i="1"/>
  <c r="BK77" i="1"/>
  <c r="BG77" i="1"/>
  <c r="BC77" i="1"/>
  <c r="BK76" i="1"/>
  <c r="BG76" i="1"/>
  <c r="BC76" i="1"/>
  <c r="BK75" i="1"/>
  <c r="BG75" i="1"/>
  <c r="BC75" i="1"/>
  <c r="BK74" i="1"/>
  <c r="BG74" i="1"/>
  <c r="BC74" i="1"/>
  <c r="BK73" i="1"/>
  <c r="BN73" i="1" s="1"/>
  <c r="BG73" i="1"/>
  <c r="BC73" i="1"/>
  <c r="BK71" i="1"/>
  <c r="BG71" i="1"/>
  <c r="BC71" i="1"/>
  <c r="BK70" i="1"/>
  <c r="BG70" i="1"/>
  <c r="BC70" i="1"/>
  <c r="BK69" i="1"/>
  <c r="BG69" i="1"/>
  <c r="BC69" i="1"/>
  <c r="BK68" i="1"/>
  <c r="BG68" i="1"/>
  <c r="BC68" i="1"/>
  <c r="BK66" i="1"/>
  <c r="BG66" i="1"/>
  <c r="BC66" i="1"/>
  <c r="BK65" i="1"/>
  <c r="BG65" i="1"/>
  <c r="BC65" i="1"/>
  <c r="BK64" i="1"/>
  <c r="BG64" i="1"/>
  <c r="BC64" i="1"/>
  <c r="BK63" i="1"/>
  <c r="BG63" i="1"/>
  <c r="BC63" i="1"/>
  <c r="BK62" i="1"/>
  <c r="BG62" i="1"/>
  <c r="BC62" i="1"/>
  <c r="BK61" i="1"/>
  <c r="BG61" i="1"/>
  <c r="BC61" i="1"/>
  <c r="BK59" i="1"/>
  <c r="BN59" i="1" s="1"/>
  <c r="BG59" i="1"/>
  <c r="BJ59" i="1" s="1"/>
  <c r="BC59" i="1"/>
  <c r="BF59" i="1" s="1"/>
  <c r="BK58" i="1"/>
  <c r="BN58" i="1" s="1"/>
  <c r="BG58" i="1"/>
  <c r="BJ58" i="1" s="1"/>
  <c r="BC58" i="1"/>
  <c r="BF58" i="1" s="1"/>
  <c r="BK57" i="1"/>
  <c r="BN57" i="1" s="1"/>
  <c r="BG57" i="1"/>
  <c r="BJ57" i="1" s="1"/>
  <c r="BC57" i="1"/>
  <c r="BF57" i="1" s="1"/>
  <c r="BG56" i="1"/>
  <c r="BJ56" i="1" s="1"/>
  <c r="BC56" i="1"/>
  <c r="BF56" i="1" s="1"/>
  <c r="BK54" i="1"/>
  <c r="BN54" i="1" s="1"/>
  <c r="BJ54" i="1"/>
  <c r="BC54" i="1"/>
  <c r="BF54" i="1" s="1"/>
  <c r="BK53" i="1"/>
  <c r="BN53" i="1" s="1"/>
  <c r="BG53" i="1"/>
  <c r="BJ53" i="1" s="1"/>
  <c r="BC53" i="1"/>
  <c r="BF53" i="1" s="1"/>
  <c r="BK52" i="1"/>
  <c r="BG52" i="1"/>
  <c r="BC52" i="1"/>
  <c r="BK51" i="1"/>
  <c r="BN51" i="1" s="1"/>
  <c r="BG51" i="1"/>
  <c r="BC51" i="1"/>
  <c r="BK50" i="1"/>
  <c r="BG50" i="1"/>
  <c r="BC50" i="1"/>
  <c r="BK49" i="1"/>
  <c r="BN49" i="1" s="1"/>
  <c r="BG49" i="1"/>
  <c r="BJ49" i="1" s="1"/>
  <c r="BC49" i="1"/>
  <c r="BG48" i="1"/>
  <c r="BC48" i="1"/>
  <c r="BK46" i="1"/>
  <c r="BG46" i="1"/>
  <c r="BC46" i="1"/>
  <c r="BK45" i="1"/>
  <c r="BG45" i="1"/>
  <c r="BC45" i="1"/>
  <c r="BF45" i="1" s="1"/>
  <c r="BK44" i="1"/>
  <c r="BN44" i="1" s="1"/>
  <c r="BG44" i="1"/>
  <c r="BC44" i="1"/>
  <c r="BK43" i="1"/>
  <c r="BG43" i="1"/>
  <c r="BC43" i="1"/>
  <c r="BK42" i="1"/>
  <c r="BG42" i="1"/>
  <c r="BC42" i="1"/>
  <c r="BK41" i="1"/>
  <c r="BN41" i="1" s="1"/>
  <c r="BG41" i="1"/>
  <c r="BC41" i="1"/>
  <c r="BK39" i="1"/>
  <c r="BG39" i="1"/>
  <c r="BC39" i="1"/>
  <c r="BK38" i="1"/>
  <c r="BG38" i="1"/>
  <c r="BC38" i="1"/>
  <c r="BK37" i="1"/>
  <c r="BG37" i="1"/>
  <c r="BC37" i="1"/>
  <c r="BK36" i="1"/>
  <c r="BG36" i="1"/>
  <c r="BC36" i="1"/>
  <c r="BK34" i="1"/>
  <c r="BG34" i="1"/>
  <c r="BC34" i="1"/>
  <c r="BK33" i="1"/>
  <c r="BG33" i="1"/>
  <c r="BC33" i="1"/>
  <c r="BK32" i="1"/>
  <c r="BG32" i="1"/>
  <c r="BC32" i="1"/>
  <c r="BK31" i="1"/>
  <c r="BG31" i="1"/>
  <c r="BC31" i="1"/>
  <c r="BK30" i="1"/>
  <c r="BG30" i="1"/>
  <c r="BC30" i="1"/>
  <c r="BK29" i="1"/>
  <c r="BG29" i="1"/>
  <c r="BC29" i="1"/>
  <c r="BK27" i="1"/>
  <c r="BG27" i="1"/>
  <c r="BC27" i="1"/>
  <c r="BK26" i="1"/>
  <c r="BG26" i="1"/>
  <c r="BC26" i="1"/>
  <c r="BK25" i="1"/>
  <c r="BG25" i="1"/>
  <c r="BC25" i="1"/>
  <c r="BK24" i="1"/>
  <c r="BG24" i="1"/>
  <c r="BC24" i="1"/>
  <c r="BK22" i="1"/>
  <c r="BN22" i="1" s="1"/>
  <c r="BG22" i="1"/>
  <c r="BJ22" i="1" s="1"/>
  <c r="BC22" i="1"/>
  <c r="BF22" i="1" s="1"/>
  <c r="BK21" i="1"/>
  <c r="BN21" i="1" s="1"/>
  <c r="BG21" i="1"/>
  <c r="BC21" i="1"/>
  <c r="BK20" i="1"/>
  <c r="BG20" i="1"/>
  <c r="BC20" i="1"/>
  <c r="BK19" i="1"/>
  <c r="BG19" i="1"/>
  <c r="BC19" i="1"/>
  <c r="BF19" i="1" s="1"/>
  <c r="BK18" i="1"/>
  <c r="BG18" i="1"/>
  <c r="BC18" i="1"/>
  <c r="BK16" i="1"/>
  <c r="BG16" i="1"/>
  <c r="BC16" i="1"/>
  <c r="BK15" i="1"/>
  <c r="BG15" i="1"/>
  <c r="BJ15" i="1" s="1"/>
  <c r="BC15" i="1"/>
  <c r="BK14" i="1"/>
  <c r="BG14" i="1"/>
  <c r="BC14" i="1"/>
  <c r="BK13" i="1"/>
  <c r="BG13" i="1"/>
  <c r="BC13" i="1"/>
  <c r="BF13" i="1" s="1"/>
  <c r="BK12" i="1"/>
  <c r="BG12" i="1"/>
  <c r="BC12" i="1"/>
  <c r="BK11" i="1"/>
  <c r="BG11" i="1"/>
  <c r="BC11" i="1"/>
  <c r="BK9" i="1"/>
  <c r="BG9" i="1"/>
  <c r="BC9" i="1"/>
  <c r="BK8" i="1"/>
  <c r="BG8" i="1"/>
  <c r="BC8" i="1"/>
  <c r="BK7" i="1"/>
  <c r="BN7" i="1" s="1"/>
  <c r="BG7" i="1"/>
  <c r="BJ7" i="1" s="1"/>
  <c r="BC7" i="1"/>
  <c r="BK6" i="1"/>
  <c r="BG6" i="1"/>
  <c r="BC6" i="1"/>
  <c r="BK5" i="1"/>
  <c r="BG5" i="1"/>
  <c r="BJ5" i="1" s="1"/>
  <c r="BC5" i="1"/>
  <c r="AV98" i="1"/>
  <c r="AI115" i="1"/>
  <c r="AC111" i="1"/>
  <c r="AL103" i="1"/>
  <c r="AH98" i="1"/>
  <c r="AP5" i="1"/>
  <c r="AT5" i="1"/>
  <c r="AX5" i="1"/>
  <c r="AP6" i="1"/>
  <c r="AT6" i="1"/>
  <c r="AX6" i="1"/>
  <c r="AP7" i="1"/>
  <c r="AT7" i="1"/>
  <c r="AX7" i="1"/>
  <c r="AP8" i="1"/>
  <c r="AT8" i="1"/>
  <c r="AX8" i="1"/>
  <c r="AP9" i="1"/>
  <c r="AT9" i="1"/>
  <c r="AX9" i="1"/>
  <c r="AP11" i="1"/>
  <c r="AT11" i="1"/>
  <c r="AX11" i="1"/>
  <c r="AP12" i="1"/>
  <c r="AT12" i="1"/>
  <c r="AX12" i="1"/>
  <c r="AP13" i="1"/>
  <c r="AT13" i="1"/>
  <c r="AX13" i="1"/>
  <c r="AP14" i="1"/>
  <c r="AT14" i="1"/>
  <c r="AX14" i="1"/>
  <c r="AP15" i="1"/>
  <c r="AT15" i="1"/>
  <c r="AX15" i="1"/>
  <c r="AP16" i="1"/>
  <c r="AT16" i="1"/>
  <c r="AX16" i="1"/>
  <c r="AP18" i="1"/>
  <c r="AT18" i="1"/>
  <c r="AX18" i="1"/>
  <c r="AP19" i="1"/>
  <c r="AT19" i="1"/>
  <c r="AX19" i="1"/>
  <c r="AP20" i="1"/>
  <c r="AT20" i="1"/>
  <c r="AX20" i="1"/>
  <c r="AP21" i="1"/>
  <c r="AT21" i="1"/>
  <c r="AX21" i="1"/>
  <c r="AP22" i="1"/>
  <c r="AS22" i="1"/>
  <c r="AT22" i="1"/>
  <c r="AW22" i="1" s="1"/>
  <c r="AX22" i="1"/>
  <c r="BA22" i="1" s="1"/>
  <c r="AP24" i="1"/>
  <c r="AT24" i="1"/>
  <c r="AX24" i="1"/>
  <c r="AP25" i="1"/>
  <c r="AT25" i="1"/>
  <c r="AX25" i="1"/>
  <c r="AP26" i="1"/>
  <c r="AT26" i="1"/>
  <c r="AX26" i="1"/>
  <c r="AP27" i="1"/>
  <c r="AT27" i="1"/>
  <c r="AX27" i="1"/>
  <c r="AP29" i="1"/>
  <c r="AT29" i="1"/>
  <c r="AX29" i="1"/>
  <c r="AP30" i="1"/>
  <c r="AT30" i="1"/>
  <c r="AX30" i="1"/>
  <c r="AP31" i="1"/>
  <c r="AT31" i="1"/>
  <c r="AX31" i="1"/>
  <c r="AP32" i="1"/>
  <c r="AT32" i="1"/>
  <c r="AX32" i="1"/>
  <c r="AP33" i="1"/>
  <c r="AT33" i="1"/>
  <c r="AX33" i="1"/>
  <c r="AP34" i="1"/>
  <c r="AT34" i="1"/>
  <c r="AX34" i="1"/>
  <c r="AP36" i="1"/>
  <c r="AT36" i="1"/>
  <c r="AX36" i="1"/>
  <c r="AP37" i="1"/>
  <c r="AT37" i="1"/>
  <c r="AX37" i="1"/>
  <c r="AP38" i="1"/>
  <c r="AT38" i="1"/>
  <c r="AX38" i="1"/>
  <c r="AP39" i="1"/>
  <c r="AT39" i="1"/>
  <c r="AX39" i="1"/>
  <c r="AP41" i="1"/>
  <c r="AT41" i="1"/>
  <c r="AX41" i="1"/>
  <c r="AP42" i="1"/>
  <c r="AT42" i="1"/>
  <c r="AX42" i="1"/>
  <c r="AX107" i="1" s="1"/>
  <c r="AP43" i="1"/>
  <c r="AT43" i="1"/>
  <c r="AX43" i="1"/>
  <c r="AP44" i="1"/>
  <c r="AT44" i="1"/>
  <c r="AX44" i="1"/>
  <c r="AP45" i="1"/>
  <c r="AT45" i="1"/>
  <c r="AX45" i="1"/>
  <c r="AP46" i="1"/>
  <c r="AT46" i="1"/>
  <c r="AX46" i="1"/>
  <c r="AP48" i="1"/>
  <c r="AT48" i="1"/>
  <c r="AP49" i="1"/>
  <c r="AT49" i="1"/>
  <c r="AT113" i="1" s="1"/>
  <c r="AX49" i="1"/>
  <c r="AP50" i="1"/>
  <c r="AT50" i="1"/>
  <c r="AX50" i="1"/>
  <c r="AP51" i="1"/>
  <c r="AT51" i="1"/>
  <c r="AX51" i="1"/>
  <c r="AP52" i="1"/>
  <c r="AT52" i="1"/>
  <c r="AX52" i="1"/>
  <c r="AP53" i="1"/>
  <c r="AS53" i="1" s="1"/>
  <c r="AT53" i="1"/>
  <c r="AW53" i="1"/>
  <c r="AX53" i="1"/>
  <c r="BA53" i="1"/>
  <c r="AP54" i="1"/>
  <c r="AS54" i="1" s="1"/>
  <c r="AW54" i="1"/>
  <c r="AX54" i="1"/>
  <c r="BA54" i="1" s="1"/>
  <c r="AP56" i="1"/>
  <c r="AS56" i="1" s="1"/>
  <c r="AT56" i="1"/>
  <c r="AW56" i="1"/>
  <c r="AP57" i="1"/>
  <c r="AS57" i="1"/>
  <c r="AT57" i="1"/>
  <c r="AW57" i="1" s="1"/>
  <c r="AX57" i="1"/>
  <c r="BA57" i="1" s="1"/>
  <c r="AP58" i="1"/>
  <c r="AS58" i="1" s="1"/>
  <c r="AT58" i="1"/>
  <c r="AW58" i="1"/>
  <c r="AX58" i="1"/>
  <c r="BA58" i="1" s="1"/>
  <c r="AP59" i="1"/>
  <c r="AS59" i="1" s="1"/>
  <c r="AT59" i="1"/>
  <c r="AW59" i="1" s="1"/>
  <c r="AX59" i="1"/>
  <c r="BA59" i="1" s="1"/>
  <c r="AP61" i="1"/>
  <c r="AT61" i="1"/>
  <c r="AX61" i="1"/>
  <c r="AP62" i="1"/>
  <c r="AT62" i="1"/>
  <c r="AX62" i="1"/>
  <c r="AP63" i="1"/>
  <c r="AT63" i="1"/>
  <c r="AX63" i="1"/>
  <c r="BA43" i="1" s="1"/>
  <c r="AP64" i="1"/>
  <c r="AS44" i="1" s="1"/>
  <c r="AT64" i="1"/>
  <c r="AX64" i="1"/>
  <c r="AP65" i="1"/>
  <c r="AT65" i="1"/>
  <c r="AW45" i="1" s="1"/>
  <c r="AX65" i="1"/>
  <c r="AP66" i="1"/>
  <c r="AT66" i="1"/>
  <c r="AX66" i="1"/>
  <c r="AP68" i="1"/>
  <c r="AT68" i="1"/>
  <c r="AX68" i="1"/>
  <c r="AP69" i="1"/>
  <c r="AT69" i="1"/>
  <c r="AX69" i="1"/>
  <c r="AP70" i="1"/>
  <c r="AT70" i="1"/>
  <c r="AX70" i="1"/>
  <c r="AP71" i="1"/>
  <c r="AT71" i="1"/>
  <c r="AX71" i="1"/>
  <c r="AP73" i="1"/>
  <c r="AT73" i="1"/>
  <c r="AX73" i="1"/>
  <c r="AP74" i="1"/>
  <c r="AT74" i="1"/>
  <c r="AX74" i="1"/>
  <c r="AP75" i="1"/>
  <c r="AT75" i="1"/>
  <c r="AW75" i="1" s="1"/>
  <c r="AX75" i="1"/>
  <c r="AP76" i="1"/>
  <c r="AT76" i="1"/>
  <c r="AX76" i="1"/>
  <c r="AP77" i="1"/>
  <c r="AT77" i="1"/>
  <c r="AX77" i="1"/>
  <c r="BA77" i="1" s="1"/>
  <c r="AP78" i="1"/>
  <c r="AT78" i="1"/>
  <c r="AX78" i="1"/>
  <c r="AP79" i="1"/>
  <c r="AT79" i="1"/>
  <c r="AX79" i="1"/>
  <c r="AP80" i="1"/>
  <c r="AT80" i="1"/>
  <c r="AX80" i="1"/>
  <c r="AP81" i="1"/>
  <c r="AT81" i="1"/>
  <c r="AX81" i="1"/>
  <c r="AP82" i="1"/>
  <c r="AT82" i="1"/>
  <c r="AX82" i="1"/>
  <c r="AP83" i="1"/>
  <c r="AT83" i="1"/>
  <c r="AX83" i="1"/>
  <c r="AP84" i="1"/>
  <c r="AS77" i="1" s="1"/>
  <c r="AT84" i="1"/>
  <c r="AX84" i="1"/>
  <c r="AP85" i="1"/>
  <c r="AT85" i="1"/>
  <c r="AX85" i="1"/>
  <c r="AO87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7" i="1"/>
  <c r="AK85" i="1"/>
  <c r="AG85" i="1"/>
  <c r="AC85" i="1"/>
  <c r="AK84" i="1"/>
  <c r="AG84" i="1"/>
  <c r="AC84" i="1"/>
  <c r="AK83" i="1"/>
  <c r="AG83" i="1"/>
  <c r="AC83" i="1"/>
  <c r="AK82" i="1"/>
  <c r="AG82" i="1"/>
  <c r="AC82" i="1"/>
  <c r="AK81" i="1"/>
  <c r="AG81" i="1"/>
  <c r="AC81" i="1"/>
  <c r="AK80" i="1"/>
  <c r="AG80" i="1"/>
  <c r="AC80" i="1"/>
  <c r="AK79" i="1"/>
  <c r="AG79" i="1"/>
  <c r="AC79" i="1"/>
  <c r="AK78" i="1"/>
  <c r="AG78" i="1"/>
  <c r="AC78" i="1"/>
  <c r="AK77" i="1"/>
  <c r="AG77" i="1"/>
  <c r="AC77" i="1"/>
  <c r="AK76" i="1"/>
  <c r="AG76" i="1"/>
  <c r="AC76" i="1"/>
  <c r="AC95" i="1" s="1"/>
  <c r="AK75" i="1"/>
  <c r="AG75" i="1"/>
  <c r="AC75" i="1"/>
  <c r="AK74" i="1"/>
  <c r="AG74" i="1"/>
  <c r="AC74" i="1"/>
  <c r="AK73" i="1"/>
  <c r="AG73" i="1"/>
  <c r="AC73" i="1"/>
  <c r="AK71" i="1"/>
  <c r="AG71" i="1"/>
  <c r="AC71" i="1"/>
  <c r="AK70" i="1"/>
  <c r="AG70" i="1"/>
  <c r="AC70" i="1"/>
  <c r="AK69" i="1"/>
  <c r="AG69" i="1"/>
  <c r="AC69" i="1"/>
  <c r="AK68" i="1"/>
  <c r="AG68" i="1"/>
  <c r="AC68" i="1"/>
  <c r="AK66" i="1"/>
  <c r="AG66" i="1"/>
  <c r="AC66" i="1"/>
  <c r="AK65" i="1"/>
  <c r="AG65" i="1"/>
  <c r="AC65" i="1"/>
  <c r="AK64" i="1"/>
  <c r="AG64" i="1"/>
  <c r="AC64" i="1"/>
  <c r="AK63" i="1"/>
  <c r="AG63" i="1"/>
  <c r="AC63" i="1"/>
  <c r="AK62" i="1"/>
  <c r="AG62" i="1"/>
  <c r="AC62" i="1"/>
  <c r="AK61" i="1"/>
  <c r="AG61" i="1"/>
  <c r="AC61" i="1"/>
  <c r="AK59" i="1"/>
  <c r="AN59" i="1" s="1"/>
  <c r="AG59" i="1"/>
  <c r="AJ59" i="1" s="1"/>
  <c r="AC59" i="1"/>
  <c r="AF59" i="1" s="1"/>
  <c r="AK58" i="1"/>
  <c r="AN58" i="1" s="1"/>
  <c r="AG58" i="1"/>
  <c r="AJ58" i="1" s="1"/>
  <c r="AC58" i="1"/>
  <c r="AF58" i="1" s="1"/>
  <c r="AK57" i="1"/>
  <c r="AN57" i="1" s="1"/>
  <c r="AG57" i="1"/>
  <c r="AJ57" i="1" s="1"/>
  <c r="AC57" i="1"/>
  <c r="AF57" i="1" s="1"/>
  <c r="AG56" i="1"/>
  <c r="AJ56" i="1" s="1"/>
  <c r="AC56" i="1"/>
  <c r="AF56" i="1" s="1"/>
  <c r="AK54" i="1"/>
  <c r="AN54" i="1" s="1"/>
  <c r="AJ54" i="1"/>
  <c r="AC54" i="1"/>
  <c r="AF54" i="1" s="1"/>
  <c r="AK53" i="1"/>
  <c r="AN53" i="1" s="1"/>
  <c r="AG53" i="1"/>
  <c r="AJ53" i="1" s="1"/>
  <c r="AC53" i="1"/>
  <c r="AF53" i="1" s="1"/>
  <c r="AK52" i="1"/>
  <c r="AG52" i="1"/>
  <c r="AJ52" i="1" s="1"/>
  <c r="AC52" i="1"/>
  <c r="AK51" i="1"/>
  <c r="AG51" i="1"/>
  <c r="AC51" i="1"/>
  <c r="AK50" i="1"/>
  <c r="AG50" i="1"/>
  <c r="AC50" i="1"/>
  <c r="AK49" i="1"/>
  <c r="AN49" i="1" s="1"/>
  <c r="AG49" i="1"/>
  <c r="AC49" i="1"/>
  <c r="AG48" i="1"/>
  <c r="AC48" i="1"/>
  <c r="AK46" i="1"/>
  <c r="AN46" i="1" s="1"/>
  <c r="AG46" i="1"/>
  <c r="AC46" i="1"/>
  <c r="AK45" i="1"/>
  <c r="AG45" i="1"/>
  <c r="AC45" i="1"/>
  <c r="AK44" i="1"/>
  <c r="AG44" i="1"/>
  <c r="AC44" i="1"/>
  <c r="AF44" i="1" s="1"/>
  <c r="AK43" i="1"/>
  <c r="AG43" i="1"/>
  <c r="AC43" i="1"/>
  <c r="AK42" i="1"/>
  <c r="AG42" i="1"/>
  <c r="AC42" i="1"/>
  <c r="AK41" i="1"/>
  <c r="AG41" i="1"/>
  <c r="AJ41" i="1" s="1"/>
  <c r="AC41" i="1"/>
  <c r="AK39" i="1"/>
  <c r="AG39" i="1"/>
  <c r="AC39" i="1"/>
  <c r="AK38" i="1"/>
  <c r="AG38" i="1"/>
  <c r="AC38" i="1"/>
  <c r="AK37" i="1"/>
  <c r="AG37" i="1"/>
  <c r="AC37" i="1"/>
  <c r="AK36" i="1"/>
  <c r="AG36" i="1"/>
  <c r="AC36" i="1"/>
  <c r="AK34" i="1"/>
  <c r="AG34" i="1"/>
  <c r="AC34" i="1"/>
  <c r="AK33" i="1"/>
  <c r="AG33" i="1"/>
  <c r="AC33" i="1"/>
  <c r="AK32" i="1"/>
  <c r="AG32" i="1"/>
  <c r="AC32" i="1"/>
  <c r="AK31" i="1"/>
  <c r="AG31" i="1"/>
  <c r="AC31" i="1"/>
  <c r="AK30" i="1"/>
  <c r="AG30" i="1"/>
  <c r="AC30" i="1"/>
  <c r="AK29" i="1"/>
  <c r="AG29" i="1"/>
  <c r="AC29" i="1"/>
  <c r="AK27" i="1"/>
  <c r="AG27" i="1"/>
  <c r="AC27" i="1"/>
  <c r="AK26" i="1"/>
  <c r="AG26" i="1"/>
  <c r="AC26" i="1"/>
  <c r="AK25" i="1"/>
  <c r="AG25" i="1"/>
  <c r="AC25" i="1"/>
  <c r="AK24" i="1"/>
  <c r="AG24" i="1"/>
  <c r="AC24" i="1"/>
  <c r="AK22" i="1"/>
  <c r="AN22" i="1" s="1"/>
  <c r="AG22" i="1"/>
  <c r="AJ22" i="1" s="1"/>
  <c r="AC22" i="1"/>
  <c r="AF22" i="1" s="1"/>
  <c r="AK21" i="1"/>
  <c r="AG21" i="1"/>
  <c r="AC21" i="1"/>
  <c r="AK20" i="1"/>
  <c r="AG20" i="1"/>
  <c r="AC20" i="1"/>
  <c r="AK19" i="1"/>
  <c r="AG19" i="1"/>
  <c r="AC19" i="1"/>
  <c r="AK18" i="1"/>
  <c r="AG18" i="1"/>
  <c r="AC18" i="1"/>
  <c r="AK16" i="1"/>
  <c r="AG16" i="1"/>
  <c r="AC16" i="1"/>
  <c r="AK15" i="1"/>
  <c r="AG15" i="1"/>
  <c r="AC15" i="1"/>
  <c r="AK14" i="1"/>
  <c r="AG14" i="1"/>
  <c r="AC14" i="1"/>
  <c r="AK13" i="1"/>
  <c r="AG13" i="1"/>
  <c r="AC13" i="1"/>
  <c r="AK12" i="1"/>
  <c r="AG12" i="1"/>
  <c r="AC12" i="1"/>
  <c r="AK11" i="1"/>
  <c r="AG11" i="1"/>
  <c r="AC11" i="1"/>
  <c r="AK9" i="1"/>
  <c r="AG9" i="1"/>
  <c r="AC9" i="1"/>
  <c r="AK8" i="1"/>
  <c r="AG8" i="1"/>
  <c r="AJ8" i="1" s="1"/>
  <c r="AC8" i="1"/>
  <c r="AK7" i="1"/>
  <c r="AG7" i="1"/>
  <c r="AJ7" i="1" s="1"/>
  <c r="AC7" i="1"/>
  <c r="AK6" i="1"/>
  <c r="AG6" i="1"/>
  <c r="AJ6" i="1" s="1"/>
  <c r="AC6" i="1"/>
  <c r="AK5" i="1"/>
  <c r="AG5" i="1"/>
  <c r="AC5" i="1"/>
  <c r="V103" i="1"/>
  <c r="T53" i="1"/>
  <c r="C54" i="1"/>
  <c r="P54" i="1"/>
  <c r="S54" i="1" s="1"/>
  <c r="O116" i="1"/>
  <c r="AC116" i="1" s="1"/>
  <c r="O115" i="1"/>
  <c r="BE115" i="1" s="1"/>
  <c r="O114" i="1"/>
  <c r="AK114" i="1" s="1"/>
  <c r="O113" i="1"/>
  <c r="AG113" i="1" s="1"/>
  <c r="O112" i="1"/>
  <c r="AE112" i="1" s="1"/>
  <c r="O111" i="1"/>
  <c r="AL111" i="1" s="1"/>
  <c r="O110" i="1"/>
  <c r="O109" i="1"/>
  <c r="O108" i="1"/>
  <c r="AR108" i="1" s="1"/>
  <c r="O107" i="1"/>
  <c r="BE107" i="1" s="1"/>
  <c r="O106" i="1"/>
  <c r="AM106" i="1" s="1"/>
  <c r="O105" i="1"/>
  <c r="AK105" i="1" s="1"/>
  <c r="O104" i="1"/>
  <c r="AE104" i="1" s="1"/>
  <c r="O103" i="1"/>
  <c r="O102" i="1"/>
  <c r="O101" i="1"/>
  <c r="O100" i="1"/>
  <c r="AL100" i="1" s="1"/>
  <c r="O99" i="1"/>
  <c r="BE99" i="1" s="1"/>
  <c r="O98" i="1"/>
  <c r="AM98" i="1" s="1"/>
  <c r="O97" i="1"/>
  <c r="O96" i="1"/>
  <c r="O95" i="1"/>
  <c r="AH95" i="1" s="1"/>
  <c r="O94" i="1"/>
  <c r="AF94" i="1" s="1"/>
  <c r="O93" i="1"/>
  <c r="O92" i="1"/>
  <c r="O91" i="1"/>
  <c r="BE91" i="1" s="1"/>
  <c r="O90" i="1"/>
  <c r="AM90" i="1" s="1"/>
  <c r="O89" i="1"/>
  <c r="AK89" i="1" s="1"/>
  <c r="O87" i="1"/>
  <c r="X85" i="1"/>
  <c r="T85" i="1"/>
  <c r="P85" i="1"/>
  <c r="X84" i="1"/>
  <c r="T84" i="1"/>
  <c r="P84" i="1"/>
  <c r="X83" i="1"/>
  <c r="T83" i="1"/>
  <c r="P83" i="1"/>
  <c r="X82" i="1"/>
  <c r="T82" i="1"/>
  <c r="P82" i="1"/>
  <c r="X81" i="1"/>
  <c r="T81" i="1"/>
  <c r="P81" i="1"/>
  <c r="X80" i="1"/>
  <c r="T80" i="1"/>
  <c r="P80" i="1"/>
  <c r="X79" i="1"/>
  <c r="T79" i="1"/>
  <c r="P79" i="1"/>
  <c r="X78" i="1"/>
  <c r="T78" i="1"/>
  <c r="P78" i="1"/>
  <c r="X77" i="1"/>
  <c r="T77" i="1"/>
  <c r="P77" i="1"/>
  <c r="X76" i="1"/>
  <c r="T76" i="1"/>
  <c r="P76" i="1"/>
  <c r="X75" i="1"/>
  <c r="T75" i="1"/>
  <c r="P75" i="1"/>
  <c r="X74" i="1"/>
  <c r="T74" i="1"/>
  <c r="P74" i="1"/>
  <c r="X73" i="1"/>
  <c r="T73" i="1"/>
  <c r="P73" i="1"/>
  <c r="X71" i="1"/>
  <c r="T71" i="1"/>
  <c r="P71" i="1"/>
  <c r="X70" i="1"/>
  <c r="T70" i="1"/>
  <c r="P70" i="1"/>
  <c r="X69" i="1"/>
  <c r="T69" i="1"/>
  <c r="P69" i="1"/>
  <c r="X68" i="1"/>
  <c r="T68" i="1"/>
  <c r="P68" i="1"/>
  <c r="X66" i="1"/>
  <c r="T66" i="1"/>
  <c r="P66" i="1"/>
  <c r="X65" i="1"/>
  <c r="T65" i="1"/>
  <c r="P65" i="1"/>
  <c r="X64" i="1"/>
  <c r="T64" i="1"/>
  <c r="P64" i="1"/>
  <c r="X63" i="1"/>
  <c r="T63" i="1"/>
  <c r="P63" i="1"/>
  <c r="X62" i="1"/>
  <c r="T62" i="1"/>
  <c r="P62" i="1"/>
  <c r="X61" i="1"/>
  <c r="T61" i="1"/>
  <c r="P61" i="1"/>
  <c r="X59" i="1"/>
  <c r="T59" i="1"/>
  <c r="W59" i="1" s="1"/>
  <c r="P59" i="1"/>
  <c r="S59" i="1" s="1"/>
  <c r="X58" i="1"/>
  <c r="AA58" i="1" s="1"/>
  <c r="T58" i="1"/>
  <c r="W58" i="1" s="1"/>
  <c r="P58" i="1"/>
  <c r="S58" i="1" s="1"/>
  <c r="X57" i="1"/>
  <c r="AA57" i="1" s="1"/>
  <c r="T57" i="1"/>
  <c r="W57" i="1" s="1"/>
  <c r="P57" i="1"/>
  <c r="S57" i="1" s="1"/>
  <c r="T56" i="1"/>
  <c r="W56" i="1" s="1"/>
  <c r="P56" i="1"/>
  <c r="S56" i="1" s="1"/>
  <c r="X54" i="1"/>
  <c r="AA54" i="1" s="1"/>
  <c r="W54" i="1"/>
  <c r="X53" i="1"/>
  <c r="AA53" i="1" s="1"/>
  <c r="W53" i="1"/>
  <c r="P53" i="1"/>
  <c r="S53" i="1" s="1"/>
  <c r="X52" i="1"/>
  <c r="T52" i="1"/>
  <c r="P52" i="1"/>
  <c r="X51" i="1"/>
  <c r="T51" i="1"/>
  <c r="P51" i="1"/>
  <c r="X50" i="1"/>
  <c r="T50" i="1"/>
  <c r="P50" i="1"/>
  <c r="X49" i="1"/>
  <c r="T49" i="1"/>
  <c r="P49" i="1"/>
  <c r="T48" i="1"/>
  <c r="P48" i="1"/>
  <c r="X46" i="1"/>
  <c r="T46" i="1"/>
  <c r="P46" i="1"/>
  <c r="X45" i="1"/>
  <c r="T45" i="1"/>
  <c r="P45" i="1"/>
  <c r="S45" i="1" s="1"/>
  <c r="X44" i="1"/>
  <c r="T44" i="1"/>
  <c r="P44" i="1"/>
  <c r="X43" i="1"/>
  <c r="T43" i="1"/>
  <c r="P43" i="1"/>
  <c r="X42" i="1"/>
  <c r="T42" i="1"/>
  <c r="W42" i="1" s="1"/>
  <c r="P42" i="1"/>
  <c r="X41" i="1"/>
  <c r="T41" i="1"/>
  <c r="P41" i="1"/>
  <c r="X39" i="1"/>
  <c r="T39" i="1"/>
  <c r="P39" i="1"/>
  <c r="X38" i="1"/>
  <c r="T38" i="1"/>
  <c r="P38" i="1"/>
  <c r="X37" i="1"/>
  <c r="T37" i="1"/>
  <c r="P37" i="1"/>
  <c r="X36" i="1"/>
  <c r="T36" i="1"/>
  <c r="P36" i="1"/>
  <c r="X34" i="1"/>
  <c r="T34" i="1"/>
  <c r="P34" i="1"/>
  <c r="X33" i="1"/>
  <c r="T33" i="1"/>
  <c r="P33" i="1"/>
  <c r="X32" i="1"/>
  <c r="T32" i="1"/>
  <c r="W14" i="1" s="1"/>
  <c r="P32" i="1"/>
  <c r="X31" i="1"/>
  <c r="T31" i="1"/>
  <c r="P31" i="1"/>
  <c r="X30" i="1"/>
  <c r="T30" i="1"/>
  <c r="P30" i="1"/>
  <c r="X29" i="1"/>
  <c r="T29" i="1"/>
  <c r="P29" i="1"/>
  <c r="X27" i="1"/>
  <c r="T27" i="1"/>
  <c r="P27" i="1"/>
  <c r="X26" i="1"/>
  <c r="T26" i="1"/>
  <c r="P26" i="1"/>
  <c r="X25" i="1"/>
  <c r="T25" i="1"/>
  <c r="P25" i="1"/>
  <c r="X24" i="1"/>
  <c r="T24" i="1"/>
  <c r="P24" i="1"/>
  <c r="X22" i="1"/>
  <c r="AA22" i="1" s="1"/>
  <c r="T22" i="1"/>
  <c r="W22" i="1" s="1"/>
  <c r="P22" i="1"/>
  <c r="S22" i="1" s="1"/>
  <c r="X21" i="1"/>
  <c r="X91" i="1" s="1"/>
  <c r="T21" i="1"/>
  <c r="P21" i="1"/>
  <c r="X20" i="1"/>
  <c r="T20" i="1"/>
  <c r="P20" i="1"/>
  <c r="X19" i="1"/>
  <c r="T19" i="1"/>
  <c r="P19" i="1"/>
  <c r="X18" i="1"/>
  <c r="T18" i="1"/>
  <c r="P18" i="1"/>
  <c r="X16" i="1"/>
  <c r="T16" i="1"/>
  <c r="P16" i="1"/>
  <c r="X15" i="1"/>
  <c r="T15" i="1"/>
  <c r="P15" i="1"/>
  <c r="X14" i="1"/>
  <c r="T14" i="1"/>
  <c r="P14" i="1"/>
  <c r="X13" i="1"/>
  <c r="T13" i="1"/>
  <c r="P13" i="1"/>
  <c r="X12" i="1"/>
  <c r="T12" i="1"/>
  <c r="P12" i="1"/>
  <c r="X11" i="1"/>
  <c r="T11" i="1"/>
  <c r="P11" i="1"/>
  <c r="X9" i="1"/>
  <c r="T9" i="1"/>
  <c r="P9" i="1"/>
  <c r="X8" i="1"/>
  <c r="T8" i="1"/>
  <c r="P8" i="1"/>
  <c r="X7" i="1"/>
  <c r="T7" i="1"/>
  <c r="W7" i="1" s="1"/>
  <c r="P7" i="1"/>
  <c r="X6" i="1"/>
  <c r="AA6" i="1" s="1"/>
  <c r="T6" i="1"/>
  <c r="P6" i="1"/>
  <c r="X5" i="1"/>
  <c r="T5" i="1"/>
  <c r="P5" i="1"/>
  <c r="B116" i="1"/>
  <c r="M116" i="1" s="1"/>
  <c r="B115" i="1"/>
  <c r="M115" i="1" s="1"/>
  <c r="B114" i="1"/>
  <c r="B113" i="1"/>
  <c r="M113" i="1" s="1"/>
  <c r="B112" i="1"/>
  <c r="B111" i="1"/>
  <c r="L111" i="1" s="1"/>
  <c r="B110" i="1"/>
  <c r="B109" i="1"/>
  <c r="D109" i="1" s="1"/>
  <c r="B108" i="1"/>
  <c r="H108" i="1" s="1"/>
  <c r="B107" i="1"/>
  <c r="D107" i="1" s="1"/>
  <c r="B106" i="1"/>
  <c r="L106" i="1" s="1"/>
  <c r="B105" i="1"/>
  <c r="B104" i="1"/>
  <c r="M104" i="1" s="1"/>
  <c r="B103" i="1"/>
  <c r="I103" i="1" s="1"/>
  <c r="B102" i="1"/>
  <c r="B101" i="1"/>
  <c r="L101" i="1" s="1"/>
  <c r="B100" i="1"/>
  <c r="L100" i="1" s="1"/>
  <c r="B95" i="1"/>
  <c r="H95" i="1" s="1"/>
  <c r="B94" i="1"/>
  <c r="H94" i="1" s="1"/>
  <c r="B93" i="1"/>
  <c r="B92" i="1"/>
  <c r="I92" i="1" s="1"/>
  <c r="B99" i="1"/>
  <c r="I99" i="1" s="1"/>
  <c r="B98" i="1"/>
  <c r="D98" i="1" s="1"/>
  <c r="B97" i="1"/>
  <c r="L97" i="1" s="1"/>
  <c r="B96" i="1"/>
  <c r="M96" i="1" s="1"/>
  <c r="B91" i="1"/>
  <c r="E91" i="1" s="1"/>
  <c r="B90" i="1"/>
  <c r="B89" i="1"/>
  <c r="D89" i="1" s="1"/>
  <c r="L112" i="1"/>
  <c r="D112" i="1"/>
  <c r="M110" i="1"/>
  <c r="L110" i="1"/>
  <c r="I110" i="1"/>
  <c r="L109" i="1"/>
  <c r="I109" i="1"/>
  <c r="H109" i="1"/>
  <c r="E109" i="1"/>
  <c r="I104" i="1"/>
  <c r="H104" i="1"/>
  <c r="E104" i="1"/>
  <c r="D104" i="1"/>
  <c r="E102" i="1"/>
  <c r="M101" i="1"/>
  <c r="I101" i="1"/>
  <c r="H101" i="1"/>
  <c r="D101" i="1"/>
  <c r="M98" i="1"/>
  <c r="L98" i="1"/>
  <c r="I98" i="1"/>
  <c r="H98" i="1"/>
  <c r="M97" i="1"/>
  <c r="H97" i="1"/>
  <c r="E97" i="1"/>
  <c r="D97" i="1"/>
  <c r="M92" i="1"/>
  <c r="L92" i="1"/>
  <c r="H92" i="1"/>
  <c r="E92" i="1"/>
  <c r="D92" i="1"/>
  <c r="K19" i="1"/>
  <c r="K20" i="1"/>
  <c r="K98" i="1" s="1"/>
  <c r="K21" i="1"/>
  <c r="K22" i="1"/>
  <c r="N22" i="1" s="1"/>
  <c r="C53" i="1"/>
  <c r="F53" i="1" s="1"/>
  <c r="B87" i="1"/>
  <c r="K85" i="1"/>
  <c r="G85" i="1"/>
  <c r="C85" i="1"/>
  <c r="K84" i="1"/>
  <c r="G84" i="1"/>
  <c r="C84" i="1"/>
  <c r="K83" i="1"/>
  <c r="G83" i="1"/>
  <c r="C83" i="1"/>
  <c r="K82" i="1"/>
  <c r="G82" i="1"/>
  <c r="C82" i="1"/>
  <c r="K81" i="1"/>
  <c r="G81" i="1"/>
  <c r="C81" i="1"/>
  <c r="K80" i="1"/>
  <c r="G80" i="1"/>
  <c r="C80" i="1"/>
  <c r="K79" i="1"/>
  <c r="G79" i="1"/>
  <c r="C79" i="1"/>
  <c r="K78" i="1"/>
  <c r="G78" i="1"/>
  <c r="C78" i="1"/>
  <c r="K77" i="1"/>
  <c r="G77" i="1"/>
  <c r="C77" i="1"/>
  <c r="K76" i="1"/>
  <c r="G76" i="1"/>
  <c r="C76" i="1"/>
  <c r="K75" i="1"/>
  <c r="K102" i="1" s="1"/>
  <c r="G75" i="1"/>
  <c r="C75" i="1"/>
  <c r="C102" i="1" s="1"/>
  <c r="K74" i="1"/>
  <c r="K109" i="1" s="1"/>
  <c r="G74" i="1"/>
  <c r="G109" i="1" s="1"/>
  <c r="C74" i="1"/>
  <c r="K73" i="1"/>
  <c r="G73" i="1"/>
  <c r="C73" i="1"/>
  <c r="K71" i="1"/>
  <c r="G71" i="1"/>
  <c r="C71" i="1"/>
  <c r="K70" i="1"/>
  <c r="G70" i="1"/>
  <c r="C70" i="1"/>
  <c r="K69" i="1"/>
  <c r="G69" i="1"/>
  <c r="C69" i="1"/>
  <c r="K68" i="1"/>
  <c r="G68" i="1"/>
  <c r="C68" i="1"/>
  <c r="K66" i="1"/>
  <c r="G66" i="1"/>
  <c r="C66" i="1"/>
  <c r="K65" i="1"/>
  <c r="G65" i="1"/>
  <c r="C65" i="1"/>
  <c r="K64" i="1"/>
  <c r="G64" i="1"/>
  <c r="C64" i="1"/>
  <c r="K63" i="1"/>
  <c r="G63" i="1"/>
  <c r="C63" i="1"/>
  <c r="K62" i="1"/>
  <c r="G62" i="1"/>
  <c r="C62" i="1"/>
  <c r="K61" i="1"/>
  <c r="G61" i="1"/>
  <c r="C61" i="1"/>
  <c r="K59" i="1"/>
  <c r="G59" i="1"/>
  <c r="J59" i="1" s="1"/>
  <c r="C59" i="1"/>
  <c r="K58" i="1"/>
  <c r="G58" i="1"/>
  <c r="C58" i="1"/>
  <c r="K57" i="1"/>
  <c r="G57" i="1"/>
  <c r="C57" i="1"/>
  <c r="G56" i="1"/>
  <c r="C56" i="1"/>
  <c r="K54" i="1"/>
  <c r="N54" i="1" s="1"/>
  <c r="J54" i="1"/>
  <c r="F54" i="1"/>
  <c r="K53" i="1"/>
  <c r="N53" i="1" s="1"/>
  <c r="J53" i="1"/>
  <c r="K52" i="1"/>
  <c r="G52" i="1"/>
  <c r="C52" i="1"/>
  <c r="K51" i="1"/>
  <c r="G51" i="1"/>
  <c r="C51" i="1"/>
  <c r="K50" i="1"/>
  <c r="G50" i="1"/>
  <c r="C50" i="1"/>
  <c r="K49" i="1"/>
  <c r="G49" i="1"/>
  <c r="C49" i="1"/>
  <c r="G48" i="1"/>
  <c r="C48" i="1"/>
  <c r="K46" i="1"/>
  <c r="G46" i="1"/>
  <c r="J46" i="1" s="1"/>
  <c r="C46" i="1"/>
  <c r="F46" i="1" s="1"/>
  <c r="K45" i="1"/>
  <c r="G45" i="1"/>
  <c r="C45" i="1"/>
  <c r="K44" i="1"/>
  <c r="G44" i="1"/>
  <c r="C44" i="1"/>
  <c r="K43" i="1"/>
  <c r="G43" i="1"/>
  <c r="J43" i="1" s="1"/>
  <c r="C43" i="1"/>
  <c r="K42" i="1"/>
  <c r="G42" i="1"/>
  <c r="C42" i="1"/>
  <c r="K41" i="1"/>
  <c r="N41" i="1" s="1"/>
  <c r="G41" i="1"/>
  <c r="C41" i="1"/>
  <c r="K39" i="1"/>
  <c r="N21" i="1" s="1"/>
  <c r="G39" i="1"/>
  <c r="C39" i="1"/>
  <c r="K38" i="1"/>
  <c r="G38" i="1"/>
  <c r="C38" i="1"/>
  <c r="K37" i="1"/>
  <c r="G37" i="1"/>
  <c r="C37" i="1"/>
  <c r="K36" i="1"/>
  <c r="G36" i="1"/>
  <c r="C36" i="1"/>
  <c r="K34" i="1"/>
  <c r="G34" i="1"/>
  <c r="C34" i="1"/>
  <c r="K33" i="1"/>
  <c r="G33" i="1"/>
  <c r="C33" i="1"/>
  <c r="K32" i="1"/>
  <c r="G32" i="1"/>
  <c r="C32" i="1"/>
  <c r="K31" i="1"/>
  <c r="G31" i="1"/>
  <c r="C31" i="1"/>
  <c r="K30" i="1"/>
  <c r="G30" i="1"/>
  <c r="C30" i="1"/>
  <c r="K29" i="1"/>
  <c r="G29" i="1"/>
  <c r="C29" i="1"/>
  <c r="K27" i="1"/>
  <c r="G27" i="1"/>
  <c r="C27" i="1"/>
  <c r="K26" i="1"/>
  <c r="G26" i="1"/>
  <c r="C26" i="1"/>
  <c r="K25" i="1"/>
  <c r="G25" i="1"/>
  <c r="C25" i="1"/>
  <c r="K24" i="1"/>
  <c r="G24" i="1"/>
  <c r="C24" i="1"/>
  <c r="G22" i="1"/>
  <c r="J22" i="1" s="1"/>
  <c r="C22" i="1"/>
  <c r="F22" i="1" s="1"/>
  <c r="G21" i="1"/>
  <c r="C21" i="1"/>
  <c r="G20" i="1"/>
  <c r="G98" i="1" s="1"/>
  <c r="C20" i="1"/>
  <c r="G19" i="1"/>
  <c r="C19" i="1"/>
  <c r="K18" i="1"/>
  <c r="K112" i="1" s="1"/>
  <c r="G18" i="1"/>
  <c r="C18" i="1"/>
  <c r="K16" i="1"/>
  <c r="G16" i="1"/>
  <c r="C16" i="1"/>
  <c r="K15" i="1"/>
  <c r="G15" i="1"/>
  <c r="C15" i="1"/>
  <c r="K14" i="1"/>
  <c r="G14" i="1"/>
  <c r="C14" i="1"/>
  <c r="K13" i="1"/>
  <c r="G13" i="1"/>
  <c r="C13" i="1"/>
  <c r="K12" i="1"/>
  <c r="K104" i="1" s="1"/>
  <c r="G12" i="1"/>
  <c r="C12" i="1"/>
  <c r="C104" i="1" s="1"/>
  <c r="K11" i="1"/>
  <c r="G11" i="1"/>
  <c r="C11" i="1"/>
  <c r="K9" i="1"/>
  <c r="G9" i="1"/>
  <c r="C9" i="1"/>
  <c r="K8" i="1"/>
  <c r="G8" i="1"/>
  <c r="C8" i="1"/>
  <c r="K7" i="1"/>
  <c r="K96" i="1" s="1"/>
  <c r="G7" i="1"/>
  <c r="C7" i="1"/>
  <c r="K6" i="1"/>
  <c r="G6" i="1"/>
  <c r="C6" i="1"/>
  <c r="K5" i="1"/>
  <c r="G5" i="1"/>
  <c r="C5" i="1"/>
  <c r="BI92" i="1" l="1"/>
  <c r="CZ92" i="1"/>
  <c r="CR92" i="1"/>
  <c r="CY92" i="1"/>
  <c r="CQ92" i="1"/>
  <c r="CX92" i="1"/>
  <c r="CP92" i="1"/>
  <c r="CV92" i="1"/>
  <c r="CU92" i="1"/>
  <c r="CT92" i="1"/>
  <c r="BL93" i="1"/>
  <c r="CV93" i="1"/>
  <c r="CU93" i="1"/>
  <c r="CT93" i="1"/>
  <c r="CS93" i="1"/>
  <c r="CZ93" i="1"/>
  <c r="CR93" i="1"/>
  <c r="CY93" i="1"/>
  <c r="CQ93" i="1"/>
  <c r="CX93" i="1"/>
  <c r="CP93" i="1"/>
  <c r="AI101" i="1"/>
  <c r="CV101" i="1"/>
  <c r="CU101" i="1"/>
  <c r="CT101" i="1"/>
  <c r="DA101" i="1"/>
  <c r="CS101" i="1"/>
  <c r="CZ101" i="1"/>
  <c r="CR101" i="1"/>
  <c r="CY101" i="1"/>
  <c r="CQ101" i="1"/>
  <c r="CX101" i="1"/>
  <c r="CP101" i="1"/>
  <c r="CW101" i="1"/>
  <c r="BL109" i="1"/>
  <c r="CV109" i="1"/>
  <c r="CU109" i="1"/>
  <c r="CT109" i="1"/>
  <c r="CZ109" i="1"/>
  <c r="CR109" i="1"/>
  <c r="CY109" i="1"/>
  <c r="CQ109" i="1"/>
  <c r="CX109" i="1"/>
  <c r="CP109" i="1"/>
  <c r="AP92" i="1"/>
  <c r="AP90" i="1"/>
  <c r="AH111" i="1"/>
  <c r="AU99" i="1"/>
  <c r="AP111" i="1"/>
  <c r="BI116" i="1"/>
  <c r="CZ116" i="1"/>
  <c r="CR116" i="1"/>
  <c r="CY116" i="1"/>
  <c r="CQ116" i="1"/>
  <c r="CX116" i="1"/>
  <c r="CP116" i="1"/>
  <c r="CV116" i="1"/>
  <c r="CU116" i="1"/>
  <c r="CT116" i="1"/>
  <c r="AL92" i="1"/>
  <c r="CY94" i="1"/>
  <c r="CQ94" i="1"/>
  <c r="CX94" i="1"/>
  <c r="CP94" i="1"/>
  <c r="CW94" i="1"/>
  <c r="CV94" i="1"/>
  <c r="CU94" i="1"/>
  <c r="CT94" i="1"/>
  <c r="DA94" i="1"/>
  <c r="CS94" i="1"/>
  <c r="CZ94" i="1"/>
  <c r="CR94" i="1"/>
  <c r="CY102" i="1"/>
  <c r="CQ102" i="1"/>
  <c r="CX102" i="1"/>
  <c r="CP102" i="1"/>
  <c r="CW102" i="1"/>
  <c r="CV102" i="1"/>
  <c r="CU102" i="1"/>
  <c r="CT102" i="1"/>
  <c r="CZ102" i="1"/>
  <c r="CR102" i="1"/>
  <c r="CY110" i="1"/>
  <c r="CQ110" i="1"/>
  <c r="CX110" i="1"/>
  <c r="CP110" i="1"/>
  <c r="CV110" i="1"/>
  <c r="CU110" i="1"/>
  <c r="CT110" i="1"/>
  <c r="CZ110" i="1"/>
  <c r="CR110" i="1"/>
  <c r="AK110" i="1"/>
  <c r="AC100" i="1"/>
  <c r="AH116" i="1"/>
  <c r="AV100" i="1"/>
  <c r="AR114" i="1"/>
  <c r="S52" i="1"/>
  <c r="BI95" i="1"/>
  <c r="CT95" i="1"/>
  <c r="CZ95" i="1"/>
  <c r="CR95" i="1"/>
  <c r="CY95" i="1"/>
  <c r="CQ95" i="1"/>
  <c r="CX95" i="1"/>
  <c r="CP95" i="1"/>
  <c r="CV95" i="1"/>
  <c r="CU95" i="1"/>
  <c r="BI103" i="1"/>
  <c r="CT103" i="1"/>
  <c r="CZ103" i="1"/>
  <c r="CR103" i="1"/>
  <c r="CY103" i="1"/>
  <c r="CQ103" i="1"/>
  <c r="CX103" i="1"/>
  <c r="CP103" i="1"/>
  <c r="CV103" i="1"/>
  <c r="CU103" i="1"/>
  <c r="BI111" i="1"/>
  <c r="CT111" i="1"/>
  <c r="CZ111" i="1"/>
  <c r="CR111" i="1"/>
  <c r="CY111" i="1"/>
  <c r="CQ111" i="1"/>
  <c r="CX111" i="1"/>
  <c r="CP111" i="1"/>
  <c r="CV111" i="1"/>
  <c r="CU111" i="1"/>
  <c r="AW78" i="1"/>
  <c r="BA75" i="1"/>
  <c r="DA102" i="1" s="1"/>
  <c r="AS73" i="1"/>
  <c r="AS116" i="1" s="1"/>
  <c r="AD90" i="1"/>
  <c r="AL95" i="1"/>
  <c r="AG100" i="1"/>
  <c r="AD106" i="1"/>
  <c r="AM116" i="1"/>
  <c r="AQ103" i="1"/>
  <c r="AV115" i="1"/>
  <c r="D103" i="1"/>
  <c r="AX96" i="1"/>
  <c r="CV96" i="1"/>
  <c r="CU96" i="1"/>
  <c r="CT96" i="1"/>
  <c r="CZ96" i="1"/>
  <c r="CR96" i="1"/>
  <c r="CY96" i="1"/>
  <c r="CQ96" i="1"/>
  <c r="CX96" i="1"/>
  <c r="CP96" i="1"/>
  <c r="CV104" i="1"/>
  <c r="CU104" i="1"/>
  <c r="CT104" i="1"/>
  <c r="CZ104" i="1"/>
  <c r="CR104" i="1"/>
  <c r="CY104" i="1"/>
  <c r="CQ104" i="1"/>
  <c r="CX104" i="1"/>
  <c r="CP104" i="1"/>
  <c r="AT112" i="1"/>
  <c r="CV112" i="1"/>
  <c r="CU112" i="1"/>
  <c r="CT112" i="1"/>
  <c r="CZ112" i="1"/>
  <c r="CR112" i="1"/>
  <c r="CY112" i="1"/>
  <c r="CQ112" i="1"/>
  <c r="CX112" i="1"/>
  <c r="CP112" i="1"/>
  <c r="Q94" i="1"/>
  <c r="AJ15" i="1"/>
  <c r="AF19" i="1"/>
  <c r="AH90" i="1"/>
  <c r="AE96" i="1"/>
  <c r="AH106" i="1"/>
  <c r="AQ95" i="1"/>
  <c r="AY103" i="1"/>
  <c r="BI100" i="1"/>
  <c r="DA100" i="1"/>
  <c r="CZ100" i="1"/>
  <c r="CR100" i="1"/>
  <c r="CY100" i="1"/>
  <c r="CQ100" i="1"/>
  <c r="CX100" i="1"/>
  <c r="CP100" i="1"/>
  <c r="CV100" i="1"/>
  <c r="CU100" i="1"/>
  <c r="CT100" i="1"/>
  <c r="G103" i="1"/>
  <c r="AU89" i="1"/>
  <c r="CZ89" i="1"/>
  <c r="CR89" i="1"/>
  <c r="CY89" i="1"/>
  <c r="CQ89" i="1"/>
  <c r="CX89" i="1"/>
  <c r="CP89" i="1"/>
  <c r="CV89" i="1"/>
  <c r="CU89" i="1"/>
  <c r="CT89" i="1"/>
  <c r="CZ97" i="1"/>
  <c r="CR97" i="1"/>
  <c r="CY97" i="1"/>
  <c r="CQ97" i="1"/>
  <c r="CX97" i="1"/>
  <c r="CP97" i="1"/>
  <c r="CV97" i="1"/>
  <c r="CU97" i="1"/>
  <c r="CT97" i="1"/>
  <c r="AR105" i="1"/>
  <c r="CZ105" i="1"/>
  <c r="CR105" i="1"/>
  <c r="CY105" i="1"/>
  <c r="CQ105" i="1"/>
  <c r="CX105" i="1"/>
  <c r="CP105" i="1"/>
  <c r="CV105" i="1"/>
  <c r="CU105" i="1"/>
  <c r="CT105" i="1"/>
  <c r="AQ113" i="1"/>
  <c r="CZ113" i="1"/>
  <c r="CR113" i="1"/>
  <c r="CY113" i="1"/>
  <c r="CQ113" i="1"/>
  <c r="CX113" i="1"/>
  <c r="CP113" i="1"/>
  <c r="CV113" i="1"/>
  <c r="CU113" i="1"/>
  <c r="CT113" i="1"/>
  <c r="V96" i="1"/>
  <c r="AX106" i="1"/>
  <c r="BA12" i="1"/>
  <c r="DA104" i="1" s="1"/>
  <c r="AJ96" i="1"/>
  <c r="AK102" i="1"/>
  <c r="AE114" i="1"/>
  <c r="AZ95" i="1"/>
  <c r="AU104" i="1"/>
  <c r="BF18" i="1"/>
  <c r="BI108" i="1"/>
  <c r="DA108" i="1"/>
  <c r="CS108" i="1"/>
  <c r="CZ108" i="1"/>
  <c r="CR108" i="1"/>
  <c r="CY108" i="1"/>
  <c r="CQ108" i="1"/>
  <c r="CX108" i="1"/>
  <c r="CP108" i="1"/>
  <c r="CW108" i="1"/>
  <c r="CV108" i="1"/>
  <c r="CU108" i="1"/>
  <c r="CT108" i="1"/>
  <c r="AW76" i="1"/>
  <c r="CW95" i="1" s="1"/>
  <c r="AC92" i="1"/>
  <c r="AG97" i="1"/>
  <c r="AC103" i="1"/>
  <c r="AG108" i="1"/>
  <c r="AV96" i="1"/>
  <c r="AY105" i="1"/>
  <c r="BN77" i="1"/>
  <c r="BC90" i="1"/>
  <c r="CU90" i="1"/>
  <c r="CT90" i="1"/>
  <c r="CZ90" i="1"/>
  <c r="CR90" i="1"/>
  <c r="CY90" i="1"/>
  <c r="CQ90" i="1"/>
  <c r="CX90" i="1"/>
  <c r="CP90" i="1"/>
  <c r="CV90" i="1"/>
  <c r="BC98" i="1"/>
  <c r="CU98" i="1"/>
  <c r="CT98" i="1"/>
  <c r="CZ98" i="1"/>
  <c r="CR98" i="1"/>
  <c r="CY98" i="1"/>
  <c r="CQ98" i="1"/>
  <c r="CX98" i="1"/>
  <c r="CP98" i="1"/>
  <c r="CV98" i="1"/>
  <c r="BC106" i="1"/>
  <c r="CU106" i="1"/>
  <c r="CT106" i="1"/>
  <c r="CZ106" i="1"/>
  <c r="CR106" i="1"/>
  <c r="CY106" i="1"/>
  <c r="CQ106" i="1"/>
  <c r="CX106" i="1"/>
  <c r="CP106" i="1"/>
  <c r="CV106" i="1"/>
  <c r="BC114" i="1"/>
  <c r="CU114" i="1"/>
  <c r="CT114" i="1"/>
  <c r="CZ114" i="1"/>
  <c r="CR114" i="1"/>
  <c r="CY114" i="1"/>
  <c r="CQ114" i="1"/>
  <c r="CX114" i="1"/>
  <c r="CP114" i="1"/>
  <c r="CV114" i="1"/>
  <c r="AK91" i="1"/>
  <c r="CX91" i="1"/>
  <c r="CP91" i="1"/>
  <c r="CV91" i="1"/>
  <c r="CU91" i="1"/>
  <c r="CT91" i="1"/>
  <c r="CZ91" i="1"/>
  <c r="CR91" i="1"/>
  <c r="CY91" i="1"/>
  <c r="CQ91" i="1"/>
  <c r="AG99" i="1"/>
  <c r="CX99" i="1"/>
  <c r="CP99" i="1"/>
  <c r="CV99" i="1"/>
  <c r="CU99" i="1"/>
  <c r="CT99" i="1"/>
  <c r="CZ99" i="1"/>
  <c r="CR99" i="1"/>
  <c r="CY99" i="1"/>
  <c r="CQ99" i="1"/>
  <c r="AQ107" i="1"/>
  <c r="CX107" i="1"/>
  <c r="CP107" i="1"/>
  <c r="CV107" i="1"/>
  <c r="CU107" i="1"/>
  <c r="CT107" i="1"/>
  <c r="CZ107" i="1"/>
  <c r="CR107" i="1"/>
  <c r="CY107" i="1"/>
  <c r="CQ107" i="1"/>
  <c r="AZ115" i="1"/>
  <c r="CX115" i="1"/>
  <c r="CP115" i="1"/>
  <c r="CW115" i="1"/>
  <c r="CV115" i="1"/>
  <c r="CU115" i="1"/>
  <c r="CT115" i="1"/>
  <c r="DA115" i="1"/>
  <c r="CS115" i="1"/>
  <c r="CZ115" i="1"/>
  <c r="CR115" i="1"/>
  <c r="CY115" i="1"/>
  <c r="CQ115" i="1"/>
  <c r="X112" i="1"/>
  <c r="AG92" i="1"/>
  <c r="AD98" i="1"/>
  <c r="AH103" i="1"/>
  <c r="AL108" i="1"/>
  <c r="AD115" i="1"/>
  <c r="AZ97" i="1"/>
  <c r="AZ106" i="1"/>
  <c r="BJ12" i="1"/>
  <c r="BF15" i="1"/>
  <c r="BN18" i="1"/>
  <c r="BJ21" i="1"/>
  <c r="BJ41" i="1"/>
  <c r="BF44" i="1"/>
  <c r="BN46" i="1"/>
  <c r="BN50" i="1"/>
  <c r="AI93" i="1"/>
  <c r="CL94" i="1"/>
  <c r="CD94" i="1"/>
  <c r="BZ94" i="1"/>
  <c r="BR94" i="1"/>
  <c r="CK94" i="1"/>
  <c r="CC94" i="1"/>
  <c r="CJ94" i="1"/>
  <c r="CI94" i="1"/>
  <c r="CH94" i="1"/>
  <c r="CG94" i="1"/>
  <c r="CN94" i="1"/>
  <c r="CF94" i="1"/>
  <c r="CE94" i="1"/>
  <c r="BW94" i="1"/>
  <c r="BV94" i="1"/>
  <c r="BU94" i="1"/>
  <c r="BT94" i="1"/>
  <c r="CM94" i="1"/>
  <c r="BS94" i="1"/>
  <c r="CA94" i="1"/>
  <c r="BQ94" i="1"/>
  <c r="BX94" i="1"/>
  <c r="BY94" i="1"/>
  <c r="BP94" i="1"/>
  <c r="BM94" i="1"/>
  <c r="BE94" i="1"/>
  <c r="AZ94" i="1"/>
  <c r="AQ94" i="1"/>
  <c r="AI94" i="1"/>
  <c r="BL94" i="1"/>
  <c r="BD94" i="1"/>
  <c r="AY94" i="1"/>
  <c r="AP94" i="1"/>
  <c r="BK94" i="1"/>
  <c r="BC94" i="1"/>
  <c r="AW94" i="1"/>
  <c r="BJ94" i="1"/>
  <c r="BI94" i="1"/>
  <c r="AU94" i="1"/>
  <c r="BH94" i="1"/>
  <c r="CL102" i="1"/>
  <c r="CD102" i="1"/>
  <c r="BZ102" i="1"/>
  <c r="BR102" i="1"/>
  <c r="CK102" i="1"/>
  <c r="CC102" i="1"/>
  <c r="CJ102" i="1"/>
  <c r="CI102" i="1"/>
  <c r="CH102" i="1"/>
  <c r="CG102" i="1"/>
  <c r="CN102" i="1"/>
  <c r="CA102" i="1"/>
  <c r="BQ102" i="1"/>
  <c r="BY102" i="1"/>
  <c r="BP102" i="1"/>
  <c r="CM102" i="1"/>
  <c r="BX102" i="1"/>
  <c r="CE102" i="1"/>
  <c r="BW102" i="1"/>
  <c r="BV102" i="1"/>
  <c r="BT102" i="1"/>
  <c r="BU102" i="1"/>
  <c r="BM102" i="1"/>
  <c r="BE102" i="1"/>
  <c r="AT102" i="1"/>
  <c r="AI102" i="1"/>
  <c r="BL102" i="1"/>
  <c r="BD102" i="1"/>
  <c r="BA102" i="1"/>
  <c r="AR102" i="1"/>
  <c r="BK102" i="1"/>
  <c r="BC102" i="1"/>
  <c r="AZ102" i="1"/>
  <c r="AQ102" i="1"/>
  <c r="BJ102" i="1"/>
  <c r="BI102" i="1"/>
  <c r="AX102" i="1"/>
  <c r="BH102" i="1"/>
  <c r="CL110" i="1"/>
  <c r="CD110" i="1"/>
  <c r="BZ110" i="1"/>
  <c r="BR110" i="1"/>
  <c r="CK110" i="1"/>
  <c r="CC110" i="1"/>
  <c r="CI110" i="1"/>
  <c r="CH110" i="1"/>
  <c r="CG110" i="1"/>
  <c r="CE110" i="1"/>
  <c r="BV110" i="1"/>
  <c r="BU110" i="1"/>
  <c r="BT110" i="1"/>
  <c r="BQ110" i="1"/>
  <c r="CM110" i="1"/>
  <c r="BX110" i="1"/>
  <c r="BY110" i="1"/>
  <c r="BP110" i="1"/>
  <c r="BM110" i="1"/>
  <c r="BE110" i="1"/>
  <c r="AZ110" i="1"/>
  <c r="AR110" i="1"/>
  <c r="AI110" i="1"/>
  <c r="BL110" i="1"/>
  <c r="BD110" i="1"/>
  <c r="AY110" i="1"/>
  <c r="AQ110" i="1"/>
  <c r="BK110" i="1"/>
  <c r="BC110" i="1"/>
  <c r="AX110" i="1"/>
  <c r="AP110" i="1"/>
  <c r="BI110" i="1"/>
  <c r="AV110" i="1"/>
  <c r="BH110" i="1"/>
  <c r="AU110" i="1"/>
  <c r="V109" i="1"/>
  <c r="AW77" i="1"/>
  <c r="AP102" i="1"/>
  <c r="BA101" i="1"/>
  <c r="AX99" i="1"/>
  <c r="AP113" i="1"/>
  <c r="AT107" i="1"/>
  <c r="AC89" i="1"/>
  <c r="AL89" i="1"/>
  <c r="AG91" i="1"/>
  <c r="AD92" i="1"/>
  <c r="AM92" i="1"/>
  <c r="AG94" i="1"/>
  <c r="AD95" i="1"/>
  <c r="AK96" i="1"/>
  <c r="AH97" i="1"/>
  <c r="AE98" i="1"/>
  <c r="AK99" i="1"/>
  <c r="AH100" i="1"/>
  <c r="AF101" i="1"/>
  <c r="AC102" i="1"/>
  <c r="AL102" i="1"/>
  <c r="AI103" i="1"/>
  <c r="AC105" i="1"/>
  <c r="AL105" i="1"/>
  <c r="AG107" i="1"/>
  <c r="AD108" i="1"/>
  <c r="AM108" i="1"/>
  <c r="AG110" i="1"/>
  <c r="AD111" i="1"/>
  <c r="AK112" i="1"/>
  <c r="AH113" i="1"/>
  <c r="AF115" i="1"/>
  <c r="AD116" i="1"/>
  <c r="AQ90" i="1"/>
  <c r="AT91" i="1"/>
  <c r="AR93" i="1"/>
  <c r="AR95" i="1"/>
  <c r="AV99" i="1"/>
  <c r="AV101" i="1"/>
  <c r="AR103" i="1"/>
  <c r="AV104" i="1"/>
  <c r="AZ105" i="1"/>
  <c r="AU108" i="1"/>
  <c r="AT110" i="1"/>
  <c r="AY114" i="1"/>
  <c r="AX116" i="1"/>
  <c r="BG89" i="1"/>
  <c r="BD93" i="1"/>
  <c r="BG97" i="1"/>
  <c r="BD101" i="1"/>
  <c r="BG105" i="1"/>
  <c r="BD109" i="1"/>
  <c r="BG113" i="1"/>
  <c r="BF115" i="1"/>
  <c r="K103" i="1"/>
  <c r="I95" i="1"/>
  <c r="I108" i="1"/>
  <c r="V95" i="1"/>
  <c r="CG95" i="1"/>
  <c r="BU95" i="1"/>
  <c r="CM95" i="1"/>
  <c r="CE95" i="1"/>
  <c r="CL95" i="1"/>
  <c r="CD95" i="1"/>
  <c r="CK95" i="1"/>
  <c r="CC95" i="1"/>
  <c r="CJ95" i="1"/>
  <c r="CI95" i="1"/>
  <c r="BR95" i="1"/>
  <c r="BZ95" i="1"/>
  <c r="BQ95" i="1"/>
  <c r="BY95" i="1"/>
  <c r="BP95" i="1"/>
  <c r="BX95" i="1"/>
  <c r="CH95" i="1"/>
  <c r="BW95" i="1"/>
  <c r="BV95" i="1"/>
  <c r="BT95" i="1"/>
  <c r="BH95" i="1"/>
  <c r="AY95" i="1"/>
  <c r="AM95" i="1"/>
  <c r="AE95" i="1"/>
  <c r="BG95" i="1"/>
  <c r="AX95" i="1"/>
  <c r="AW95" i="1"/>
  <c r="BM95" i="1"/>
  <c r="BE95" i="1"/>
  <c r="BL95" i="1"/>
  <c r="BD95" i="1"/>
  <c r="AU95" i="1"/>
  <c r="BK95" i="1"/>
  <c r="BC95" i="1"/>
  <c r="Z103" i="1"/>
  <c r="CG103" i="1"/>
  <c r="BU103" i="1"/>
  <c r="CM103" i="1"/>
  <c r="CE103" i="1"/>
  <c r="CL103" i="1"/>
  <c r="CD103" i="1"/>
  <c r="CK103" i="1"/>
  <c r="CC103" i="1"/>
  <c r="CI103" i="1"/>
  <c r="BX103" i="1"/>
  <c r="CH103" i="1"/>
  <c r="BV103" i="1"/>
  <c r="BT103" i="1"/>
  <c r="BR103" i="1"/>
  <c r="BY103" i="1"/>
  <c r="BZ103" i="1"/>
  <c r="BQ103" i="1"/>
  <c r="BP103" i="1"/>
  <c r="BH103" i="1"/>
  <c r="AX103" i="1"/>
  <c r="AP103" i="1"/>
  <c r="AM103" i="1"/>
  <c r="AE103" i="1"/>
  <c r="BG103" i="1"/>
  <c r="AV103" i="1"/>
  <c r="BM103" i="1"/>
  <c r="BE103" i="1"/>
  <c r="BL103" i="1"/>
  <c r="BD103" i="1"/>
  <c r="AT103" i="1"/>
  <c r="BK103" i="1"/>
  <c r="BC103" i="1"/>
  <c r="V111" i="1"/>
  <c r="CG111" i="1"/>
  <c r="BU111" i="1"/>
  <c r="CM111" i="1"/>
  <c r="CE111" i="1"/>
  <c r="CL111" i="1"/>
  <c r="CD111" i="1"/>
  <c r="CK111" i="1"/>
  <c r="CC111" i="1"/>
  <c r="CI111" i="1"/>
  <c r="BR111" i="1"/>
  <c r="BZ111" i="1"/>
  <c r="BQ111" i="1"/>
  <c r="BY111" i="1"/>
  <c r="BP111" i="1"/>
  <c r="BX111" i="1"/>
  <c r="CH111" i="1"/>
  <c r="BT111" i="1"/>
  <c r="BV111" i="1"/>
  <c r="BH111" i="1"/>
  <c r="AV111" i="1"/>
  <c r="AM111" i="1"/>
  <c r="AE111" i="1"/>
  <c r="BG111" i="1"/>
  <c r="AU111" i="1"/>
  <c r="AT111" i="1"/>
  <c r="BM111" i="1"/>
  <c r="BE111" i="1"/>
  <c r="BL111" i="1"/>
  <c r="BD111" i="1"/>
  <c r="AZ111" i="1"/>
  <c r="AR111" i="1"/>
  <c r="BK111" i="1"/>
  <c r="BC111" i="1"/>
  <c r="AY111" i="1"/>
  <c r="AQ111" i="1"/>
  <c r="Q110" i="1"/>
  <c r="AF75" i="1"/>
  <c r="AF102" i="1" s="1"/>
  <c r="AS52" i="1"/>
  <c r="AS92" i="1" s="1"/>
  <c r="AW49" i="1"/>
  <c r="AW113" i="1" s="1"/>
  <c r="AT99" i="1"/>
  <c r="AX93" i="1"/>
  <c r="AS42" i="1"/>
  <c r="AS107" i="1" s="1"/>
  <c r="AW11" i="1"/>
  <c r="BW111" i="1" s="1"/>
  <c r="BA19" i="1"/>
  <c r="BA105" i="1" s="1"/>
  <c r="AS7" i="1"/>
  <c r="CS96" i="1" s="1"/>
  <c r="AD89" i="1"/>
  <c r="AK90" i="1"/>
  <c r="AH91" i="1"/>
  <c r="AE92" i="1"/>
  <c r="AK93" i="1"/>
  <c r="AH94" i="1"/>
  <c r="AC96" i="1"/>
  <c r="AL96" i="1"/>
  <c r="AI97" i="1"/>
  <c r="AC99" i="1"/>
  <c r="AL99" i="1"/>
  <c r="AG101" i="1"/>
  <c r="AD102" i="1"/>
  <c r="AM102" i="1"/>
  <c r="AJ103" i="1"/>
  <c r="AG104" i="1"/>
  <c r="AD105" i="1"/>
  <c r="AK106" i="1"/>
  <c r="AH107" i="1"/>
  <c r="AE108" i="1"/>
  <c r="AN108" i="1"/>
  <c r="AK109" i="1"/>
  <c r="AH110" i="1"/>
  <c r="AC112" i="1"/>
  <c r="AL112" i="1"/>
  <c r="AI113" i="1"/>
  <c r="AH114" i="1"/>
  <c r="AG115" i="1"/>
  <c r="AE116" i="1"/>
  <c r="AR90" i="1"/>
  <c r="AU91" i="1"/>
  <c r="AU93" i="1"/>
  <c r="AT95" i="1"/>
  <c r="AP98" i="1"/>
  <c r="AY99" i="1"/>
  <c r="AW101" i="1"/>
  <c r="AZ108" i="1"/>
  <c r="AR115" i="1"/>
  <c r="BH89" i="1"/>
  <c r="BM91" i="1"/>
  <c r="BK93" i="1"/>
  <c r="BJ95" i="1"/>
  <c r="BH97" i="1"/>
  <c r="BM99" i="1"/>
  <c r="BK101" i="1"/>
  <c r="BH105" i="1"/>
  <c r="BM107" i="1"/>
  <c r="BK109" i="1"/>
  <c r="BJ111" i="1"/>
  <c r="BH113" i="1"/>
  <c r="BM115" i="1"/>
  <c r="AD101" i="1"/>
  <c r="AN101" i="1"/>
  <c r="AC108" i="1"/>
  <c r="AI109" i="1"/>
  <c r="AQ93" i="1"/>
  <c r="AU101" i="1"/>
  <c r="BC93" i="1"/>
  <c r="BC101" i="1"/>
  <c r="BC109" i="1"/>
  <c r="L95" i="1"/>
  <c r="H111" i="1"/>
  <c r="BX96" i="1"/>
  <c r="BP96" i="1"/>
  <c r="CI96" i="1"/>
  <c r="CH96" i="1"/>
  <c r="CG96" i="1"/>
  <c r="CM96" i="1"/>
  <c r="CE96" i="1"/>
  <c r="CL96" i="1"/>
  <c r="CD96" i="1"/>
  <c r="BY96" i="1"/>
  <c r="CK96" i="1"/>
  <c r="BV96" i="1"/>
  <c r="CC96" i="1"/>
  <c r="BU96" i="1"/>
  <c r="BT96" i="1"/>
  <c r="BS96" i="1"/>
  <c r="BQ96" i="1"/>
  <c r="BR96" i="1"/>
  <c r="BZ96" i="1"/>
  <c r="BK96" i="1"/>
  <c r="BC96" i="1"/>
  <c r="AU96" i="1"/>
  <c r="AI96" i="1"/>
  <c r="AT96" i="1"/>
  <c r="BI96" i="1"/>
  <c r="AS96" i="1"/>
  <c r="BH96" i="1"/>
  <c r="BG96" i="1"/>
  <c r="AY96" i="1"/>
  <c r="AQ96" i="1"/>
  <c r="BF96" i="1"/>
  <c r="BX104" i="1"/>
  <c r="BP104" i="1"/>
  <c r="CI104" i="1"/>
  <c r="CH104" i="1"/>
  <c r="CG104" i="1"/>
  <c r="CN104" i="1"/>
  <c r="CM104" i="1"/>
  <c r="CE104" i="1"/>
  <c r="CL104" i="1"/>
  <c r="CD104" i="1"/>
  <c r="BT104" i="1"/>
  <c r="CC104" i="1"/>
  <c r="CA104" i="1"/>
  <c r="BR104" i="1"/>
  <c r="BZ104" i="1"/>
  <c r="BQ104" i="1"/>
  <c r="BY104" i="1"/>
  <c r="BU104" i="1"/>
  <c r="CK104" i="1"/>
  <c r="BV104" i="1"/>
  <c r="BK104" i="1"/>
  <c r="BC104" i="1"/>
  <c r="AT104" i="1"/>
  <c r="AI104" i="1"/>
  <c r="BA104" i="1"/>
  <c r="BI104" i="1"/>
  <c r="AZ104" i="1"/>
  <c r="AR104" i="1"/>
  <c r="BH104" i="1"/>
  <c r="BG104" i="1"/>
  <c r="AX104" i="1"/>
  <c r="AP104" i="1"/>
  <c r="BN104" i="1"/>
  <c r="BX112" i="1"/>
  <c r="BP112" i="1"/>
  <c r="CI112" i="1"/>
  <c r="CH112" i="1"/>
  <c r="CG112" i="1"/>
  <c r="CM112" i="1"/>
  <c r="CE112" i="1"/>
  <c r="CL112" i="1"/>
  <c r="CD112" i="1"/>
  <c r="BY112" i="1"/>
  <c r="CK112" i="1"/>
  <c r="BV112" i="1"/>
  <c r="CC112" i="1"/>
  <c r="BU112" i="1"/>
  <c r="BT112" i="1"/>
  <c r="BZ112" i="1"/>
  <c r="BR112" i="1"/>
  <c r="BQ112" i="1"/>
  <c r="BK112" i="1"/>
  <c r="BC112" i="1"/>
  <c r="AZ112" i="1"/>
  <c r="AR112" i="1"/>
  <c r="AI112" i="1"/>
  <c r="AY112" i="1"/>
  <c r="AQ112" i="1"/>
  <c r="BI112" i="1"/>
  <c r="AX112" i="1"/>
  <c r="AP112" i="1"/>
  <c r="BH112" i="1"/>
  <c r="BG112" i="1"/>
  <c r="AV112" i="1"/>
  <c r="AU112" i="1"/>
  <c r="P94" i="1"/>
  <c r="Y111" i="1"/>
  <c r="AN44" i="1"/>
  <c r="BA76" i="1"/>
  <c r="CN95" i="1" s="1"/>
  <c r="AC90" i="1"/>
  <c r="AL90" i="1"/>
  <c r="AI91" i="1"/>
  <c r="AC93" i="1"/>
  <c r="AL93" i="1"/>
  <c r="AJ94" i="1"/>
  <c r="AG95" i="1"/>
  <c r="AD96" i="1"/>
  <c r="AM96" i="1"/>
  <c r="AG98" i="1"/>
  <c r="AD99" i="1"/>
  <c r="AK100" i="1"/>
  <c r="AH101" i="1"/>
  <c r="AE102" i="1"/>
  <c r="AK103" i="1"/>
  <c r="AH104" i="1"/>
  <c r="AF105" i="1"/>
  <c r="AC106" i="1"/>
  <c r="AL106" i="1"/>
  <c r="AI107" i="1"/>
  <c r="AF108" i="1"/>
  <c r="AC109" i="1"/>
  <c r="AL109" i="1"/>
  <c r="AG111" i="1"/>
  <c r="AD112" i="1"/>
  <c r="AM112" i="1"/>
  <c r="AJ114" i="1"/>
  <c r="AH115" i="1"/>
  <c r="AT89" i="1"/>
  <c r="AY93" i="1"/>
  <c r="AV95" i="1"/>
  <c r="AZ96" i="1"/>
  <c r="AR98" i="1"/>
  <c r="AP100" i="1"/>
  <c r="AZ101" i="1"/>
  <c r="AU103" i="1"/>
  <c r="AY104" i="1"/>
  <c r="AR106" i="1"/>
  <c r="BA108" i="1"/>
  <c r="AS115" i="1"/>
  <c r="BL101" i="1"/>
  <c r="BN115" i="1"/>
  <c r="CI93" i="1"/>
  <c r="CH93" i="1"/>
  <c r="CG93" i="1"/>
  <c r="CF93" i="1"/>
  <c r="CM93" i="1"/>
  <c r="CE93" i="1"/>
  <c r="CL93" i="1"/>
  <c r="CD93" i="1"/>
  <c r="CK93" i="1"/>
  <c r="CC93" i="1"/>
  <c r="BR93" i="1"/>
  <c r="BZ93" i="1"/>
  <c r="BQ93" i="1"/>
  <c r="BY93" i="1"/>
  <c r="BP93" i="1"/>
  <c r="BX93" i="1"/>
  <c r="BV93" i="1"/>
  <c r="BU93" i="1"/>
  <c r="BS93" i="1"/>
  <c r="BT93" i="1"/>
  <c r="AM93" i="1"/>
  <c r="AE93" i="1"/>
  <c r="BI93" i="1"/>
  <c r="BH93" i="1"/>
  <c r="AZ93" i="1"/>
  <c r="BG93" i="1"/>
  <c r="BF93" i="1"/>
  <c r="AV93" i="1"/>
  <c r="BM93" i="1"/>
  <c r="BE93" i="1"/>
  <c r="CI109" i="1"/>
  <c r="CH109" i="1"/>
  <c r="CG109" i="1"/>
  <c r="CM109" i="1"/>
  <c r="CE109" i="1"/>
  <c r="CL109" i="1"/>
  <c r="CD109" i="1"/>
  <c r="CK109" i="1"/>
  <c r="CC109" i="1"/>
  <c r="BR109" i="1"/>
  <c r="BZ109" i="1"/>
  <c r="BQ109" i="1"/>
  <c r="BY109" i="1"/>
  <c r="BP109" i="1"/>
  <c r="BX109" i="1"/>
  <c r="BV109" i="1"/>
  <c r="BU109" i="1"/>
  <c r="BT109" i="1"/>
  <c r="AV109" i="1"/>
  <c r="AM109" i="1"/>
  <c r="AE109" i="1"/>
  <c r="BI109" i="1"/>
  <c r="AU109" i="1"/>
  <c r="BH109" i="1"/>
  <c r="AT109" i="1"/>
  <c r="BG109" i="1"/>
  <c r="AZ109" i="1"/>
  <c r="AQ109" i="1"/>
  <c r="BM109" i="1"/>
  <c r="BE109" i="1"/>
  <c r="AY109" i="1"/>
  <c r="AP109" i="1"/>
  <c r="AG89" i="1"/>
  <c r="AD93" i="1"/>
  <c r="AN93" i="1"/>
  <c r="AK94" i="1"/>
  <c r="AK97" i="1"/>
  <c r="AD109" i="1"/>
  <c r="AL113" i="1"/>
  <c r="AR94" i="1"/>
  <c r="AR97" i="1"/>
  <c r="AU102" i="1"/>
  <c r="AQ105" i="1"/>
  <c r="AR109" i="1"/>
  <c r="BD96" i="1"/>
  <c r="BD104" i="1"/>
  <c r="BD112" i="1"/>
  <c r="CI101" i="1"/>
  <c r="BW101" i="1"/>
  <c r="CH101" i="1"/>
  <c r="CG101" i="1"/>
  <c r="CN101" i="1"/>
  <c r="CF101" i="1"/>
  <c r="CM101" i="1"/>
  <c r="CE101" i="1"/>
  <c r="CL101" i="1"/>
  <c r="CD101" i="1"/>
  <c r="CK101" i="1"/>
  <c r="CC101" i="1"/>
  <c r="BV101" i="1"/>
  <c r="BU101" i="1"/>
  <c r="BT101" i="1"/>
  <c r="BS101" i="1"/>
  <c r="CA101" i="1"/>
  <c r="BR101" i="1"/>
  <c r="BZ101" i="1"/>
  <c r="BQ101" i="1"/>
  <c r="CJ101" i="1"/>
  <c r="BY101" i="1"/>
  <c r="BP101" i="1"/>
  <c r="BX101" i="1"/>
  <c r="BJ101" i="1"/>
  <c r="AT101" i="1"/>
  <c r="AM101" i="1"/>
  <c r="AE101" i="1"/>
  <c r="BI101" i="1"/>
  <c r="AS101" i="1"/>
  <c r="BH101" i="1"/>
  <c r="AR101" i="1"/>
  <c r="BG101" i="1"/>
  <c r="BN101" i="1"/>
  <c r="BF101" i="1"/>
  <c r="AY101" i="1"/>
  <c r="AP101" i="1"/>
  <c r="BM101" i="1"/>
  <c r="BE101" i="1"/>
  <c r="CM89" i="1"/>
  <c r="CE89" i="1"/>
  <c r="CL89" i="1"/>
  <c r="CD89" i="1"/>
  <c r="CK89" i="1"/>
  <c r="CC89" i="1"/>
  <c r="CI89" i="1"/>
  <c r="CH89" i="1"/>
  <c r="CG89" i="1"/>
  <c r="BV89" i="1"/>
  <c r="BU89" i="1"/>
  <c r="BT89" i="1"/>
  <c r="BZ89" i="1"/>
  <c r="BR89" i="1"/>
  <c r="BY89" i="1"/>
  <c r="BQ89" i="1"/>
  <c r="BX89" i="1"/>
  <c r="BP89" i="1"/>
  <c r="AZ89" i="1"/>
  <c r="AR89" i="1"/>
  <c r="AM89" i="1"/>
  <c r="AE89" i="1"/>
  <c r="BM89" i="1"/>
  <c r="BE89" i="1"/>
  <c r="AY89" i="1"/>
  <c r="AQ89" i="1"/>
  <c r="BL89" i="1"/>
  <c r="BD89" i="1"/>
  <c r="AX89" i="1"/>
  <c r="AP89" i="1"/>
  <c r="BK89" i="1"/>
  <c r="BC89" i="1"/>
  <c r="BI89" i="1"/>
  <c r="AS93" i="1"/>
  <c r="AG105" i="1"/>
  <c r="M103" i="1"/>
  <c r="CH90" i="1"/>
  <c r="CG90" i="1"/>
  <c r="CM90" i="1"/>
  <c r="CE90" i="1"/>
  <c r="CL90" i="1"/>
  <c r="CD90" i="1"/>
  <c r="CK90" i="1"/>
  <c r="CC90" i="1"/>
  <c r="BY90" i="1"/>
  <c r="BQ90" i="1"/>
  <c r="CI90" i="1"/>
  <c r="BX90" i="1"/>
  <c r="BP90" i="1"/>
  <c r="BV90" i="1"/>
  <c r="BU90" i="1"/>
  <c r="BT90" i="1"/>
  <c r="BR90" i="1"/>
  <c r="BZ90" i="1"/>
  <c r="BI90" i="1"/>
  <c r="AV90" i="1"/>
  <c r="AI90" i="1"/>
  <c r="BH90" i="1"/>
  <c r="AU90" i="1"/>
  <c r="BG90" i="1"/>
  <c r="AT90" i="1"/>
  <c r="BM90" i="1"/>
  <c r="BE90" i="1"/>
  <c r="AZ90" i="1"/>
  <c r="BL90" i="1"/>
  <c r="BD90" i="1"/>
  <c r="CH98" i="1"/>
  <c r="BV98" i="1"/>
  <c r="CG98" i="1"/>
  <c r="CM98" i="1"/>
  <c r="CE98" i="1"/>
  <c r="CL98" i="1"/>
  <c r="CD98" i="1"/>
  <c r="CK98" i="1"/>
  <c r="CC98" i="1"/>
  <c r="BZ98" i="1"/>
  <c r="BQ98" i="1"/>
  <c r="BY98" i="1"/>
  <c r="BP98" i="1"/>
  <c r="BX98" i="1"/>
  <c r="BU98" i="1"/>
  <c r="CI98" i="1"/>
  <c r="BT98" i="1"/>
  <c r="BR98" i="1"/>
  <c r="BI98" i="1"/>
  <c r="AU98" i="1"/>
  <c r="AI98" i="1"/>
  <c r="BH98" i="1"/>
  <c r="AT98" i="1"/>
  <c r="BG98" i="1"/>
  <c r="BM98" i="1"/>
  <c r="BE98" i="1"/>
  <c r="AY98" i="1"/>
  <c r="AQ98" i="1"/>
  <c r="BL98" i="1"/>
  <c r="BD98" i="1"/>
  <c r="CH106" i="1"/>
  <c r="BV106" i="1"/>
  <c r="CG106" i="1"/>
  <c r="CM106" i="1"/>
  <c r="CE106" i="1"/>
  <c r="CL106" i="1"/>
  <c r="CD106" i="1"/>
  <c r="CK106" i="1"/>
  <c r="CC106" i="1"/>
  <c r="BU106" i="1"/>
  <c r="CI106" i="1"/>
  <c r="BT106" i="1"/>
  <c r="BR106" i="1"/>
  <c r="BZ106" i="1"/>
  <c r="BQ106" i="1"/>
  <c r="BY106" i="1"/>
  <c r="BP106" i="1"/>
  <c r="BX106" i="1"/>
  <c r="BI106" i="1"/>
  <c r="AY106" i="1"/>
  <c r="AI106" i="1"/>
  <c r="BH106" i="1"/>
  <c r="AV106" i="1"/>
  <c r="BG106" i="1"/>
  <c r="AU106" i="1"/>
  <c r="BM106" i="1"/>
  <c r="BE106" i="1"/>
  <c r="AQ106" i="1"/>
  <c r="BL106" i="1"/>
  <c r="BD106" i="1"/>
  <c r="CH114" i="1"/>
  <c r="BV114" i="1"/>
  <c r="CG114" i="1"/>
  <c r="CM114" i="1"/>
  <c r="CE114" i="1"/>
  <c r="CL114" i="1"/>
  <c r="CD114" i="1"/>
  <c r="CK114" i="1"/>
  <c r="CC114" i="1"/>
  <c r="BY114" i="1"/>
  <c r="BQ114" i="1"/>
  <c r="BR114" i="1"/>
  <c r="BP114" i="1"/>
  <c r="BZ114" i="1"/>
  <c r="BX114" i="1"/>
  <c r="CI114" i="1"/>
  <c r="BT114" i="1"/>
  <c r="BU114" i="1"/>
  <c r="BI114" i="1"/>
  <c r="AI114" i="1"/>
  <c r="BH114" i="1"/>
  <c r="BG114" i="1"/>
  <c r="AZ114" i="1"/>
  <c r="AG114" i="1"/>
  <c r="BM114" i="1"/>
  <c r="BE114" i="1"/>
  <c r="AV114" i="1"/>
  <c r="BL114" i="1"/>
  <c r="BD114" i="1"/>
  <c r="AU114" i="1"/>
  <c r="Q95" i="1"/>
  <c r="U113" i="1"/>
  <c r="AP95" i="1"/>
  <c r="BA100" i="1"/>
  <c r="AT106" i="1"/>
  <c r="AX100" i="1"/>
  <c r="AP114" i="1"/>
  <c r="AH89" i="1"/>
  <c r="AE90" i="1"/>
  <c r="AH92" i="1"/>
  <c r="AF93" i="1"/>
  <c r="AC94" i="1"/>
  <c r="AL94" i="1"/>
  <c r="AI95" i="1"/>
  <c r="AC97" i="1"/>
  <c r="AL97" i="1"/>
  <c r="AD100" i="1"/>
  <c r="AM100" i="1"/>
  <c r="AJ101" i="1"/>
  <c r="AG102" i="1"/>
  <c r="AD103" i="1"/>
  <c r="AK104" i="1"/>
  <c r="AH105" i="1"/>
  <c r="AE106" i="1"/>
  <c r="AK107" i="1"/>
  <c r="AH108" i="1"/>
  <c r="AC110" i="1"/>
  <c r="AL110" i="1"/>
  <c r="AI111" i="1"/>
  <c r="AC113" i="1"/>
  <c r="AN113" i="1"/>
  <c r="AL114" i="1"/>
  <c r="AJ115" i="1"/>
  <c r="AV89" i="1"/>
  <c r="AX90" i="1"/>
  <c r="AQ92" i="1"/>
  <c r="AS94" i="1"/>
  <c r="BA95" i="1"/>
  <c r="AY100" i="1"/>
  <c r="AV102" i="1"/>
  <c r="AZ103" i="1"/>
  <c r="BH92" i="1"/>
  <c r="BF94" i="1"/>
  <c r="BE96" i="1"/>
  <c r="BH100" i="1"/>
  <c r="BE104" i="1"/>
  <c r="BH108" i="1"/>
  <c r="BE112" i="1"/>
  <c r="BH116" i="1"/>
  <c r="CM97" i="1"/>
  <c r="CE97" i="1"/>
  <c r="CL97" i="1"/>
  <c r="CD97" i="1"/>
  <c r="CK97" i="1"/>
  <c r="CC97" i="1"/>
  <c r="CI97" i="1"/>
  <c r="CH97" i="1"/>
  <c r="CG97" i="1"/>
  <c r="BU97" i="1"/>
  <c r="BT97" i="1"/>
  <c r="BR97" i="1"/>
  <c r="BZ97" i="1"/>
  <c r="BQ97" i="1"/>
  <c r="BY97" i="1"/>
  <c r="BP97" i="1"/>
  <c r="BX97" i="1"/>
  <c r="BV97" i="1"/>
  <c r="AY97" i="1"/>
  <c r="AQ97" i="1"/>
  <c r="AM97" i="1"/>
  <c r="AE97" i="1"/>
  <c r="BM97" i="1"/>
  <c r="BE97" i="1"/>
  <c r="AX97" i="1"/>
  <c r="AP97" i="1"/>
  <c r="BL97" i="1"/>
  <c r="BD97" i="1"/>
  <c r="BK97" i="1"/>
  <c r="BC97" i="1"/>
  <c r="AU97" i="1"/>
  <c r="BI97" i="1"/>
  <c r="CM105" i="1"/>
  <c r="CE105" i="1"/>
  <c r="CA105" i="1"/>
  <c r="CL105" i="1"/>
  <c r="CD105" i="1"/>
  <c r="CK105" i="1"/>
  <c r="CC105" i="1"/>
  <c r="CI105" i="1"/>
  <c r="CH105" i="1"/>
  <c r="CG105" i="1"/>
  <c r="BY105" i="1"/>
  <c r="BP105" i="1"/>
  <c r="BX105" i="1"/>
  <c r="CN105" i="1"/>
  <c r="BV105" i="1"/>
  <c r="BU105" i="1"/>
  <c r="BT105" i="1"/>
  <c r="BZ105" i="1"/>
  <c r="BR105" i="1"/>
  <c r="BQ105" i="1"/>
  <c r="BN105" i="1"/>
  <c r="AX105" i="1"/>
  <c r="AP105" i="1"/>
  <c r="AM105" i="1"/>
  <c r="AE105" i="1"/>
  <c r="BM105" i="1"/>
  <c r="BE105" i="1"/>
  <c r="BL105" i="1"/>
  <c r="BD105" i="1"/>
  <c r="AV105" i="1"/>
  <c r="BK105" i="1"/>
  <c r="BC105" i="1"/>
  <c r="AT105" i="1"/>
  <c r="BI105" i="1"/>
  <c r="CM113" i="1"/>
  <c r="CE113" i="1"/>
  <c r="CL113" i="1"/>
  <c r="CD113" i="1"/>
  <c r="CK113" i="1"/>
  <c r="CC113" i="1"/>
  <c r="CI113" i="1"/>
  <c r="CH113" i="1"/>
  <c r="BV113" i="1"/>
  <c r="CG113" i="1"/>
  <c r="BU113" i="1"/>
  <c r="BT113" i="1"/>
  <c r="BR113" i="1"/>
  <c r="BQ113" i="1"/>
  <c r="BZ113" i="1"/>
  <c r="BP113" i="1"/>
  <c r="BY113" i="1"/>
  <c r="BX113" i="1"/>
  <c r="AZ113" i="1"/>
  <c r="AM113" i="1"/>
  <c r="AE113" i="1"/>
  <c r="BM113" i="1"/>
  <c r="BE113" i="1"/>
  <c r="AY113" i="1"/>
  <c r="BL113" i="1"/>
  <c r="BD113" i="1"/>
  <c r="AX113" i="1"/>
  <c r="AK113" i="1"/>
  <c r="BK113" i="1"/>
  <c r="BC113" i="1"/>
  <c r="BJ113" i="1"/>
  <c r="AU113" i="1"/>
  <c r="BI113" i="1"/>
  <c r="AR113" i="1"/>
  <c r="AP93" i="1"/>
  <c r="K100" i="1"/>
  <c r="K99" i="1"/>
  <c r="CK91" i="1"/>
  <c r="CC91" i="1"/>
  <c r="CI91" i="1"/>
  <c r="CH91" i="1"/>
  <c r="CG91" i="1"/>
  <c r="CM91" i="1"/>
  <c r="CE91" i="1"/>
  <c r="BT91" i="1"/>
  <c r="BZ91" i="1"/>
  <c r="BR91" i="1"/>
  <c r="BY91" i="1"/>
  <c r="BQ91" i="1"/>
  <c r="BX91" i="1"/>
  <c r="BP91" i="1"/>
  <c r="CD91" i="1"/>
  <c r="BU91" i="1"/>
  <c r="CL91" i="1"/>
  <c r="BV91" i="1"/>
  <c r="BL91" i="1"/>
  <c r="BD91" i="1"/>
  <c r="AZ91" i="1"/>
  <c r="AR91" i="1"/>
  <c r="AM91" i="1"/>
  <c r="AE91" i="1"/>
  <c r="BK91" i="1"/>
  <c r="BC91" i="1"/>
  <c r="AY91" i="1"/>
  <c r="AQ91" i="1"/>
  <c r="AX91" i="1"/>
  <c r="AP91" i="1"/>
  <c r="BI91" i="1"/>
  <c r="BH91" i="1"/>
  <c r="AV91" i="1"/>
  <c r="BG91" i="1"/>
  <c r="CK99" i="1"/>
  <c r="CC99" i="1"/>
  <c r="BY99" i="1"/>
  <c r="BQ99" i="1"/>
  <c r="CI99" i="1"/>
  <c r="CH99" i="1"/>
  <c r="CG99" i="1"/>
  <c r="CM99" i="1"/>
  <c r="CE99" i="1"/>
  <c r="BV99" i="1"/>
  <c r="BU99" i="1"/>
  <c r="CL99" i="1"/>
  <c r="BT99" i="1"/>
  <c r="CD99" i="1"/>
  <c r="BR99" i="1"/>
  <c r="BZ99" i="1"/>
  <c r="BP99" i="1"/>
  <c r="BX99" i="1"/>
  <c r="BL99" i="1"/>
  <c r="BD99" i="1"/>
  <c r="AR99" i="1"/>
  <c r="AM99" i="1"/>
  <c r="AE99" i="1"/>
  <c r="BK99" i="1"/>
  <c r="BC99" i="1"/>
  <c r="AQ99" i="1"/>
  <c r="BI99" i="1"/>
  <c r="BH99" i="1"/>
  <c r="AZ99" i="1"/>
  <c r="BG99" i="1"/>
  <c r="CK107" i="1"/>
  <c r="CC107" i="1"/>
  <c r="BY107" i="1"/>
  <c r="BQ107" i="1"/>
  <c r="CI107" i="1"/>
  <c r="CH107" i="1"/>
  <c r="CG107" i="1"/>
  <c r="CF107" i="1"/>
  <c r="CM107" i="1"/>
  <c r="CE107" i="1"/>
  <c r="BR107" i="1"/>
  <c r="CD107" i="1"/>
  <c r="BZ107" i="1"/>
  <c r="BP107" i="1"/>
  <c r="BX107" i="1"/>
  <c r="BV107" i="1"/>
  <c r="BU107" i="1"/>
  <c r="BS107" i="1"/>
  <c r="CL107" i="1"/>
  <c r="BT107" i="1"/>
  <c r="BL107" i="1"/>
  <c r="BD107" i="1"/>
  <c r="AM107" i="1"/>
  <c r="AE107" i="1"/>
  <c r="BK107" i="1"/>
  <c r="BC107" i="1"/>
  <c r="AZ107" i="1"/>
  <c r="AY107" i="1"/>
  <c r="BI107" i="1"/>
  <c r="BH107" i="1"/>
  <c r="AU107" i="1"/>
  <c r="BG107" i="1"/>
  <c r="AR107" i="1"/>
  <c r="CK115" i="1"/>
  <c r="CC115" i="1"/>
  <c r="BY115" i="1"/>
  <c r="BQ115" i="1"/>
  <c r="CJ115" i="1"/>
  <c r="CI115" i="1"/>
  <c r="CH115" i="1"/>
  <c r="CG115" i="1"/>
  <c r="CN115" i="1"/>
  <c r="CF115" i="1"/>
  <c r="BT115" i="1"/>
  <c r="CM115" i="1"/>
  <c r="CE115" i="1"/>
  <c r="CA115" i="1"/>
  <c r="BP115" i="1"/>
  <c r="BZ115" i="1"/>
  <c r="CL115" i="1"/>
  <c r="BX115" i="1"/>
  <c r="CD115" i="1"/>
  <c r="BW115" i="1"/>
  <c r="BV115" i="1"/>
  <c r="BU115" i="1"/>
  <c r="BS115" i="1"/>
  <c r="BR115" i="1"/>
  <c r="BL115" i="1"/>
  <c r="BD115" i="1"/>
  <c r="AY115" i="1"/>
  <c r="AQ115" i="1"/>
  <c r="AM115" i="1"/>
  <c r="AE115" i="1"/>
  <c r="BK115" i="1"/>
  <c r="BC115" i="1"/>
  <c r="AX115" i="1"/>
  <c r="AP115" i="1"/>
  <c r="BJ115" i="1"/>
  <c r="AW115" i="1"/>
  <c r="AK115" i="1"/>
  <c r="AC115" i="1"/>
  <c r="BI115" i="1"/>
  <c r="BH115" i="1"/>
  <c r="AU115" i="1"/>
  <c r="BG115" i="1"/>
  <c r="AT115" i="1"/>
  <c r="AS74" i="1"/>
  <c r="AS109" i="1" s="1"/>
  <c r="BA94" i="1"/>
  <c r="AX92" i="1"/>
  <c r="AT100" i="1"/>
  <c r="AI89" i="1"/>
  <c r="AC91" i="1"/>
  <c r="AL91" i="1"/>
  <c r="AJ92" i="1"/>
  <c r="AG93" i="1"/>
  <c r="AD94" i="1"/>
  <c r="AM94" i="1"/>
  <c r="AG96" i="1"/>
  <c r="AD97" i="1"/>
  <c r="AK98" i="1"/>
  <c r="AH99" i="1"/>
  <c r="AE100" i="1"/>
  <c r="AK101" i="1"/>
  <c r="AH102" i="1"/>
  <c r="AC104" i="1"/>
  <c r="AL104" i="1"/>
  <c r="AI105" i="1"/>
  <c r="AC107" i="1"/>
  <c r="AL107" i="1"/>
  <c r="AJ108" i="1"/>
  <c r="AG109" i="1"/>
  <c r="AD110" i="1"/>
  <c r="AM110" i="1"/>
  <c r="AG112" i="1"/>
  <c r="AD113" i="1"/>
  <c r="AC114" i="1"/>
  <c r="AM114" i="1"/>
  <c r="AL115" i="1"/>
  <c r="AK116" i="1"/>
  <c r="AY90" i="1"/>
  <c r="AR92" i="1"/>
  <c r="AT94" i="1"/>
  <c r="AP96" i="1"/>
  <c r="AT97" i="1"/>
  <c r="AX98" i="1"/>
  <c r="AZ100" i="1"/>
  <c r="AW102" i="1"/>
  <c r="AV107" i="1"/>
  <c r="AX109" i="1"/>
  <c r="AW111" i="1"/>
  <c r="AV113" i="1"/>
  <c r="BA115" i="1"/>
  <c r="BF73" i="1"/>
  <c r="BK90" i="1"/>
  <c r="BG94" i="1"/>
  <c r="BL96" i="1"/>
  <c r="BK98" i="1"/>
  <c r="BG102" i="1"/>
  <c r="BL104" i="1"/>
  <c r="BK106" i="1"/>
  <c r="BG110" i="1"/>
  <c r="BL112" i="1"/>
  <c r="BK114" i="1"/>
  <c r="I97" i="1"/>
  <c r="E101" i="1"/>
  <c r="M109" i="1"/>
  <c r="AA15" i="1"/>
  <c r="W19" i="1"/>
  <c r="AA44" i="1"/>
  <c r="AA77" i="1"/>
  <c r="CF92" i="1"/>
  <c r="CM92" i="1"/>
  <c r="CE92" i="1"/>
  <c r="CL92" i="1"/>
  <c r="CD92" i="1"/>
  <c r="CK92" i="1"/>
  <c r="CC92" i="1"/>
  <c r="CJ92" i="1"/>
  <c r="CI92" i="1"/>
  <c r="CH92" i="1"/>
  <c r="BW92" i="1"/>
  <c r="BV92" i="1"/>
  <c r="BU92" i="1"/>
  <c r="BT92" i="1"/>
  <c r="CG92" i="1"/>
  <c r="BS92" i="1"/>
  <c r="BZ92" i="1"/>
  <c r="BR92" i="1"/>
  <c r="BX92" i="1"/>
  <c r="BY92" i="1"/>
  <c r="BQ92" i="1"/>
  <c r="BP92" i="1"/>
  <c r="BG92" i="1"/>
  <c r="AZ92" i="1"/>
  <c r="AI92" i="1"/>
  <c r="BF92" i="1"/>
  <c r="AY92" i="1"/>
  <c r="BM92" i="1"/>
  <c r="BE92" i="1"/>
  <c r="AV92" i="1"/>
  <c r="BL92" i="1"/>
  <c r="BD92" i="1"/>
  <c r="BK92" i="1"/>
  <c r="BC92" i="1"/>
  <c r="AT92" i="1"/>
  <c r="CN100" i="1"/>
  <c r="BT100" i="1"/>
  <c r="CM100" i="1"/>
  <c r="CE100" i="1"/>
  <c r="CL100" i="1"/>
  <c r="CD100" i="1"/>
  <c r="CK100" i="1"/>
  <c r="CC100" i="1"/>
  <c r="CI100" i="1"/>
  <c r="CH100" i="1"/>
  <c r="CG100" i="1"/>
  <c r="CA100" i="1"/>
  <c r="BR100" i="1"/>
  <c r="BZ100" i="1"/>
  <c r="BQ100" i="1"/>
  <c r="BY100" i="1"/>
  <c r="BP100" i="1"/>
  <c r="BX100" i="1"/>
  <c r="BV100" i="1"/>
  <c r="BU100" i="1"/>
  <c r="BG100" i="1"/>
  <c r="AU100" i="1"/>
  <c r="AI100" i="1"/>
  <c r="BN100" i="1"/>
  <c r="AR100" i="1"/>
  <c r="BM100" i="1"/>
  <c r="BE100" i="1"/>
  <c r="AQ100" i="1"/>
  <c r="BL100" i="1"/>
  <c r="BD100" i="1"/>
  <c r="BK100" i="1"/>
  <c r="BC100" i="1"/>
  <c r="CN108" i="1"/>
  <c r="CF108" i="1"/>
  <c r="BT108" i="1"/>
  <c r="CM108" i="1"/>
  <c r="CE108" i="1"/>
  <c r="CL108" i="1"/>
  <c r="CD108" i="1"/>
  <c r="CK108" i="1"/>
  <c r="CC108" i="1"/>
  <c r="CJ108" i="1"/>
  <c r="CI108" i="1"/>
  <c r="CH108" i="1"/>
  <c r="BW108" i="1"/>
  <c r="BV108" i="1"/>
  <c r="BU108" i="1"/>
  <c r="BS108" i="1"/>
  <c r="CG108" i="1"/>
  <c r="CA108" i="1"/>
  <c r="BR108" i="1"/>
  <c r="BZ108" i="1"/>
  <c r="BQ108" i="1"/>
  <c r="BX108" i="1"/>
  <c r="BY108" i="1"/>
  <c r="BP108" i="1"/>
  <c r="BG108" i="1"/>
  <c r="AY108" i="1"/>
  <c r="AP108" i="1"/>
  <c r="AI108" i="1"/>
  <c r="BN108" i="1"/>
  <c r="BF108" i="1"/>
  <c r="AW108" i="1"/>
  <c r="BM108" i="1"/>
  <c r="BE108" i="1"/>
  <c r="AV108" i="1"/>
  <c r="BL108" i="1"/>
  <c r="BD108" i="1"/>
  <c r="BK108" i="1"/>
  <c r="BC108" i="1"/>
  <c r="AT108" i="1"/>
  <c r="BJ108" i="1"/>
  <c r="AS108" i="1"/>
  <c r="CF116" i="1"/>
  <c r="BT116" i="1"/>
  <c r="CM116" i="1"/>
  <c r="CE116" i="1"/>
  <c r="CL116" i="1"/>
  <c r="CD116" i="1"/>
  <c r="CK116" i="1"/>
  <c r="CC116" i="1"/>
  <c r="CI116" i="1"/>
  <c r="CH116" i="1"/>
  <c r="CG116" i="1"/>
  <c r="BX116" i="1"/>
  <c r="BV116" i="1"/>
  <c r="BU116" i="1"/>
  <c r="BS116" i="1"/>
  <c r="BR116" i="1"/>
  <c r="BQ116" i="1"/>
  <c r="BZ116" i="1"/>
  <c r="BP116" i="1"/>
  <c r="BY116" i="1"/>
  <c r="BG116" i="1"/>
  <c r="AV116" i="1"/>
  <c r="AI116" i="1"/>
  <c r="BF116" i="1"/>
  <c r="AU116" i="1"/>
  <c r="BM116" i="1"/>
  <c r="BE116" i="1"/>
  <c r="AT116" i="1"/>
  <c r="AG116" i="1"/>
  <c r="BL116" i="1"/>
  <c r="BD116" i="1"/>
  <c r="BK116" i="1"/>
  <c r="BC116" i="1"/>
  <c r="AZ116" i="1"/>
  <c r="AQ116" i="1"/>
  <c r="AY116" i="1"/>
  <c r="AP116" i="1"/>
  <c r="P102" i="1"/>
  <c r="AN75" i="1"/>
  <c r="AN102" i="1" s="1"/>
  <c r="AJ78" i="1"/>
  <c r="AJ89" i="1"/>
  <c r="AG90" i="1"/>
  <c r="AD91" i="1"/>
  <c r="AK92" i="1"/>
  <c r="AH93" i="1"/>
  <c r="AE94" i="1"/>
  <c r="AN94" i="1"/>
  <c r="AK95" i="1"/>
  <c r="AH96" i="1"/>
  <c r="AC98" i="1"/>
  <c r="AL98" i="1"/>
  <c r="AI99" i="1"/>
  <c r="AC101" i="1"/>
  <c r="AL101" i="1"/>
  <c r="AG103" i="1"/>
  <c r="AD104" i="1"/>
  <c r="AM104" i="1"/>
  <c r="AG106" i="1"/>
  <c r="AD107" i="1"/>
  <c r="AK108" i="1"/>
  <c r="AH109" i="1"/>
  <c r="AE110" i="1"/>
  <c r="AK111" i="1"/>
  <c r="AH112" i="1"/>
  <c r="AD114" i="1"/>
  <c r="AN115" i="1"/>
  <c r="AL116" i="1"/>
  <c r="AU92" i="1"/>
  <c r="AV94" i="1"/>
  <c r="AR96" i="1"/>
  <c r="AV97" i="1"/>
  <c r="AZ98" i="1"/>
  <c r="AQ101" i="1"/>
  <c r="AY102" i="1"/>
  <c r="AQ104" i="1"/>
  <c r="AU105" i="1"/>
  <c r="AQ108" i="1"/>
  <c r="AX111" i="1"/>
  <c r="AQ114" i="1"/>
  <c r="AR116" i="1"/>
  <c r="BN94" i="1"/>
  <c r="BM96" i="1"/>
  <c r="BN102" i="1"/>
  <c r="BM104" i="1"/>
  <c r="BM112" i="1"/>
  <c r="BN75" i="1"/>
  <c r="BN42" i="1"/>
  <c r="BN78" i="1"/>
  <c r="BJ20" i="1"/>
  <c r="BN45" i="1"/>
  <c r="BN76" i="1"/>
  <c r="BN52" i="1"/>
  <c r="AP99" i="1"/>
  <c r="BA13" i="1"/>
  <c r="CN97" i="1" s="1"/>
  <c r="BN43" i="1"/>
  <c r="BJ46" i="1"/>
  <c r="BN74" i="1"/>
  <c r="BJ77" i="1"/>
  <c r="BN20" i="1"/>
  <c r="BN12" i="1"/>
  <c r="BN5" i="1"/>
  <c r="BN15" i="1"/>
  <c r="BN13" i="1"/>
  <c r="BN6" i="1"/>
  <c r="BN11" i="1"/>
  <c r="BJ76" i="1"/>
  <c r="BJ75" i="1"/>
  <c r="BJ74" i="1"/>
  <c r="BJ52" i="1"/>
  <c r="BJ51" i="1"/>
  <c r="BJ44" i="1"/>
  <c r="BJ78" i="1"/>
  <c r="BJ73" i="1"/>
  <c r="BJ42" i="1"/>
  <c r="BJ6" i="1"/>
  <c r="BJ18" i="1"/>
  <c r="BJ14" i="1"/>
  <c r="BF77" i="1"/>
  <c r="BF74" i="1"/>
  <c r="BF46" i="1"/>
  <c r="BF43" i="1"/>
  <c r="BF41" i="1"/>
  <c r="BF20" i="1"/>
  <c r="BF12" i="1"/>
  <c r="BF11" i="1"/>
  <c r="BF8" i="1"/>
  <c r="BF7" i="1"/>
  <c r="BF5" i="1"/>
  <c r="BF76" i="1"/>
  <c r="BF78" i="1"/>
  <c r="BF75" i="1"/>
  <c r="BJ45" i="1"/>
  <c r="BJ43" i="1"/>
  <c r="BJ50" i="1"/>
  <c r="BF51" i="1"/>
  <c r="BF42" i="1"/>
  <c r="BF49" i="1"/>
  <c r="BF52" i="1"/>
  <c r="BF50" i="1"/>
  <c r="BN19" i="1"/>
  <c r="BN8" i="1"/>
  <c r="BN16" i="1"/>
  <c r="BN14" i="1"/>
  <c r="BJ11" i="1"/>
  <c r="BJ13" i="1"/>
  <c r="BJ19" i="1"/>
  <c r="BJ8" i="1"/>
  <c r="BF14" i="1"/>
  <c r="BF16" i="1"/>
  <c r="BF6" i="1"/>
  <c r="BF21" i="1"/>
  <c r="AS78" i="1"/>
  <c r="AW46" i="1"/>
  <c r="AW41" i="1"/>
  <c r="AW114" i="1" s="1"/>
  <c r="AW44" i="1"/>
  <c r="AW93" i="1" s="1"/>
  <c r="AW52" i="1"/>
  <c r="AW92" i="1" s="1"/>
  <c r="AT114" i="1"/>
  <c r="AT93" i="1"/>
  <c r="AS50" i="1"/>
  <c r="AS106" i="1" s="1"/>
  <c r="AP106" i="1"/>
  <c r="AS51" i="1"/>
  <c r="AS99" i="1" s="1"/>
  <c r="AS41" i="1"/>
  <c r="AS114" i="1" s="1"/>
  <c r="AP107" i="1"/>
  <c r="AS45" i="1"/>
  <c r="AX94" i="1"/>
  <c r="BA51" i="1"/>
  <c r="BA99" i="1" s="1"/>
  <c r="AX101" i="1"/>
  <c r="BA42" i="1"/>
  <c r="BA107" i="1" s="1"/>
  <c r="AX108" i="1"/>
  <c r="BA41" i="1"/>
  <c r="BA114" i="1" s="1"/>
  <c r="BA46" i="1"/>
  <c r="AX114" i="1"/>
  <c r="BA6" i="1"/>
  <c r="BN103" i="1" s="1"/>
  <c r="BA8" i="1"/>
  <c r="CN89" i="1" s="1"/>
  <c r="AW19" i="1"/>
  <c r="BJ105" i="1" s="1"/>
  <c r="AS21" i="1"/>
  <c r="AS91" i="1" s="1"/>
  <c r="AS14" i="1"/>
  <c r="BF90" i="1" s="1"/>
  <c r="E93" i="1"/>
  <c r="D93" i="1"/>
  <c r="R107" i="1"/>
  <c r="Y109" i="1"/>
  <c r="AF51" i="1"/>
  <c r="AF99" i="1" s="1"/>
  <c r="AJ19" i="1"/>
  <c r="AJ105" i="1" s="1"/>
  <c r="I105" i="1"/>
  <c r="H105" i="1"/>
  <c r="X115" i="1"/>
  <c r="AW73" i="1"/>
  <c r="AW116" i="1" s="1"/>
  <c r="V116" i="1"/>
  <c r="E89" i="1"/>
  <c r="U93" i="1"/>
  <c r="BA20" i="1"/>
  <c r="CN98" i="1" s="1"/>
  <c r="AJ51" i="1"/>
  <c r="AJ99" i="1" s="1"/>
  <c r="BA16" i="1"/>
  <c r="D102" i="1"/>
  <c r="I102" i="1"/>
  <c r="H102" i="1"/>
  <c r="AN74" i="1"/>
  <c r="AN109" i="1" s="1"/>
  <c r="AS46" i="1"/>
  <c r="L113" i="1"/>
  <c r="D99" i="1"/>
  <c r="M99" i="1"/>
  <c r="L99" i="1"/>
  <c r="P91" i="1"/>
  <c r="R89" i="1"/>
  <c r="U97" i="1"/>
  <c r="Y105" i="1"/>
  <c r="Y91" i="1"/>
  <c r="Z101" i="1"/>
  <c r="W115" i="1"/>
  <c r="AS76" i="1"/>
  <c r="AS95" i="1" s="1"/>
  <c r="AW51" i="1"/>
  <c r="AW99" i="1" s="1"/>
  <c r="U91" i="1"/>
  <c r="Q99" i="1"/>
  <c r="BA50" i="1"/>
  <c r="BA106" i="1" s="1"/>
  <c r="X99" i="1"/>
  <c r="U101" i="1"/>
  <c r="AW7" i="1"/>
  <c r="BW96" i="1" s="1"/>
  <c r="G89" i="1"/>
  <c r="AW12" i="1"/>
  <c r="AW104" i="1" s="1"/>
  <c r="R99" i="1"/>
  <c r="E110" i="1"/>
  <c r="D110" i="1"/>
  <c r="X96" i="1"/>
  <c r="Q96" i="1"/>
  <c r="Y104" i="1"/>
  <c r="R104" i="1"/>
  <c r="R91" i="1"/>
  <c r="U99" i="1"/>
  <c r="AW74" i="1"/>
  <c r="CJ109" i="1" s="1"/>
  <c r="BA78" i="1"/>
  <c r="C98" i="1"/>
  <c r="E98" i="1"/>
  <c r="H110" i="1"/>
  <c r="M112" i="1"/>
  <c r="H112" i="1"/>
  <c r="E112" i="1"/>
  <c r="R98" i="1"/>
  <c r="V106" i="1"/>
  <c r="Z91" i="1"/>
  <c r="BA73" i="1"/>
  <c r="BA116" i="1" s="1"/>
  <c r="AS49" i="1"/>
  <c r="AS113" i="1" s="1"/>
  <c r="BA45" i="1"/>
  <c r="AS12" i="1"/>
  <c r="AS104" i="1" s="1"/>
  <c r="AS6" i="1"/>
  <c r="BF103" i="1" s="1"/>
  <c r="C110" i="1"/>
  <c r="G111" i="1"/>
  <c r="C91" i="1"/>
  <c r="AA74" i="1"/>
  <c r="AA109" i="1" s="1"/>
  <c r="W77" i="1"/>
  <c r="Z95" i="1"/>
  <c r="AS75" i="1"/>
  <c r="AS102" i="1" s="1"/>
  <c r="BA52" i="1"/>
  <c r="BA92" i="1" s="1"/>
  <c r="AW43" i="1"/>
  <c r="AW100" i="1" s="1"/>
  <c r="BA21" i="1"/>
  <c r="BA91" i="1" s="1"/>
  <c r="BA15" i="1"/>
  <c r="AW8" i="1"/>
  <c r="CJ89" i="1" s="1"/>
  <c r="AW50" i="1"/>
  <c r="AW106" i="1" s="1"/>
  <c r="G110" i="1"/>
  <c r="K111" i="1"/>
  <c r="C112" i="1"/>
  <c r="G91" i="1"/>
  <c r="G100" i="1"/>
  <c r="G99" i="1"/>
  <c r="BA74" i="1"/>
  <c r="CN109" i="1" s="1"/>
  <c r="BA49" i="1"/>
  <c r="BA113" i="1" s="1"/>
  <c r="AW42" i="1"/>
  <c r="AW107" i="1" s="1"/>
  <c r="AS43" i="1"/>
  <c r="AS100" i="1" s="1"/>
  <c r="BA18" i="1"/>
  <c r="BA112" i="1" s="1"/>
  <c r="BA44" i="1"/>
  <c r="BA93" i="1" s="1"/>
  <c r="AW18" i="1"/>
  <c r="AW112" i="1" s="1"/>
  <c r="AS16" i="1"/>
  <c r="AS11" i="1"/>
  <c r="BF111" i="1" s="1"/>
  <c r="BA11" i="1"/>
  <c r="BA111" i="1" s="1"/>
  <c r="BA5" i="1"/>
  <c r="BA110" i="1" s="1"/>
  <c r="BA14" i="1"/>
  <c r="BN90" i="1" s="1"/>
  <c r="BA7" i="1"/>
  <c r="CA96" i="1" s="1"/>
  <c r="AW20" i="1"/>
  <c r="BW98" i="1" s="1"/>
  <c r="AW6" i="1"/>
  <c r="BJ103" i="1" s="1"/>
  <c r="AW13" i="1"/>
  <c r="AW97" i="1" s="1"/>
  <c r="AW15" i="1"/>
  <c r="AW21" i="1"/>
  <c r="BW91" i="1" s="1"/>
  <c r="AW14" i="1"/>
  <c r="AW90" i="1" s="1"/>
  <c r="AW5" i="1"/>
  <c r="BW110" i="1" s="1"/>
  <c r="AS20" i="1"/>
  <c r="BF98" i="1" s="1"/>
  <c r="AS13" i="1"/>
  <c r="BS97" i="1" s="1"/>
  <c r="AS15" i="1"/>
  <c r="AS8" i="1"/>
  <c r="BS89" i="1" s="1"/>
  <c r="AS19" i="1"/>
  <c r="BF105" i="1" s="1"/>
  <c r="AS18" i="1"/>
  <c r="CF112" i="1" s="1"/>
  <c r="AS5" i="1"/>
  <c r="AS110" i="1" s="1"/>
  <c r="AN21" i="1"/>
  <c r="AN91" i="1" s="1"/>
  <c r="AN12" i="1"/>
  <c r="AN104" i="1" s="1"/>
  <c r="R102" i="1"/>
  <c r="T110" i="1"/>
  <c r="C103" i="1"/>
  <c r="D91" i="1"/>
  <c r="D100" i="1"/>
  <c r="V92" i="1"/>
  <c r="V94" i="1"/>
  <c r="Z99" i="1"/>
  <c r="U102" i="1"/>
  <c r="Z110" i="1"/>
  <c r="AF74" i="1"/>
  <c r="AF109" i="1" s="1"/>
  <c r="AJ76" i="1"/>
  <c r="AJ95" i="1" s="1"/>
  <c r="M95" i="1"/>
  <c r="AN73" i="1"/>
  <c r="AN116" i="1" s="1"/>
  <c r="C101" i="1"/>
  <c r="C116" i="1"/>
  <c r="H91" i="1"/>
  <c r="M100" i="1"/>
  <c r="D111" i="1"/>
  <c r="S94" i="1"/>
  <c r="T96" i="1"/>
  <c r="T112" i="1"/>
  <c r="Q91" i="1"/>
  <c r="Q93" i="1"/>
  <c r="Y94" i="1"/>
  <c r="Z96" i="1"/>
  <c r="T100" i="1"/>
  <c r="V102" i="1"/>
  <c r="Q111" i="1"/>
  <c r="U116" i="1"/>
  <c r="AJ49" i="1"/>
  <c r="AJ113" i="1" s="1"/>
  <c r="I91" i="1"/>
  <c r="W94" i="1"/>
  <c r="W78" i="1"/>
  <c r="R93" i="1"/>
  <c r="U100" i="1"/>
  <c r="X102" i="1"/>
  <c r="T107" i="1"/>
  <c r="AJ20" i="1"/>
  <c r="AJ98" i="1" s="1"/>
  <c r="AF43" i="1"/>
  <c r="AF100" i="1" s="1"/>
  <c r="AN45" i="1"/>
  <c r="AF77" i="1"/>
  <c r="U92" i="1"/>
  <c r="D116" i="1"/>
  <c r="X110" i="1"/>
  <c r="L91" i="1"/>
  <c r="E99" i="1"/>
  <c r="E103" i="1"/>
  <c r="M111" i="1"/>
  <c r="H116" i="1"/>
  <c r="W12" i="1"/>
  <c r="W13" i="1"/>
  <c r="W41" i="1"/>
  <c r="W114" i="1" s="1"/>
  <c r="T91" i="1"/>
  <c r="Y93" i="1"/>
  <c r="R95" i="1"/>
  <c r="Q101" i="1"/>
  <c r="Y102" i="1"/>
  <c r="Q108" i="1"/>
  <c r="Z111" i="1"/>
  <c r="U94" i="1"/>
  <c r="N91" i="1"/>
  <c r="C95" i="1"/>
  <c r="C111" i="1"/>
  <c r="N50" i="1"/>
  <c r="K95" i="1"/>
  <c r="M91" i="1"/>
  <c r="D95" i="1"/>
  <c r="H99" i="1"/>
  <c r="L103" i="1"/>
  <c r="E107" i="1"/>
  <c r="P105" i="1"/>
  <c r="T93" i="1"/>
  <c r="S41" i="1"/>
  <c r="AA73" i="1"/>
  <c r="AA116" i="1" s="1"/>
  <c r="T95" i="1"/>
  <c r="Z93" i="1"/>
  <c r="Y95" i="1"/>
  <c r="R101" i="1"/>
  <c r="U103" i="1"/>
  <c r="Z108" i="1"/>
  <c r="V112" i="1"/>
  <c r="AF41" i="1"/>
  <c r="AF114" i="1" s="1"/>
  <c r="AN43" i="1"/>
  <c r="AN100" i="1" s="1"/>
  <c r="AJ46" i="1"/>
  <c r="AJ50" i="1"/>
  <c r="AJ106" i="1" s="1"/>
  <c r="AN77" i="1"/>
  <c r="AN78" i="1"/>
  <c r="AN16" i="1"/>
  <c r="AJ18" i="1"/>
  <c r="AJ112" i="1" s="1"/>
  <c r="AF20" i="1"/>
  <c r="AF98" i="1" s="1"/>
  <c r="AF11" i="1"/>
  <c r="AF111" i="1" s="1"/>
  <c r="E90" i="1"/>
  <c r="D90" i="1"/>
  <c r="M90" i="1"/>
  <c r="L90" i="1"/>
  <c r="L114" i="1"/>
  <c r="I114" i="1"/>
  <c r="H114" i="1"/>
  <c r="E114" i="1"/>
  <c r="D114" i="1"/>
  <c r="E94" i="1"/>
  <c r="D94" i="1"/>
  <c r="M94" i="1"/>
  <c r="L94" i="1"/>
  <c r="G90" i="1"/>
  <c r="I94" i="1"/>
  <c r="H90" i="1"/>
  <c r="M114" i="1"/>
  <c r="K90" i="1"/>
  <c r="C114" i="1"/>
  <c r="Y89" i="1"/>
  <c r="Q89" i="1"/>
  <c r="X89" i="1"/>
  <c r="P89" i="1"/>
  <c r="V89" i="1"/>
  <c r="U89" i="1"/>
  <c r="T89" i="1"/>
  <c r="T97" i="1"/>
  <c r="R97" i="1"/>
  <c r="Z97" i="1"/>
  <c r="Q97" i="1"/>
  <c r="Y97" i="1"/>
  <c r="P97" i="1"/>
  <c r="X97" i="1"/>
  <c r="V97" i="1"/>
  <c r="Z89" i="1"/>
  <c r="I106" i="1"/>
  <c r="H106" i="1"/>
  <c r="E106" i="1"/>
  <c r="D106" i="1"/>
  <c r="K94" i="1"/>
  <c r="I90" i="1"/>
  <c r="M106" i="1"/>
  <c r="AA59" i="1"/>
  <c r="X94" i="1"/>
  <c r="U90" i="1"/>
  <c r="T90" i="1"/>
  <c r="Z90" i="1"/>
  <c r="R90" i="1"/>
  <c r="Y90" i="1"/>
  <c r="Q90" i="1"/>
  <c r="X90" i="1"/>
  <c r="P90" i="1"/>
  <c r="W90" i="1"/>
  <c r="Z98" i="1"/>
  <c r="Q98" i="1"/>
  <c r="Y98" i="1"/>
  <c r="P98" i="1"/>
  <c r="X98" i="1"/>
  <c r="V98" i="1"/>
  <c r="U98" i="1"/>
  <c r="T98" i="1"/>
  <c r="U106" i="1"/>
  <c r="T106" i="1"/>
  <c r="R106" i="1"/>
  <c r="Z106" i="1"/>
  <c r="Q106" i="1"/>
  <c r="Y106" i="1"/>
  <c r="P106" i="1"/>
  <c r="X106" i="1"/>
  <c r="Z114" i="1"/>
  <c r="Q114" i="1"/>
  <c r="Y114" i="1"/>
  <c r="P114" i="1"/>
  <c r="X114" i="1"/>
  <c r="V114" i="1"/>
  <c r="R114" i="1"/>
  <c r="U114" i="1"/>
  <c r="T114" i="1"/>
  <c r="S114" i="1"/>
  <c r="V90" i="1"/>
  <c r="C89" i="1"/>
  <c r="M89" i="1"/>
  <c r="L89" i="1"/>
  <c r="I89" i="1"/>
  <c r="H89" i="1"/>
  <c r="M93" i="1"/>
  <c r="L93" i="1"/>
  <c r="I93" i="1"/>
  <c r="H93" i="1"/>
  <c r="E105" i="1"/>
  <c r="D105" i="1"/>
  <c r="M105" i="1"/>
  <c r="L105" i="1"/>
  <c r="H113" i="1"/>
  <c r="K113" i="1"/>
  <c r="I113" i="1"/>
  <c r="D113" i="1"/>
  <c r="S51" i="1"/>
  <c r="S99" i="1" s="1"/>
  <c r="J12" i="1"/>
  <c r="J104" i="1" s="1"/>
  <c r="G114" i="1"/>
  <c r="C93" i="1"/>
  <c r="C113" i="1"/>
  <c r="C92" i="1"/>
  <c r="E111" i="1"/>
  <c r="I112" i="1"/>
  <c r="E116" i="1"/>
  <c r="AA76" i="1"/>
  <c r="AA95" i="1" s="1"/>
  <c r="AA115" i="1"/>
  <c r="S115" i="1"/>
  <c r="AA93" i="1"/>
  <c r="P96" i="1"/>
  <c r="Y96" i="1"/>
  <c r="P99" i="1"/>
  <c r="Y99" i="1"/>
  <c r="V100" i="1"/>
  <c r="T101" i="1"/>
  <c r="Q102" i="1"/>
  <c r="Z102" i="1"/>
  <c r="T104" i="1"/>
  <c r="Q105" i="1"/>
  <c r="Z105" i="1"/>
  <c r="U107" i="1"/>
  <c r="R108" i="1"/>
  <c r="AA108" i="1"/>
  <c r="X109" i="1"/>
  <c r="U110" i="1"/>
  <c r="R111" i="1"/>
  <c r="P112" i="1"/>
  <c r="Y112" i="1"/>
  <c r="V113" i="1"/>
  <c r="P115" i="1"/>
  <c r="Y115" i="1"/>
  <c r="S11" i="1"/>
  <c r="S111" i="1" s="1"/>
  <c r="AA13" i="1"/>
  <c r="AA97" i="1" s="1"/>
  <c r="S20" i="1"/>
  <c r="W108" i="1"/>
  <c r="P92" i="1"/>
  <c r="X92" i="1"/>
  <c r="X100" i="1"/>
  <c r="X103" i="1"/>
  <c r="U104" i="1"/>
  <c r="R105" i="1"/>
  <c r="V107" i="1"/>
  <c r="S108" i="1"/>
  <c r="P109" i="1"/>
  <c r="V110" i="1"/>
  <c r="T111" i="1"/>
  <c r="Q112" i="1"/>
  <c r="Z112" i="1"/>
  <c r="Q115" i="1"/>
  <c r="Z115" i="1"/>
  <c r="X116" i="1"/>
  <c r="AF15" i="1"/>
  <c r="AN15" i="1"/>
  <c r="C105" i="1"/>
  <c r="K93" i="1"/>
  <c r="K92" i="1"/>
  <c r="G116" i="1"/>
  <c r="E100" i="1"/>
  <c r="W11" i="1"/>
  <c r="W111" i="1" s="1"/>
  <c r="AA101" i="1"/>
  <c r="S101" i="1"/>
  <c r="Q92" i="1"/>
  <c r="Y92" i="1"/>
  <c r="U95" i="1"/>
  <c r="R96" i="1"/>
  <c r="P100" i="1"/>
  <c r="Y100" i="1"/>
  <c r="V101" i="1"/>
  <c r="P103" i="1"/>
  <c r="Y103" i="1"/>
  <c r="V104" i="1"/>
  <c r="T105" i="1"/>
  <c r="W107" i="1"/>
  <c r="T108" i="1"/>
  <c r="Q109" i="1"/>
  <c r="Z109" i="1"/>
  <c r="U111" i="1"/>
  <c r="R112" i="1"/>
  <c r="X113" i="1"/>
  <c r="R115" i="1"/>
  <c r="P116" i="1"/>
  <c r="Y116" i="1"/>
  <c r="AN18" i="1"/>
  <c r="AN112" i="1" s="1"/>
  <c r="AJ21" i="1"/>
  <c r="AJ91" i="1" s="1"/>
  <c r="G113" i="1"/>
  <c r="C106" i="1"/>
  <c r="H103" i="1"/>
  <c r="L104" i="1"/>
  <c r="L108" i="1"/>
  <c r="I111" i="1"/>
  <c r="I116" i="1"/>
  <c r="G97" i="1"/>
  <c r="K101" i="1"/>
  <c r="K116" i="1"/>
  <c r="K91" i="1"/>
  <c r="E95" i="1"/>
  <c r="H100" i="1"/>
  <c r="L116" i="1"/>
  <c r="AA11" i="1"/>
  <c r="AA111" i="1" s="1"/>
  <c r="S18" i="1"/>
  <c r="S112" i="1" s="1"/>
  <c r="S50" i="1"/>
  <c r="V91" i="1"/>
  <c r="R92" i="1"/>
  <c r="Z92" i="1"/>
  <c r="V93" i="1"/>
  <c r="R94" i="1"/>
  <c r="Z94" i="1"/>
  <c r="T99" i="1"/>
  <c r="Q100" i="1"/>
  <c r="Z100" i="1"/>
  <c r="W101" i="1"/>
  <c r="T102" i="1"/>
  <c r="Q103" i="1"/>
  <c r="X104" i="1"/>
  <c r="U105" i="1"/>
  <c r="X107" i="1"/>
  <c r="U108" i="1"/>
  <c r="R109" i="1"/>
  <c r="P110" i="1"/>
  <c r="Y110" i="1"/>
  <c r="P113" i="1"/>
  <c r="Y113" i="1"/>
  <c r="T115" i="1"/>
  <c r="Q116" i="1"/>
  <c r="Z116" i="1"/>
  <c r="AF7" i="1"/>
  <c r="AF96" i="1" s="1"/>
  <c r="AN41" i="1"/>
  <c r="AN114" i="1" s="1"/>
  <c r="C94" i="1"/>
  <c r="K106" i="1"/>
  <c r="I100" i="1"/>
  <c r="W18" i="1"/>
  <c r="W112" i="1" s="1"/>
  <c r="W75" i="1"/>
  <c r="S76" i="1"/>
  <c r="AA103" i="1"/>
  <c r="S92" i="1"/>
  <c r="R100" i="1"/>
  <c r="X101" i="1"/>
  <c r="R103" i="1"/>
  <c r="P104" i="1"/>
  <c r="V105" i="1"/>
  <c r="P107" i="1"/>
  <c r="Y107" i="1"/>
  <c r="V108" i="1"/>
  <c r="T109" i="1"/>
  <c r="Q113" i="1"/>
  <c r="Z113" i="1"/>
  <c r="U115" i="1"/>
  <c r="R116" i="1"/>
  <c r="C90" i="1"/>
  <c r="C99" i="1"/>
  <c r="K105" i="1"/>
  <c r="W96" i="1"/>
  <c r="W104" i="1"/>
  <c r="T92" i="1"/>
  <c r="P93" i="1"/>
  <c r="X93" i="1"/>
  <c r="T94" i="1"/>
  <c r="P95" i="1"/>
  <c r="X95" i="1"/>
  <c r="U96" i="1"/>
  <c r="V99" i="1"/>
  <c r="P101" i="1"/>
  <c r="Y101" i="1"/>
  <c r="T103" i="1"/>
  <c r="Q104" i="1"/>
  <c r="Z104" i="1"/>
  <c r="W105" i="1"/>
  <c r="Q107" i="1"/>
  <c r="Z107" i="1"/>
  <c r="X108" i="1"/>
  <c r="U109" i="1"/>
  <c r="R110" i="1"/>
  <c r="X111" i="1"/>
  <c r="U112" i="1"/>
  <c r="R113" i="1"/>
  <c r="V115" i="1"/>
  <c r="AF5" i="1"/>
  <c r="AF110" i="1" s="1"/>
  <c r="AN7" i="1"/>
  <c r="AN96" i="1" s="1"/>
  <c r="AF16" i="1"/>
  <c r="AN19" i="1"/>
  <c r="AN105" i="1" s="1"/>
  <c r="AF49" i="1"/>
  <c r="AF113" i="1" s="1"/>
  <c r="X105" i="1"/>
  <c r="P108" i="1"/>
  <c r="Y108" i="1"/>
  <c r="P111" i="1"/>
  <c r="T113" i="1"/>
  <c r="T116" i="1"/>
  <c r="AJ77" i="1"/>
  <c r="AJ73" i="1"/>
  <c r="AJ116" i="1" s="1"/>
  <c r="AN42" i="1"/>
  <c r="AN107" i="1" s="1"/>
  <c r="AJ45" i="1"/>
  <c r="AF76" i="1"/>
  <c r="AF95" i="1" s="1"/>
  <c r="AJ12" i="1"/>
  <c r="AJ104" i="1" s="1"/>
  <c r="AN14" i="1"/>
  <c r="AN90" i="1" s="1"/>
  <c r="AF18" i="1"/>
  <c r="AF112" i="1" s="1"/>
  <c r="AN20" i="1"/>
  <c r="AN98" i="1" s="1"/>
  <c r="AJ43" i="1"/>
  <c r="AJ100" i="1" s="1"/>
  <c r="AF46" i="1"/>
  <c r="AF50" i="1"/>
  <c r="AF106" i="1" s="1"/>
  <c r="AN52" i="1"/>
  <c r="AN92" i="1" s="1"/>
  <c r="AJ74" i="1"/>
  <c r="AJ109" i="1" s="1"/>
  <c r="AN76" i="1"/>
  <c r="AN95" i="1" s="1"/>
  <c r="AF8" i="1"/>
  <c r="AF89" i="1" s="1"/>
  <c r="AF6" i="1"/>
  <c r="AF103" i="1" s="1"/>
  <c r="AF21" i="1"/>
  <c r="AF91" i="1" s="1"/>
  <c r="AF14" i="1"/>
  <c r="AF90" i="1" s="1"/>
  <c r="AF13" i="1"/>
  <c r="AF97" i="1" s="1"/>
  <c r="AN13" i="1"/>
  <c r="AN97" i="1" s="1"/>
  <c r="AN5" i="1"/>
  <c r="AN110" i="1" s="1"/>
  <c r="AN11" i="1"/>
  <c r="AN111" i="1" s="1"/>
  <c r="AN50" i="1"/>
  <c r="AN106" i="1" s="1"/>
  <c r="AN8" i="1"/>
  <c r="AN89" i="1" s="1"/>
  <c r="AN6" i="1"/>
  <c r="AN103" i="1" s="1"/>
  <c r="AN51" i="1"/>
  <c r="AN99" i="1" s="1"/>
  <c r="AJ5" i="1"/>
  <c r="AJ110" i="1" s="1"/>
  <c r="AJ13" i="1"/>
  <c r="AJ97" i="1" s="1"/>
  <c r="AJ11" i="1"/>
  <c r="AJ111" i="1" s="1"/>
  <c r="AJ14" i="1"/>
  <c r="AJ90" i="1" s="1"/>
  <c r="AJ44" i="1"/>
  <c r="AJ93" i="1" s="1"/>
  <c r="AJ42" i="1"/>
  <c r="AJ107" i="1" s="1"/>
  <c r="AJ75" i="1"/>
  <c r="AJ102" i="1" s="1"/>
  <c r="AF78" i="1"/>
  <c r="AF73" i="1"/>
  <c r="AF116" i="1" s="1"/>
  <c r="AF42" i="1"/>
  <c r="AF107" i="1" s="1"/>
  <c r="AF52" i="1"/>
  <c r="AF92" i="1" s="1"/>
  <c r="AF45" i="1"/>
  <c r="AF12" i="1"/>
  <c r="AF104" i="1" s="1"/>
  <c r="AA75" i="1"/>
  <c r="AA50" i="1"/>
  <c r="AA52" i="1"/>
  <c r="AA45" i="1"/>
  <c r="AA43" i="1"/>
  <c r="AA41" i="1"/>
  <c r="AA42" i="1"/>
  <c r="AA46" i="1"/>
  <c r="AA49" i="1"/>
  <c r="AA20" i="1"/>
  <c r="AA98" i="1" s="1"/>
  <c r="AA16" i="1"/>
  <c r="AA14" i="1"/>
  <c r="AA90" i="1" s="1"/>
  <c r="AA7" i="1"/>
  <c r="W74" i="1"/>
  <c r="W109" i="1" s="1"/>
  <c r="W76" i="1"/>
  <c r="W73" i="1"/>
  <c r="W49" i="1"/>
  <c r="W50" i="1"/>
  <c r="W45" i="1"/>
  <c r="W46" i="1"/>
  <c r="W21" i="1"/>
  <c r="W91" i="1" s="1"/>
  <c r="W8" i="1"/>
  <c r="S74" i="1"/>
  <c r="S109" i="1" s="1"/>
  <c r="S75" i="1"/>
  <c r="S42" i="1"/>
  <c r="S44" i="1"/>
  <c r="S43" i="1"/>
  <c r="S46" i="1"/>
  <c r="S19" i="1"/>
  <c r="S21" i="1"/>
  <c r="S91" i="1" s="1"/>
  <c r="S15" i="1"/>
  <c r="S13" i="1"/>
  <c r="S97" i="1" s="1"/>
  <c r="S14" i="1"/>
  <c r="S7" i="1"/>
  <c r="S5" i="1"/>
  <c r="S12" i="1"/>
  <c r="S104" i="1" s="1"/>
  <c r="S6" i="1"/>
  <c r="S103" i="1" s="1"/>
  <c r="AA12" i="1"/>
  <c r="AA51" i="1"/>
  <c r="AA99" i="1" s="1"/>
  <c r="AA78" i="1"/>
  <c r="AA21" i="1"/>
  <c r="AA91" i="1" s="1"/>
  <c r="AA18" i="1"/>
  <c r="AA5" i="1"/>
  <c r="AA8" i="1"/>
  <c r="AA19" i="1"/>
  <c r="W6" i="1"/>
  <c r="W44" i="1"/>
  <c r="W93" i="1" s="1"/>
  <c r="W43" i="1"/>
  <c r="W100" i="1" s="1"/>
  <c r="W52" i="1"/>
  <c r="W5" i="1"/>
  <c r="W15" i="1"/>
  <c r="W20" i="1"/>
  <c r="W51" i="1"/>
  <c r="W99" i="1" s="1"/>
  <c r="S49" i="1"/>
  <c r="S78" i="1"/>
  <c r="S16" i="1"/>
  <c r="S73" i="1"/>
  <c r="S77" i="1"/>
  <c r="S8" i="1"/>
  <c r="E115" i="1"/>
  <c r="H115" i="1"/>
  <c r="I115" i="1"/>
  <c r="L115" i="1"/>
  <c r="D115" i="1"/>
  <c r="N115" i="1"/>
  <c r="E113" i="1"/>
  <c r="C108" i="1"/>
  <c r="G108" i="1"/>
  <c r="K108" i="1"/>
  <c r="M108" i="1"/>
  <c r="D108" i="1"/>
  <c r="E108" i="1"/>
  <c r="I107" i="1"/>
  <c r="L107" i="1"/>
  <c r="M107" i="1"/>
  <c r="C107" i="1"/>
  <c r="H107" i="1"/>
  <c r="L102" i="1"/>
  <c r="M102" i="1"/>
  <c r="E96" i="1"/>
  <c r="H96" i="1"/>
  <c r="D96" i="1"/>
  <c r="C96" i="1"/>
  <c r="I96" i="1"/>
  <c r="L96" i="1"/>
  <c r="J18" i="1"/>
  <c r="J112" i="1" s="1"/>
  <c r="J76" i="1"/>
  <c r="J95" i="1" s="1"/>
  <c r="N58" i="1"/>
  <c r="J21" i="1"/>
  <c r="J91" i="1" s="1"/>
  <c r="F43" i="1"/>
  <c r="N8" i="1"/>
  <c r="N89" i="1" s="1"/>
  <c r="J50" i="1"/>
  <c r="K107" i="1"/>
  <c r="F13" i="1"/>
  <c r="F97" i="1" s="1"/>
  <c r="J19" i="1"/>
  <c r="J105" i="1" s="1"/>
  <c r="N11" i="1"/>
  <c r="N111" i="1" s="1"/>
  <c r="J75" i="1"/>
  <c r="J102" i="1" s="1"/>
  <c r="J11" i="1"/>
  <c r="J111" i="1" s="1"/>
  <c r="N19" i="1"/>
  <c r="N105" i="1" s="1"/>
  <c r="F51" i="1"/>
  <c r="J7" i="1"/>
  <c r="J96" i="1" s="1"/>
  <c r="J73" i="1"/>
  <c r="J116" i="1" s="1"/>
  <c r="G92" i="1"/>
  <c r="J20" i="1"/>
  <c r="J98" i="1" s="1"/>
  <c r="F41" i="1"/>
  <c r="N49" i="1"/>
  <c r="N114" i="1" s="1"/>
  <c r="C97" i="1"/>
  <c r="J15" i="1"/>
  <c r="J41" i="1"/>
  <c r="J52" i="1"/>
  <c r="J49" i="1"/>
  <c r="J74" i="1"/>
  <c r="J109" i="1" s="1"/>
  <c r="G96" i="1"/>
  <c r="G112" i="1"/>
  <c r="K114" i="1"/>
  <c r="G115" i="1"/>
  <c r="G105" i="1"/>
  <c r="N16" i="1"/>
  <c r="J44" i="1"/>
  <c r="J94" i="1" s="1"/>
  <c r="J56" i="1"/>
  <c r="F59" i="1"/>
  <c r="G93" i="1"/>
  <c r="G101" i="1"/>
  <c r="K115" i="1"/>
  <c r="N13" i="1"/>
  <c r="N97" i="1" s="1"/>
  <c r="J57" i="1"/>
  <c r="J77" i="1"/>
  <c r="K89" i="1"/>
  <c r="G102" i="1"/>
  <c r="G106" i="1"/>
  <c r="C115" i="1"/>
  <c r="J16" i="1"/>
  <c r="J42" i="1"/>
  <c r="N45" i="1"/>
  <c r="J5" i="1"/>
  <c r="J110" i="1" s="1"/>
  <c r="F8" i="1"/>
  <c r="F89" i="1" s="1"/>
  <c r="J14" i="1"/>
  <c r="J90" i="1" s="1"/>
  <c r="J45" i="1"/>
  <c r="J51" i="1"/>
  <c r="J100" i="1" s="1"/>
  <c r="N43" i="1"/>
  <c r="N101" i="1" s="1"/>
  <c r="N77" i="1"/>
  <c r="G94" i="1"/>
  <c r="G107" i="1"/>
  <c r="N5" i="1"/>
  <c r="N110" i="1" s="1"/>
  <c r="J8" i="1"/>
  <c r="J89" i="1" s="1"/>
  <c r="G95" i="1"/>
  <c r="K97" i="1"/>
  <c r="C100" i="1"/>
  <c r="K110" i="1"/>
  <c r="G104" i="1"/>
  <c r="F74" i="1"/>
  <c r="F109" i="1" s="1"/>
  <c r="C109" i="1"/>
  <c r="N57" i="1"/>
  <c r="N59" i="1"/>
  <c r="N51" i="1"/>
  <c r="N52" i="1"/>
  <c r="N42" i="1"/>
  <c r="N44" i="1"/>
  <c r="N46" i="1"/>
  <c r="N73" i="1"/>
  <c r="N116" i="1" s="1"/>
  <c r="N76" i="1"/>
  <c r="N95" i="1" s="1"/>
  <c r="N78" i="1"/>
  <c r="N74" i="1"/>
  <c r="N109" i="1" s="1"/>
  <c r="N75" i="1"/>
  <c r="N102" i="1" s="1"/>
  <c r="N18" i="1"/>
  <c r="N112" i="1" s="1"/>
  <c r="N20" i="1"/>
  <c r="N98" i="1" s="1"/>
  <c r="N12" i="1"/>
  <c r="N104" i="1" s="1"/>
  <c r="N14" i="1"/>
  <c r="N90" i="1" s="1"/>
  <c r="N15" i="1"/>
  <c r="N7" i="1"/>
  <c r="N96" i="1" s="1"/>
  <c r="N6" i="1"/>
  <c r="N103" i="1" s="1"/>
  <c r="J6" i="1"/>
  <c r="J103" i="1" s="1"/>
  <c r="J78" i="1"/>
  <c r="J13" i="1"/>
  <c r="J97" i="1" s="1"/>
  <c r="J58" i="1"/>
  <c r="F57" i="1"/>
  <c r="F58" i="1"/>
  <c r="F56" i="1"/>
  <c r="F49" i="1"/>
  <c r="F114" i="1" s="1"/>
  <c r="F50" i="1"/>
  <c r="F52" i="1"/>
  <c r="F45" i="1"/>
  <c r="F42" i="1"/>
  <c r="F44" i="1"/>
  <c r="F19" i="1"/>
  <c r="F105" i="1" s="1"/>
  <c r="F21" i="1"/>
  <c r="F91" i="1" s="1"/>
  <c r="F18" i="1"/>
  <c r="F112" i="1" s="1"/>
  <c r="F20" i="1"/>
  <c r="F98" i="1" s="1"/>
  <c r="F11" i="1"/>
  <c r="F111" i="1" s="1"/>
  <c r="F16" i="1"/>
  <c r="F12" i="1"/>
  <c r="F104" i="1" s="1"/>
  <c r="F15" i="1"/>
  <c r="F14" i="1"/>
  <c r="F90" i="1" s="1"/>
  <c r="F7" i="1"/>
  <c r="F96" i="1" s="1"/>
  <c r="F5" i="1"/>
  <c r="F110" i="1" s="1"/>
  <c r="F6" i="1"/>
  <c r="F103" i="1" s="1"/>
  <c r="F78" i="1"/>
  <c r="F76" i="1"/>
  <c r="F95" i="1" s="1"/>
  <c r="F75" i="1"/>
  <c r="F102" i="1" s="1"/>
  <c r="F73" i="1"/>
  <c r="F116" i="1" s="1"/>
  <c r="F77" i="1"/>
  <c r="CW91" i="1" l="1"/>
  <c r="CW105" i="1"/>
  <c r="CS97" i="1"/>
  <c r="DA110" i="1"/>
  <c r="CS107" i="1"/>
  <c r="CS106" i="1"/>
  <c r="DA97" i="1"/>
  <c r="CW89" i="1"/>
  <c r="CS111" i="1"/>
  <c r="CJ113" i="1"/>
  <c r="DA107" i="1"/>
  <c r="CW106" i="1"/>
  <c r="DA106" i="1"/>
  <c r="CW112" i="1"/>
  <c r="CS104" i="1"/>
  <c r="CW111" i="1"/>
  <c r="DA111" i="1"/>
  <c r="CW99" i="1"/>
  <c r="CS91" i="1"/>
  <c r="CS90" i="1"/>
  <c r="CW113" i="1"/>
  <c r="CS105" i="1"/>
  <c r="CW96" i="1"/>
  <c r="CS95" i="1"/>
  <c r="CS102" i="1"/>
  <c r="CS109" i="1"/>
  <c r="DA91" i="1"/>
  <c r="CS114" i="1"/>
  <c r="CW90" i="1"/>
  <c r="DA90" i="1"/>
  <c r="DA105" i="1"/>
  <c r="DA89" i="1"/>
  <c r="CS100" i="1"/>
  <c r="DA95" i="1"/>
  <c r="CW110" i="1"/>
  <c r="CS116" i="1"/>
  <c r="CW109" i="1"/>
  <c r="DA109" i="1"/>
  <c r="N106" i="1"/>
  <c r="BW113" i="1"/>
  <c r="CF96" i="1"/>
  <c r="CW114" i="1"/>
  <c r="DA114" i="1"/>
  <c r="CW97" i="1"/>
  <c r="CS89" i="1"/>
  <c r="CW100" i="1"/>
  <c r="CS112" i="1"/>
  <c r="CW116" i="1"/>
  <c r="DA116" i="1"/>
  <c r="CS92" i="1"/>
  <c r="BA89" i="1"/>
  <c r="CW107" i="1"/>
  <c r="CS99" i="1"/>
  <c r="CS98" i="1"/>
  <c r="CS113" i="1"/>
  <c r="DA112" i="1"/>
  <c r="CS103" i="1"/>
  <c r="CW93" i="1"/>
  <c r="DA93" i="1"/>
  <c r="CW92" i="1"/>
  <c r="DA92" i="1"/>
  <c r="DA99" i="1"/>
  <c r="CW98" i="1"/>
  <c r="DA98" i="1"/>
  <c r="DA113" i="1"/>
  <c r="CW104" i="1"/>
  <c r="DA96" i="1"/>
  <c r="CW103" i="1"/>
  <c r="DA103" i="1"/>
  <c r="CS110" i="1"/>
  <c r="BA90" i="1"/>
  <c r="BN116" i="1"/>
  <c r="CA116" i="1"/>
  <c r="BW116" i="1"/>
  <c r="CA107" i="1"/>
  <c r="CJ107" i="1"/>
  <c r="BS99" i="1"/>
  <c r="CF99" i="1"/>
  <c r="BJ91" i="1"/>
  <c r="CJ91" i="1"/>
  <c r="AW105" i="1"/>
  <c r="CJ105" i="1"/>
  <c r="CA97" i="1"/>
  <c r="BJ106" i="1"/>
  <c r="BJ90" i="1"/>
  <c r="BF106" i="1"/>
  <c r="CA106" i="1"/>
  <c r="BN98" i="1"/>
  <c r="BS90" i="1"/>
  <c r="BN93" i="1"/>
  <c r="BJ112" i="1"/>
  <c r="CA112" i="1"/>
  <c r="BW112" i="1"/>
  <c r="BS104" i="1"/>
  <c r="BJ96" i="1"/>
  <c r="AW110" i="1"/>
  <c r="BS111" i="1"/>
  <c r="AW103" i="1"/>
  <c r="BW103" i="1"/>
  <c r="BF95" i="1"/>
  <c r="BS102" i="1"/>
  <c r="CJ100" i="1"/>
  <c r="CF100" i="1"/>
  <c r="CA92" i="1"/>
  <c r="CN92" i="1"/>
  <c r="AS105" i="1"/>
  <c r="BJ99" i="1"/>
  <c r="CN99" i="1"/>
  <c r="CN113" i="1"/>
  <c r="BW105" i="1"/>
  <c r="BF97" i="1"/>
  <c r="AS111" i="1"/>
  <c r="BN106" i="1"/>
  <c r="BS106" i="1"/>
  <c r="AS98" i="1"/>
  <c r="CA90" i="1"/>
  <c r="BF109" i="1"/>
  <c r="BN107" i="1"/>
  <c r="BJ104" i="1"/>
  <c r="BW104" i="1"/>
  <c r="CF111" i="1"/>
  <c r="BN95" i="1"/>
  <c r="AS112" i="1"/>
  <c r="BA97" i="1"/>
  <c r="CF110" i="1"/>
  <c r="CF102" i="1"/>
  <c r="CJ116" i="1"/>
  <c r="BA103" i="1"/>
  <c r="BW107" i="1"/>
  <c r="BW99" i="1"/>
  <c r="CF113" i="1"/>
  <c r="BN97" i="1"/>
  <c r="CJ97" i="1"/>
  <c r="BF102" i="1"/>
  <c r="AW109" i="1"/>
  <c r="CA114" i="1"/>
  <c r="BW106" i="1"/>
  <c r="BA98" i="1"/>
  <c r="BS98" i="1"/>
  <c r="BF89" i="1"/>
  <c r="BN109" i="1"/>
  <c r="BW109" i="1"/>
  <c r="AW91" i="1"/>
  <c r="BS112" i="1"/>
  <c r="CJ111" i="1"/>
  <c r="CN111" i="1"/>
  <c r="CA95" i="1"/>
  <c r="BF99" i="1"/>
  <c r="AW96" i="1"/>
  <c r="CA110" i="1"/>
  <c r="CN110" i="1"/>
  <c r="BJ116" i="1"/>
  <c r="CN116" i="1"/>
  <c r="BJ92" i="1"/>
  <c r="AW89" i="1"/>
  <c r="CF91" i="1"/>
  <c r="BJ97" i="1"/>
  <c r="BW97" i="1"/>
  <c r="BF114" i="1"/>
  <c r="CA98" i="1"/>
  <c r="CF90" i="1"/>
  <c r="BJ89" i="1"/>
  <c r="BN89" i="1"/>
  <c r="CF89" i="1"/>
  <c r="BJ109" i="1"/>
  <c r="CA93" i="1"/>
  <c r="CN93" i="1"/>
  <c r="BN99" i="1"/>
  <c r="AS90" i="1"/>
  <c r="AS103" i="1"/>
  <c r="AS89" i="1"/>
  <c r="CF103" i="1"/>
  <c r="BS95" i="1"/>
  <c r="BS110" i="1"/>
  <c r="BS100" i="1"/>
  <c r="CN107" i="1"/>
  <c r="CN91" i="1"/>
  <c r="BS113" i="1"/>
  <c r="BJ114" i="1"/>
  <c r="BJ98" i="1"/>
  <c r="BN114" i="1"/>
  <c r="BS114" i="1"/>
  <c r="CF106" i="1"/>
  <c r="CF98" i="1"/>
  <c r="CJ90" i="1"/>
  <c r="CN90" i="1"/>
  <c r="BW89" i="1"/>
  <c r="BN91" i="1"/>
  <c r="CJ96" i="1"/>
  <c r="CA103" i="1"/>
  <c r="CJ103" i="1"/>
  <c r="CN103" i="1"/>
  <c r="CF95" i="1"/>
  <c r="J114" i="1"/>
  <c r="N94" i="1"/>
  <c r="BN110" i="1"/>
  <c r="BA109" i="1"/>
  <c r="BJ100" i="1"/>
  <c r="BJ107" i="1"/>
  <c r="CJ99" i="1"/>
  <c r="CA113" i="1"/>
  <c r="BS105" i="1"/>
  <c r="BW114" i="1"/>
  <c r="CJ114" i="1"/>
  <c r="CJ106" i="1"/>
  <c r="CN106" i="1"/>
  <c r="CJ98" i="1"/>
  <c r="CA89" i="1"/>
  <c r="BS109" i="1"/>
  <c r="CJ112" i="1"/>
  <c r="CJ104" i="1"/>
  <c r="BA96" i="1"/>
  <c r="BS103" i="1"/>
  <c r="BF91" i="1"/>
  <c r="BF100" i="1"/>
  <c r="BW100" i="1"/>
  <c r="BN92" i="1"/>
  <c r="BS91" i="1"/>
  <c r="BF113" i="1"/>
  <c r="CF105" i="1"/>
  <c r="CF97" i="1"/>
  <c r="BF110" i="1"/>
  <c r="AW98" i="1"/>
  <c r="CF114" i="1"/>
  <c r="BW90" i="1"/>
  <c r="CF109" i="1"/>
  <c r="BW93" i="1"/>
  <c r="BF112" i="1"/>
  <c r="BF104" i="1"/>
  <c r="CF104" i="1"/>
  <c r="CN96" i="1"/>
  <c r="BN111" i="1"/>
  <c r="CJ110" i="1"/>
  <c r="AS97" i="1"/>
  <c r="F100" i="1"/>
  <c r="CA99" i="1"/>
  <c r="CA91" i="1"/>
  <c r="BN113" i="1"/>
  <c r="CN114" i="1"/>
  <c r="CA109" i="1"/>
  <c r="BJ93" i="1"/>
  <c r="CJ93" i="1"/>
  <c r="BN112" i="1"/>
  <c r="CN112" i="1"/>
  <c r="BN96" i="1"/>
  <c r="CA111" i="1"/>
  <c r="BF107" i="1"/>
  <c r="BJ110" i="1"/>
  <c r="W89" i="1"/>
  <c r="W103" i="1"/>
  <c r="AA104" i="1"/>
  <c r="J108" i="1"/>
  <c r="AA105" i="1"/>
  <c r="W97" i="1"/>
  <c r="W98" i="1"/>
  <c r="AA96" i="1"/>
  <c r="AA94" i="1"/>
  <c r="N93" i="1"/>
  <c r="AA110" i="1"/>
  <c r="S110" i="1"/>
  <c r="W102" i="1"/>
  <c r="W110" i="1"/>
  <c r="AA112" i="1"/>
  <c r="S93" i="1"/>
  <c r="W106" i="1"/>
  <c r="AA92" i="1"/>
  <c r="W92" i="1"/>
  <c r="S90" i="1"/>
  <c r="W113" i="1"/>
  <c r="AA113" i="1"/>
  <c r="AA102" i="1"/>
  <c r="F94" i="1"/>
  <c r="S102" i="1"/>
  <c r="S96" i="1"/>
  <c r="S98" i="1"/>
  <c r="AA106" i="1"/>
  <c r="AA114" i="1"/>
  <c r="F108" i="1"/>
  <c r="S89" i="1"/>
  <c r="J99" i="1"/>
  <c r="F93" i="1"/>
  <c r="N108" i="1"/>
  <c r="J115" i="1"/>
  <c r="S100" i="1"/>
  <c r="W95" i="1"/>
  <c r="J106" i="1"/>
  <c r="J93" i="1"/>
  <c r="S116" i="1"/>
  <c r="W116" i="1"/>
  <c r="S95" i="1"/>
  <c r="S106" i="1"/>
  <c r="AA89" i="1"/>
  <c r="J101" i="1"/>
  <c r="S107" i="1"/>
  <c r="J107" i="1"/>
  <c r="J92" i="1"/>
  <c r="AA107" i="1"/>
  <c r="N100" i="1"/>
  <c r="F113" i="1"/>
  <c r="N92" i="1"/>
  <c r="F101" i="1"/>
  <c r="S113" i="1"/>
  <c r="N113" i="1"/>
  <c r="F107" i="1"/>
  <c r="F99" i="1"/>
  <c r="F92" i="1"/>
  <c r="F115" i="1"/>
  <c r="N107" i="1"/>
  <c r="AA100" i="1"/>
  <c r="F106" i="1"/>
  <c r="J113" i="1"/>
  <c r="N99" i="1"/>
  <c r="S1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박대호/책임/TV유럽영업2팀</author>
  </authors>
  <commentList>
    <comment ref="G5" authorId="0" shapeId="0" xr:uid="{6BF52CA8-FDAC-482D-A94B-E7B014CC82AF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K5" authorId="0" shapeId="0" xr:uid="{62E6E1A5-3BFC-455B-8CAD-03CBA46CD07E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T5" authorId="0" shapeId="0" xr:uid="{10DE9AEA-1586-440C-A989-28247D61332C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X5" authorId="0" shapeId="0" xr:uid="{FDE1A679-E82C-4979-A3D7-E56C62F21CED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AG5" authorId="0" shapeId="0" xr:uid="{56DD9C1C-0A70-4E71-9E99-1C857DDE1F5B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AK5" authorId="0" shapeId="0" xr:uid="{6138C9A4-CED4-4142-B215-777C30A94D1B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AT5" authorId="0" shapeId="0" xr:uid="{FD98FDED-CB03-48D3-BD3C-37C34846DE0A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AX5" authorId="0" shapeId="0" xr:uid="{9196C0D7-9EE5-42AC-A664-F7B67BC841C4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BG5" authorId="0" shapeId="0" xr:uid="{FEFB8C59-A0B8-4CF0-8136-168DF12A60A5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BK5" authorId="0" shapeId="0" xr:uid="{8B33DBC2-00C3-47E8-A606-9E91793E3FDE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BT5" authorId="0" shapeId="0" xr:uid="{E0D131A8-D4E4-423C-ABE4-F9D89A7E5BA6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BX5" authorId="0" shapeId="0" xr:uid="{112FAEAC-A01D-400B-8F97-4E255AAB8033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CG5" authorId="0" shapeId="0" xr:uid="{F9866289-6953-461C-84CA-EAC3FFAD9D8D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CK5" authorId="0" shapeId="0" xr:uid="{DE52A99D-594E-47CD-9453-FD4B25127252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CT5" authorId="0" shapeId="0" xr:uid="{104C43AE-A068-4A01-8A77-592523E03362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CX5" authorId="0" shapeId="0" xr:uid="{E9F0EB4F-BA11-47A6-95B4-65BD63C89F19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DG5" authorId="0" shapeId="0" xr:uid="{244AA9BC-4E9C-49A6-B12A-9647F2BE410B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DK5" authorId="0" shapeId="0" xr:uid="{4421A9B8-46CA-4DAA-B2C8-D8D4D65B452A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DT5" authorId="0" shapeId="0" xr:uid="{D9A9EBF7-0BED-4899-A8BC-2860885C9D96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DX5" authorId="0" shapeId="0" xr:uid="{4C9BEA42-3368-4DC9-8B8C-F5456ECADC02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EG5" authorId="0" shapeId="0" xr:uid="{4E413665-F9E3-46AB-84A0-9ED7F66F403B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EK5" authorId="0" shapeId="0" xr:uid="{FCDA7A56-E137-4BED-A208-D6A6A8FF7E20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G6" authorId="0" shapeId="0" xr:uid="{2BB58C5A-C1B4-466A-9AB2-5BF719973488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K6" authorId="0" shapeId="0" xr:uid="{FC607379-579D-4003-9509-2575E4D32521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T6" authorId="0" shapeId="0" xr:uid="{406B7109-4122-4CD1-9CC9-A31890B2E0BD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X6" authorId="0" shapeId="0" xr:uid="{2FB59AEA-36A8-41F1-967D-9480830335BA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AG6" authorId="0" shapeId="0" xr:uid="{33C840C6-D387-4849-AB7A-A1622DD00802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AK6" authorId="0" shapeId="0" xr:uid="{D7E55437-9C66-4545-B5B4-361E0D27930F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AT6" authorId="0" shapeId="0" xr:uid="{E269CACC-2183-48DF-A718-ED4905A320EE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AX6" authorId="0" shapeId="0" xr:uid="{9029D631-1512-4B69-9FD0-91051CCBA84C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BG6" authorId="0" shapeId="0" xr:uid="{A213328A-B79F-46E2-B5CD-38EA1090D6B3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BK6" authorId="0" shapeId="0" xr:uid="{E07E074D-812E-4162-BF0F-92387E26F421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BT6" authorId="0" shapeId="0" xr:uid="{8278AC35-AF7E-4D79-94D3-1E7DA8EB2062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BX6" authorId="0" shapeId="0" xr:uid="{CF67152C-A99E-4E97-A968-DD6BC4833D14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CG6" authorId="0" shapeId="0" xr:uid="{07A6A812-0E75-45E6-95B9-76DD56DAC8F3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CK6" authorId="0" shapeId="0" xr:uid="{6DB37DB2-F7FA-4D57-84A8-A33C344BC5D8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CT6" authorId="0" shapeId="0" xr:uid="{5CD1239F-059D-46A4-986D-68EF71345154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CX6" authorId="0" shapeId="0" xr:uid="{6F087AF5-FEF1-41F2-9CD5-446DA2D7EDF1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DG6" authorId="0" shapeId="0" xr:uid="{D700069B-F691-48B6-A4A5-89A5EE7E55D0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DK6" authorId="0" shapeId="0" xr:uid="{11BB648C-4948-4CD7-80DE-37242E720AD9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DT6" authorId="0" shapeId="0" xr:uid="{72B15BD7-5DE5-4335-823F-D539E3C95BF6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DX6" authorId="0" shapeId="0" xr:uid="{ECBC5B2E-A0DC-451B-8CFD-BCB425D3415E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EG6" authorId="0" shapeId="0" xr:uid="{37D21BA2-7ADE-4A34-8128-A627211FC097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EK6" authorId="0" shapeId="0" xr:uid="{3519ABC5-3251-4F58-82E7-A17E090A5281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G7" authorId="0" shapeId="0" xr:uid="{C0FF30BE-2E9C-4E96-9007-B0115A8CD876}">
      <text>
        <r>
          <rPr>
            <b/>
            <sz val="9"/>
            <color indexed="81"/>
            <rFont val="Tahoma"/>
            <family val="2"/>
          </rPr>
          <t>G59</t>
        </r>
      </text>
    </comment>
    <comment ref="K7" authorId="0" shapeId="0" xr:uid="{44476675-3F13-4960-B058-2E5F75A365B9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T7" authorId="0" shapeId="0" xr:uid="{01FB1348-CCF7-465A-B3E3-9923FA5F01E7}">
      <text>
        <r>
          <rPr>
            <b/>
            <sz val="9"/>
            <color indexed="81"/>
            <rFont val="Tahoma"/>
            <family val="2"/>
          </rPr>
          <t>G59</t>
        </r>
      </text>
    </comment>
    <comment ref="X7" authorId="0" shapeId="0" xr:uid="{B6231D7E-4D76-4EDB-95DA-B7A8742D027F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AG7" authorId="0" shapeId="0" xr:uid="{5D6395AF-5F3C-420E-84E6-A95769FE26B9}">
      <text>
        <r>
          <rPr>
            <b/>
            <sz val="9"/>
            <color indexed="81"/>
            <rFont val="Tahoma"/>
            <family val="2"/>
          </rPr>
          <t>G59</t>
        </r>
      </text>
    </comment>
    <comment ref="AK7" authorId="0" shapeId="0" xr:uid="{4432BF49-9AC5-44D5-B67B-7D419FB27C7B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AT7" authorId="0" shapeId="0" xr:uid="{EAEEB57B-FBD7-4882-8ED8-5B63DB2D78AB}">
      <text>
        <r>
          <rPr>
            <b/>
            <sz val="9"/>
            <color indexed="81"/>
            <rFont val="Tahoma"/>
            <family val="2"/>
          </rPr>
          <t>G59</t>
        </r>
      </text>
    </comment>
    <comment ref="AX7" authorId="0" shapeId="0" xr:uid="{A56D76C4-873A-4A4B-A1D5-29E99ACA8D7E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BG7" authorId="0" shapeId="0" xr:uid="{60A3E7B8-D11D-4033-86F8-43E23EABABAB}">
      <text>
        <r>
          <rPr>
            <b/>
            <sz val="9"/>
            <color indexed="81"/>
            <rFont val="Tahoma"/>
            <family val="2"/>
          </rPr>
          <t>G59</t>
        </r>
      </text>
    </comment>
    <comment ref="BK7" authorId="0" shapeId="0" xr:uid="{56841E0E-3A24-49C2-BEDF-17708CA285C0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BT7" authorId="0" shapeId="0" xr:uid="{384A74BB-931D-4EE2-8C17-1A0652F24A90}">
      <text>
        <r>
          <rPr>
            <b/>
            <sz val="9"/>
            <color indexed="81"/>
            <rFont val="Tahoma"/>
            <family val="2"/>
          </rPr>
          <t>G59</t>
        </r>
      </text>
    </comment>
    <comment ref="BX7" authorId="0" shapeId="0" xr:uid="{59848D7E-91FE-4D10-AEE7-EEE12FF08C50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CG7" authorId="0" shapeId="0" xr:uid="{57DEC402-A09A-4584-8E84-DFAE51497C52}">
      <text>
        <r>
          <rPr>
            <b/>
            <sz val="9"/>
            <color indexed="81"/>
            <rFont val="Tahoma"/>
            <family val="2"/>
          </rPr>
          <t>G59</t>
        </r>
      </text>
    </comment>
    <comment ref="CK7" authorId="0" shapeId="0" xr:uid="{EC50AD34-DC77-4EF9-A6B3-6B539FE199BF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CT7" authorId="0" shapeId="0" xr:uid="{176B4C76-33E5-4CFC-8B8D-1D275857590A}">
      <text>
        <r>
          <rPr>
            <b/>
            <sz val="9"/>
            <color indexed="81"/>
            <rFont val="Tahoma"/>
            <family val="2"/>
          </rPr>
          <t>G59</t>
        </r>
      </text>
    </comment>
    <comment ref="CX7" authorId="0" shapeId="0" xr:uid="{98653C44-AD72-4F48-B3E5-AE7E7DF83570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DG7" authorId="0" shapeId="0" xr:uid="{6AEDD029-8025-414B-96B0-47E1B1A1DB54}">
      <text>
        <r>
          <rPr>
            <b/>
            <sz val="9"/>
            <color indexed="81"/>
            <rFont val="Tahoma"/>
            <family val="2"/>
          </rPr>
          <t>G59</t>
        </r>
      </text>
    </comment>
    <comment ref="DK7" authorId="0" shapeId="0" xr:uid="{FBFA01E1-E9F6-42FC-AC45-54C3380A4B69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DT7" authorId="0" shapeId="0" xr:uid="{BFAE5076-43D7-47BD-B7AA-9F585FA1182D}">
      <text>
        <r>
          <rPr>
            <b/>
            <sz val="9"/>
            <color indexed="81"/>
            <rFont val="Tahoma"/>
            <family val="2"/>
          </rPr>
          <t>G59</t>
        </r>
      </text>
    </comment>
    <comment ref="DX7" authorId="0" shapeId="0" xr:uid="{7065755D-86B6-4C40-9486-78D5446AA6C6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EG7" authorId="0" shapeId="0" xr:uid="{FCCA15F0-E6DD-44FB-A10D-4DD84E3224F3}">
      <text>
        <r>
          <rPr>
            <b/>
            <sz val="9"/>
            <color indexed="81"/>
            <rFont val="Tahoma"/>
            <family val="2"/>
          </rPr>
          <t>G59</t>
        </r>
      </text>
    </comment>
    <comment ref="EK7" authorId="0" shapeId="0" xr:uid="{B5C00424-D750-414A-82A0-B2FB2681DE87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G8" authorId="0" shapeId="0" xr:uid="{A72DC256-ACE3-431E-9A36-944EEBB178BA}">
      <text>
        <r>
          <rPr>
            <b/>
            <sz val="9"/>
            <color indexed="81"/>
            <rFont val="Tahoma"/>
            <family val="2"/>
          </rPr>
          <t>G57</t>
        </r>
      </text>
    </comment>
    <comment ref="K8" authorId="0" shapeId="0" xr:uid="{BF71C3F9-5D41-4880-AF51-762D93A98251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T8" authorId="0" shapeId="0" xr:uid="{A8FACB5F-BD65-45C2-A8AC-734ED654E887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X8" authorId="0" shapeId="0" xr:uid="{C8AEB64B-DA44-4F69-9A88-FC4E1AA575C0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AG8" authorId="0" shapeId="0" xr:uid="{C6D62C0B-387A-4E98-8352-4E3D5E2617B7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AK8" authorId="0" shapeId="0" xr:uid="{E25ABE4B-39B5-49D1-B8A9-EBD97E68B709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AT8" authorId="0" shapeId="0" xr:uid="{435A3582-24CC-4D96-AB48-499690E1057B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AX8" authorId="0" shapeId="0" xr:uid="{79215392-65FF-4595-9733-1C354886D365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BG8" authorId="0" shapeId="0" xr:uid="{BE5600D2-BDB1-4CFE-BBD7-F4E6A1267C7F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BK8" authorId="0" shapeId="0" xr:uid="{3F3F906E-8488-46EE-AE3A-E3E4EBFCFC33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BT8" authorId="0" shapeId="0" xr:uid="{7CE9E5BE-AF4E-4F38-BD2A-DF81F7F3BAA2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BX8" authorId="0" shapeId="0" xr:uid="{F8529A8A-7BAA-46E7-AD13-2DE0B341BB2E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CG8" authorId="0" shapeId="0" xr:uid="{D9471779-F88B-496E-A9D9-836FB6683C6F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CK8" authorId="0" shapeId="0" xr:uid="{929D92AF-FEF4-4616-9F22-D87DE0129E62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CT8" authorId="0" shapeId="0" xr:uid="{38BB6CEA-AF5F-474F-ABC1-AA111492CB06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CX8" authorId="0" shapeId="0" xr:uid="{E797D753-34CC-4EDD-B383-A12B39485EAE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DG8" authorId="0" shapeId="0" xr:uid="{72203EF7-33BE-4065-B50D-6F1C08D27799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DK8" authorId="0" shapeId="0" xr:uid="{1643D47D-9F93-445A-8368-073E0682C1A9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DT8" authorId="0" shapeId="0" xr:uid="{CF7886A7-44D4-441B-9696-D2939A2B7B89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DX8" authorId="0" shapeId="0" xr:uid="{EF85499F-C4FA-4911-B296-C1A34394219E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EG8" authorId="0" shapeId="0" xr:uid="{A42F0C3C-4975-4B60-A977-6B6FBF12A9E2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EK8" authorId="0" shapeId="0" xr:uid="{8A6C70BA-1A0B-4369-A008-599A740463E3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K9" authorId="0" shapeId="0" xr:uid="{CBAB45D6-6470-4380-AB1C-C11D565F3ABE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P9" authorId="0" shapeId="0" xr:uid="{454AE8DE-E9BA-43AA-BE0A-05DDB98C9098}">
      <text>
        <r>
          <rPr>
            <b/>
            <sz val="9"/>
            <color indexed="81"/>
            <rFont val="Tahoma"/>
            <family val="2"/>
          </rPr>
          <t xml:space="preserve">48G59
</t>
        </r>
      </text>
    </comment>
    <comment ref="X9" authorId="0" shapeId="0" xr:uid="{495728DF-E2BD-41D8-9B2B-012CE65F10F5}">
      <text>
        <r>
          <rPr>
            <b/>
            <sz val="9"/>
            <color indexed="81"/>
            <rFont val="Tahoma"/>
            <family val="2"/>
          </rPr>
          <t xml:space="preserve">G57
</t>
        </r>
      </text>
    </comment>
    <comment ref="AC9" authorId="0" shapeId="0" xr:uid="{9AC6EF43-485B-45B6-B5B2-AB479AC699DB}">
      <text>
        <r>
          <rPr>
            <b/>
            <sz val="9"/>
            <color indexed="81"/>
            <rFont val="Tahoma"/>
            <family val="2"/>
          </rPr>
          <t xml:space="preserve">48G59
</t>
        </r>
      </text>
    </comment>
    <comment ref="AK9" authorId="0" shapeId="0" xr:uid="{7049E7DA-F688-4B7A-A36E-57239457DAA7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AP9" authorId="0" shapeId="0" xr:uid="{055D8E6C-65C1-4B24-AEB9-19E369CF9629}">
      <text>
        <r>
          <rPr>
            <b/>
            <sz val="9"/>
            <color indexed="81"/>
            <rFont val="Tahoma"/>
            <family val="2"/>
          </rPr>
          <t xml:space="preserve">48G59
</t>
        </r>
      </text>
    </comment>
    <comment ref="AX9" authorId="0" shapeId="0" xr:uid="{685BA03B-A529-4DD6-8A3E-DEAA2B75E55C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BC9" authorId="0" shapeId="0" xr:uid="{3453C3AC-468F-4A65-BF94-88D596A08435}">
      <text>
        <r>
          <rPr>
            <b/>
            <sz val="9"/>
            <color indexed="81"/>
            <rFont val="Tahoma"/>
            <family val="2"/>
          </rPr>
          <t xml:space="preserve">48G59
</t>
        </r>
      </text>
    </comment>
    <comment ref="BK9" authorId="0" shapeId="0" xr:uid="{429AF85C-A129-4061-93FE-A83930D13593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BP9" authorId="0" shapeId="0" xr:uid="{3EFF913C-A44C-4331-8200-08F12D8C6DC4}">
      <text>
        <r>
          <rPr>
            <b/>
            <sz val="9"/>
            <color indexed="81"/>
            <rFont val="Tahoma"/>
            <family val="2"/>
          </rPr>
          <t xml:space="preserve">48G59
</t>
        </r>
      </text>
    </comment>
    <comment ref="BX9" authorId="0" shapeId="0" xr:uid="{FDB6E6A1-6DF4-43D7-9A5B-357ADEC9019F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CC9" authorId="0" shapeId="0" xr:uid="{E4E52017-E59E-44E6-9C47-467A675DCDEC}">
      <text>
        <r>
          <rPr>
            <b/>
            <sz val="9"/>
            <color indexed="81"/>
            <rFont val="Tahoma"/>
            <family val="2"/>
          </rPr>
          <t xml:space="preserve">48G59
</t>
        </r>
      </text>
    </comment>
    <comment ref="CK9" authorId="0" shapeId="0" xr:uid="{507405F3-77AF-4F50-95F3-73830769788F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CP9" authorId="0" shapeId="0" xr:uid="{6DB11853-3734-4FF9-82F0-191E41EC3146}">
      <text>
        <r>
          <rPr>
            <b/>
            <sz val="9"/>
            <color indexed="81"/>
            <rFont val="Tahoma"/>
            <family val="2"/>
          </rPr>
          <t xml:space="preserve">48G59
</t>
        </r>
      </text>
    </comment>
    <comment ref="CX9" authorId="0" shapeId="0" xr:uid="{D0F6A891-7277-490F-A060-14862C818862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DC9" authorId="0" shapeId="0" xr:uid="{70F19CF3-C96D-4AF0-AEE7-083C53084E9D}">
      <text>
        <r>
          <rPr>
            <b/>
            <sz val="9"/>
            <color indexed="81"/>
            <rFont val="Tahoma"/>
            <family val="2"/>
          </rPr>
          <t xml:space="preserve">48G59
</t>
        </r>
      </text>
    </comment>
    <comment ref="DK9" authorId="0" shapeId="0" xr:uid="{D9CF44E8-D871-4FFA-8ABC-D35D870ABD14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DP9" authorId="0" shapeId="0" xr:uid="{CA05A94C-17AF-4EA8-9BB0-D92038809233}">
      <text>
        <r>
          <rPr>
            <b/>
            <sz val="9"/>
            <color indexed="81"/>
            <rFont val="Tahoma"/>
            <family val="2"/>
          </rPr>
          <t xml:space="preserve">48G59
</t>
        </r>
      </text>
    </comment>
    <comment ref="DX9" authorId="0" shapeId="0" xr:uid="{EB58AAAB-F634-472D-83CD-AD6FE5E4DB80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EC9" authorId="0" shapeId="0" xr:uid="{19A34ED8-4753-44DA-9F03-427AC7E07D04}">
      <text>
        <r>
          <rPr>
            <b/>
            <sz val="9"/>
            <color indexed="81"/>
            <rFont val="Tahoma"/>
            <family val="2"/>
          </rPr>
          <t xml:space="preserve">48G59
</t>
        </r>
      </text>
    </comment>
    <comment ref="EK9" authorId="0" shapeId="0" xr:uid="{61C068BC-5D0E-48A8-B5AC-E048757AFCA5}">
      <text>
        <r>
          <rPr>
            <b/>
            <sz val="9"/>
            <color indexed="81"/>
            <rFont val="Tahoma"/>
            <family val="2"/>
          </rPr>
          <t xml:space="preserve">G59
</t>
        </r>
      </text>
    </comment>
    <comment ref="G11" authorId="0" shapeId="0" xr:uid="{93256B5B-C382-4648-9414-2B8273443605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T11" authorId="0" shapeId="0" xr:uid="{073E19E1-4565-40E3-A7DE-8A20AABE8F74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AG11" authorId="0" shapeId="0" xr:uid="{C68BE675-C2C7-4613-B6E8-2E38E2541324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AT11" authorId="0" shapeId="0" xr:uid="{4A51EF46-CE34-4936-8533-2ECB5C009D93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BG11" authorId="0" shapeId="0" xr:uid="{5FBA9EBE-6C92-4A49-86A9-0D0F4842B9FA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BT11" authorId="0" shapeId="0" xr:uid="{D34E30F3-D85B-4E4D-A23F-D92587D058DF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CG11" authorId="0" shapeId="0" xr:uid="{2537745F-4DEB-484D-A300-5F5C3758C667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CT11" authorId="0" shapeId="0" xr:uid="{1FCE77B8-83BE-45A9-9D83-BDA97CFB9D24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DG11" authorId="0" shapeId="0" xr:uid="{C99EF1CD-CDF4-4EA3-B62B-CF077C021926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DT11" authorId="0" shapeId="0" xr:uid="{08CEFE1B-A1FB-4564-B381-2B7AA216FF01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EG11" authorId="0" shapeId="0" xr:uid="{CE7BA2BC-5513-4F8D-AE6B-A9771D57012D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G12" authorId="0" shapeId="0" xr:uid="{D41A41BE-4A65-4026-808C-34B6087A38A9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T12" authorId="0" shapeId="0" xr:uid="{A5FEA8A6-19AD-4959-A354-2A608D079482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AG12" authorId="0" shapeId="0" xr:uid="{2CE9902F-25CC-4C9A-BC51-9305541DFBAB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AT12" authorId="0" shapeId="0" xr:uid="{34E0B050-2BE7-4F30-AD08-DFA0B41D8811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BG12" authorId="0" shapeId="0" xr:uid="{89C2A33D-85B6-4EB9-9DDE-EB788B46093B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BT12" authorId="0" shapeId="0" xr:uid="{C825A1D9-E039-4739-88C6-717A6F139F3D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CG12" authorId="0" shapeId="0" xr:uid="{E0E8F840-BCA7-41B8-B103-C86F109B91DA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CT12" authorId="0" shapeId="0" xr:uid="{1F1EE42A-6606-4A18-9EA0-65A5C01FCC5C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DG12" authorId="0" shapeId="0" xr:uid="{E707F60C-FDB3-458B-AAFF-4D212C148501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DT12" authorId="0" shapeId="0" xr:uid="{90AEC89D-B710-4F71-ACB2-6E02B6C120EC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EG12" authorId="0" shapeId="0" xr:uid="{02439695-D72B-4883-B2D1-F44F9D02DED4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G13" authorId="0" shapeId="0" xr:uid="{559660E5-2D72-472B-9CED-C8E02A80F2E7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T13" authorId="0" shapeId="0" xr:uid="{6119F87E-ACE8-417A-83A7-DF492E2F836A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AG13" authorId="0" shapeId="0" xr:uid="{A1133F4F-E1B8-402E-BBF5-7D91B9C1FF80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AT13" authorId="0" shapeId="0" xr:uid="{744E6EBE-A92B-4907-AD82-8AA277492F3E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BG13" authorId="0" shapeId="0" xr:uid="{897847DA-C1A6-4243-9933-8E45925687DB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BT13" authorId="0" shapeId="0" xr:uid="{49CF479B-BC77-45FC-A3DC-C197A95C9CC2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CG13" authorId="0" shapeId="0" xr:uid="{F1330373-EBDB-45C5-8529-2611A6CD7B4E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CT13" authorId="0" shapeId="0" xr:uid="{D9B25462-4537-4FD7-902C-6A7D1F98A376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DG13" authorId="0" shapeId="0" xr:uid="{2FB9D298-0D57-4B93-9E64-BF63310888B0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DT13" authorId="0" shapeId="0" xr:uid="{75DE3EBA-CCCF-4058-89D4-0B1EB614C5E2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EG13" authorId="0" shapeId="0" xr:uid="{387CB522-D066-491D-B5A2-87790FD0E0EE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G14" authorId="0" shapeId="0" xr:uid="{161AB4DC-5063-4393-9364-35F28717DF0F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T14" authorId="0" shapeId="0" xr:uid="{C43C525F-AB54-4161-88FB-C6B28B1911B6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AG14" authorId="0" shapeId="0" xr:uid="{9818F77D-E19D-4A57-A952-B29519EB6330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AT14" authorId="0" shapeId="0" xr:uid="{8FFA7A34-A178-490F-AA5F-E0E9DD14D8A9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BG14" authorId="0" shapeId="0" xr:uid="{532842D5-908D-48AF-A7C7-270D2FB50BB9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BT14" authorId="0" shapeId="0" xr:uid="{1B67E4CE-7579-45AD-B4B2-5C467ADCCA60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CG14" authorId="0" shapeId="0" xr:uid="{0559ACCA-4BF0-4C42-8E0A-0F43CFDF5757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CT14" authorId="0" shapeId="0" xr:uid="{E4849F81-12AB-40CB-8699-239419E0E7BA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DG14" authorId="0" shapeId="0" xr:uid="{604FAA52-DD01-4FD9-9909-B4ED807F05EE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DT14" authorId="0" shapeId="0" xr:uid="{523F90EC-B649-4E59-A08A-BD2A4BBE7845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EG14" authorId="0" shapeId="0" xr:uid="{7D73B96E-6F4F-4469-AF8C-29C5669E5486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G15" authorId="0" shapeId="0" xr:uid="{04BF64CA-9D1F-46CF-8FBF-E1806FAB1CA1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T15" authorId="0" shapeId="0" xr:uid="{3E915414-C62B-4A1D-953C-1917DD8FF4F8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AG15" authorId="0" shapeId="0" xr:uid="{8163D17D-F0C3-4246-AD4F-16E6880AE4EB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AT15" authorId="0" shapeId="0" xr:uid="{1902CE4F-D555-4FA2-982F-773CF123B818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BG15" authorId="0" shapeId="0" xr:uid="{9FFCA7F0-5997-4730-B4AA-3854DAEE8DF8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BT15" authorId="0" shapeId="0" xr:uid="{92526899-D75E-4E92-ADC4-0008E89DFCCA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CG15" authorId="0" shapeId="0" xr:uid="{9E4F9D34-9173-40FB-897B-D0DE2F4A47C4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CT15" authorId="0" shapeId="0" xr:uid="{92A45371-FE9B-47E1-9DAC-9A857B13AB4C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DG15" authorId="0" shapeId="0" xr:uid="{30AF6C02-281B-44D6-821D-57C64E9642C4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DT15" authorId="0" shapeId="0" xr:uid="{CE6C723B-C91A-4D5F-8E09-CB407E3F22C8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EG15" authorId="0" shapeId="0" xr:uid="{42F53883-8AA5-4C1E-AE2E-C21B0D23D406}">
      <text>
        <r>
          <rPr>
            <b/>
            <sz val="9"/>
            <color indexed="81"/>
            <rFont val="Tahoma"/>
            <family val="2"/>
          </rPr>
          <t>C58</t>
        </r>
      </text>
    </comment>
    <comment ref="G16" authorId="0" shapeId="0" xr:uid="{CC2B5D50-9636-4502-998B-0416A6FB1940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T16" authorId="0" shapeId="0" xr:uid="{FBE1A3F4-E467-49C5-A066-AD0418FF0EBA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AG16" authorId="0" shapeId="0" xr:uid="{EBD7E04F-537F-4EE8-950C-D5E6D8F744DD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AT16" authorId="0" shapeId="0" xr:uid="{ED650ABD-7F6C-4095-9844-CD099C05D052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BG16" authorId="0" shapeId="0" xr:uid="{0B1C123F-4AF3-4B41-8F9C-9934B678B884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BT16" authorId="0" shapeId="0" xr:uid="{1AF4650C-E662-48C0-92C6-5994A9F3A154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CG16" authorId="0" shapeId="0" xr:uid="{B9894B8B-F93D-4B90-AEE5-509FF395D409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CT16" authorId="0" shapeId="0" xr:uid="{F1C345C0-900B-43B1-9DB4-9C5C3CB2BC4F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DG16" authorId="0" shapeId="0" xr:uid="{4928A089-E45F-4517-AC3A-9D8AD6D9ACD9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DT16" authorId="0" shapeId="0" xr:uid="{16729C8F-9BE2-4F22-94C8-74E4AF184ECA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EG16" authorId="0" shapeId="0" xr:uid="{CD1547C8-FFB4-45D5-8813-A480E68F8770}">
      <text>
        <r>
          <rPr>
            <b/>
            <sz val="9"/>
            <color indexed="81"/>
            <rFont val="Tahoma"/>
            <family val="2"/>
          </rPr>
          <t>C57</t>
        </r>
      </text>
    </comment>
    <comment ref="C24" authorId="0" shapeId="0" xr:uid="{2E78AB86-BA2F-4557-B93A-8B24739BFB51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P24" authorId="0" shapeId="0" xr:uid="{10A3FE4B-5009-4D3D-9805-263B547A6F12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AC24" authorId="0" shapeId="0" xr:uid="{886B8177-AD88-44CA-92C5-04F028E449EC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AP24" authorId="0" shapeId="0" xr:uid="{74EAB8B5-3141-43C1-8300-DD6B5B151162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BC24" authorId="0" shapeId="0" xr:uid="{B267CB3F-88D2-44E6-877A-87A372256E52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BP24" authorId="0" shapeId="0" xr:uid="{6F688637-1B43-4D06-9FA2-96CDC878562F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CC24" authorId="0" shapeId="0" xr:uid="{0329E9A2-B4AB-4AA7-8958-19AE028FFDD5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CP24" authorId="0" shapeId="0" xr:uid="{E06A5258-FAE5-495B-BE5B-4AA1A278215A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DC24" authorId="0" shapeId="0" xr:uid="{D64488FC-8585-431A-864F-C3153F4623BB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DP24" authorId="0" shapeId="0" xr:uid="{5ECCDFD7-AAB1-4D37-83B6-3662E8CED649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EC24" authorId="0" shapeId="0" xr:uid="{3175D6B3-886C-4F6C-8329-5E0EE48E1A57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C25" authorId="0" shapeId="0" xr:uid="{0693003D-76B2-489F-92F4-2CA0CFE82A40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DE9AA1E2-EA2D-46AF-88DD-5A9A0BCDF266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5" authorId="0" shapeId="0" xr:uid="{92D4B7C6-E7CC-4E24-A82C-C693B0178A97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25" authorId="0" shapeId="0" xr:uid="{3F1389AA-7A7B-4BF5-B98A-566E5A39C3F8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25" authorId="0" shapeId="0" xr:uid="{9867E34F-EAC6-4F18-90E3-31AB0DAE8489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25" authorId="0" shapeId="0" xr:uid="{43302D9A-058E-4BC7-92FD-A261DA8816AF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25" authorId="0" shapeId="0" xr:uid="{38A74120-5252-468A-B2C0-0F074C37C6FE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P25" authorId="0" shapeId="0" xr:uid="{11DB0B48-15EE-4A69-84CA-55EB50DC725D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C25" authorId="0" shapeId="0" xr:uid="{CAEFB22A-1506-46E3-98C7-4F418D4DE8B5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P25" authorId="0" shapeId="0" xr:uid="{8A4832FF-0F68-44CC-B494-82DD16599405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C25" authorId="0" shapeId="0" xr:uid="{3B0BFD49-D50D-4196-B40A-D482D4FA9EDD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" authorId="0" shapeId="0" xr:uid="{029A7F63-2EB8-4ED1-928C-05BA825B7A2F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P26" authorId="0" shapeId="0" xr:uid="{738CC247-7CA3-49B2-8489-CB2F30866AD7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AC26" authorId="0" shapeId="0" xr:uid="{D8B2A449-B0A1-4CAC-87A7-8E20C02F08D1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AP26" authorId="0" shapeId="0" xr:uid="{91812B0B-B30C-4B40-B9DB-6189EACC2529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BC26" authorId="0" shapeId="0" xr:uid="{7F3AD3E1-8357-4C89-945A-8A891A47E6EA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BP26" authorId="0" shapeId="0" xr:uid="{184FBEF8-395E-49C7-8773-6BA1439C807D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CC26" authorId="0" shapeId="0" xr:uid="{17E15D98-E756-4D14-87BB-7AA4CCD5F20B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CP26" authorId="0" shapeId="0" xr:uid="{E12E3165-C791-431A-B2E2-3B3FFF21C2D7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DC26" authorId="0" shapeId="0" xr:uid="{26FD796F-04AB-4B6B-B1F0-F6D2B7363C0C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DP26" authorId="0" shapeId="0" xr:uid="{97970A61-0E4C-442A-8C6A-9399866BDA73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EC26" authorId="0" shapeId="0" xr:uid="{0139AB04-F2EA-46E1-84FB-E1FE7BF1E495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C27" authorId="0" shapeId="0" xr:uid="{DA330089-CBA8-4A5D-818F-292DCDAEA8A3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P27" authorId="0" shapeId="0" xr:uid="{5C6BA7DF-2554-4CFC-AE01-8D3B740DFD4C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AC27" authorId="0" shapeId="0" xr:uid="{AEEEDB4E-8069-4C49-B269-4FA59A8A8CDD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AP27" authorId="0" shapeId="0" xr:uid="{253675D4-AA60-42A9-9984-4A7888D4362C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BC27" authorId="0" shapeId="0" xr:uid="{365C37F4-331E-41A1-83B2-515A6D6671BA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BP27" authorId="0" shapeId="0" xr:uid="{8B1C2937-7F9D-45F3-A4BA-C535A0EB54BA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CC27" authorId="0" shapeId="0" xr:uid="{88FC6572-12A0-407C-B5BA-E9498B7C2C8F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CP27" authorId="0" shapeId="0" xr:uid="{E4E46864-DCBA-4051-A7AA-C021B367741A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DC27" authorId="0" shapeId="0" xr:uid="{946D5B69-D5DA-4A3E-9842-514C87F084CE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DP27" authorId="0" shapeId="0" xr:uid="{0CA62674-8196-4C02-9897-BB3D702E5C00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EC27" authorId="0" shapeId="0" xr:uid="{A3960ACA-B6C0-454C-9F19-2C2C53D0B57C}">
      <text>
        <r>
          <rPr>
            <b/>
            <sz val="9"/>
            <color indexed="81"/>
            <rFont val="돋움"/>
            <family val="3"/>
            <charset val="129"/>
          </rPr>
          <t>보증</t>
        </r>
        <r>
          <rPr>
            <b/>
            <sz val="9"/>
            <color indexed="81"/>
            <rFont val="Tahoma"/>
            <family val="2"/>
          </rPr>
          <t xml:space="preserve"> +3</t>
        </r>
        <r>
          <rPr>
            <b/>
            <sz val="9"/>
            <color indexed="81"/>
            <rFont val="돋움"/>
            <family val="3"/>
            <charset val="129"/>
          </rPr>
          <t xml:space="preserve">년
</t>
        </r>
      </text>
    </comment>
    <comment ref="B29" authorId="0" shapeId="0" xr:uid="{395B4EAB-6A89-4144-8B66-1B3B973C0485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O29" authorId="0" shapeId="0" xr:uid="{1A56B4F3-5D11-4CE2-AFA8-A4852381A1D0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AB29" authorId="0" shapeId="0" xr:uid="{5FA05B70-AFD9-448E-861F-9D5605727895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AK29" authorId="0" shapeId="0" xr:uid="{CBFF8D97-32E0-48FD-9880-CC89F854F4A0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AX29" authorId="0" shapeId="0" xr:uid="{E521D562-5271-4043-ABDC-0A3D386F4DD1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BK29" authorId="0" shapeId="0" xr:uid="{76A1F798-516F-4A73-885D-3ECCA62FDB3B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BX29" authorId="0" shapeId="0" xr:uid="{9990AA0F-F78D-4DBC-81CD-C45BAEA7289F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CK29" authorId="0" shapeId="0" xr:uid="{FB8DAEE2-6A16-414B-A7C0-BE3194B259E6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CX29" authorId="0" shapeId="0" xr:uid="{F6065CED-877D-4A15-BEBD-7838562E35A8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DK29" authorId="0" shapeId="0" xr:uid="{7E365DD6-92DC-455B-94E7-BF91CEDFA283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DX29" authorId="0" shapeId="0" xr:uid="{AEA3594B-175D-4166-8D0C-F707619C7A71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EK29" authorId="0" shapeId="0" xr:uid="{153B0282-748C-4CF0-B23E-AE2D7008F2C7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B30" authorId="0" shapeId="0" xr:uid="{A4497420-D6C3-4692-9ACB-D1E2ADE7FDF0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O30" authorId="0" shapeId="0" xr:uid="{7D0BB8D1-CC13-4F6C-81BB-7B929CB1F315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AB30" authorId="0" shapeId="0" xr:uid="{EA54A64D-1942-4FC3-969C-3F06D50D872D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B31" authorId="0" shapeId="0" xr:uid="{F92DF9BC-1A4B-42B1-8092-9F37EEE67106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O31" authorId="0" shapeId="0" xr:uid="{771854D7-A64C-4F35-96E8-EA7F9BD1734F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AB31" authorId="0" shapeId="0" xr:uid="{45D93264-D3DB-4C29-9FF0-7FAC79F2B98D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AK31" authorId="0" shapeId="0" xr:uid="{2C49C2E7-2B0D-4948-930F-541A98D51299}">
      <text>
        <r>
          <rPr>
            <b/>
            <sz val="9"/>
            <color indexed="81"/>
            <rFont val="Tahoma"/>
            <family val="2"/>
          </rPr>
          <t xml:space="preserve">S92F
</t>
        </r>
      </text>
    </comment>
    <comment ref="AX31" authorId="0" shapeId="0" xr:uid="{CB0355BE-3273-41B2-9E27-418872E786E3}">
      <text>
        <r>
          <rPr>
            <b/>
            <sz val="9"/>
            <color indexed="81"/>
            <rFont val="Tahoma"/>
            <family val="2"/>
          </rPr>
          <t xml:space="preserve">S92F
</t>
        </r>
      </text>
    </comment>
    <comment ref="BK31" authorId="0" shapeId="0" xr:uid="{BDF59C53-7A31-4040-BBD7-5E313F0DE26B}">
      <text>
        <r>
          <rPr>
            <b/>
            <sz val="9"/>
            <color indexed="81"/>
            <rFont val="Tahoma"/>
            <family val="2"/>
          </rPr>
          <t xml:space="preserve">S92F
</t>
        </r>
      </text>
    </comment>
    <comment ref="BX31" authorId="0" shapeId="0" xr:uid="{29C3719C-2861-4EDA-A614-10A414CF9ACD}">
      <text>
        <r>
          <rPr>
            <b/>
            <sz val="9"/>
            <color indexed="81"/>
            <rFont val="Tahoma"/>
            <family val="2"/>
          </rPr>
          <t xml:space="preserve">S92F
</t>
        </r>
      </text>
    </comment>
    <comment ref="CK31" authorId="0" shapeId="0" xr:uid="{0342651F-7901-49A1-AAD3-4DC15299C794}">
      <text>
        <r>
          <rPr>
            <b/>
            <sz val="9"/>
            <color indexed="81"/>
            <rFont val="Tahoma"/>
            <family val="2"/>
          </rPr>
          <t xml:space="preserve">S92F
</t>
        </r>
      </text>
    </comment>
    <comment ref="CX31" authorId="0" shapeId="0" xr:uid="{4D5F56FB-8D5D-4923-B64C-A81DDBEC20F8}">
      <text>
        <r>
          <rPr>
            <b/>
            <sz val="9"/>
            <color indexed="81"/>
            <rFont val="Tahoma"/>
            <family val="2"/>
          </rPr>
          <t xml:space="preserve">S92F
</t>
        </r>
      </text>
    </comment>
    <comment ref="DK31" authorId="0" shapeId="0" xr:uid="{862491CE-09F4-494F-8CC6-900EC89E6BED}">
      <text>
        <r>
          <rPr>
            <b/>
            <sz val="9"/>
            <color indexed="81"/>
            <rFont val="Tahoma"/>
            <family val="2"/>
          </rPr>
          <t xml:space="preserve">S92F
</t>
        </r>
      </text>
    </comment>
    <comment ref="DX31" authorId="0" shapeId="0" xr:uid="{44A74923-D06E-4C19-92DF-8BF10F25DF72}">
      <text>
        <r>
          <rPr>
            <b/>
            <sz val="9"/>
            <color indexed="81"/>
            <rFont val="Tahoma"/>
            <family val="2"/>
          </rPr>
          <t xml:space="preserve">S92F
</t>
        </r>
      </text>
    </comment>
    <comment ref="EK31" authorId="0" shapeId="0" xr:uid="{92A08C7E-B7A7-4258-9F46-2AF6DC71B613}">
      <text>
        <r>
          <rPr>
            <b/>
            <sz val="9"/>
            <color indexed="81"/>
            <rFont val="Tahoma"/>
            <family val="2"/>
          </rPr>
          <t xml:space="preserve">S92F
</t>
        </r>
      </text>
    </comment>
    <comment ref="B32" authorId="0" shapeId="0" xr:uid="{9F891A65-48E8-49AB-B2A1-0D7664F5B6A4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O32" authorId="0" shapeId="0" xr:uid="{AD621301-E44D-48BF-B5B0-5AD1DD348EBF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AB32" authorId="0" shapeId="0" xr:uid="{C3B581E0-0D8A-458F-B1B8-9D4D60754EAC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AK32" authorId="0" shapeId="0" xr:uid="{161B3212-1CD3-4986-9DF9-9B322BEC4C6D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AX32" authorId="0" shapeId="0" xr:uid="{1B9244D5-FDD4-4A12-BC9C-EC535B13CAC3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BK32" authorId="0" shapeId="0" xr:uid="{CD6AEE24-ED4D-4E75-9659-0AEB6C9AE548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BX32" authorId="0" shapeId="0" xr:uid="{3845B92F-7EB8-4EE5-9B4B-5AF5550F6DF6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CK32" authorId="0" shapeId="0" xr:uid="{71376BF5-2A5C-4920-A502-3E512E7713AE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CX32" authorId="0" shapeId="0" xr:uid="{44449CC1-FBC2-4A8D-8FC8-0580F9EBE529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DK32" authorId="0" shapeId="0" xr:uid="{BD3CAE1A-5A65-4639-8D40-FEC58EFDDEC1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DX32" authorId="0" shapeId="0" xr:uid="{325CDE5A-AED1-4E67-855E-2A993E30F004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EK32" authorId="0" shapeId="0" xr:uid="{B76F20AC-B8BC-45F3-BD6D-6D2F0872D67A}">
      <text>
        <r>
          <rPr>
            <b/>
            <sz val="9"/>
            <color indexed="81"/>
            <rFont val="Tahoma"/>
            <family val="2"/>
          </rPr>
          <t xml:space="preserve">S90FAE
</t>
        </r>
      </text>
    </comment>
    <comment ref="B33" authorId="0" shapeId="0" xr:uid="{C57B0A24-B293-498F-B043-7D2C480FCFC7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O33" authorId="0" shapeId="0" xr:uid="{74E292AD-3C92-4C3F-A774-5DFDE0C30CF3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AB33" authorId="0" shapeId="0" xr:uid="{BD4BD9DC-0496-463C-B9C1-C0F94425EF29}">
      <text>
        <r>
          <rPr>
            <b/>
            <sz val="9"/>
            <color indexed="81"/>
            <rFont val="Tahoma"/>
            <family val="2"/>
          </rPr>
          <t xml:space="preserve">32HDTV free gift
</t>
        </r>
      </text>
    </comment>
    <comment ref="AK33" authorId="0" shapeId="0" xr:uid="{07D872C8-5D83-42CA-88F5-E59CDCB5BFC1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AX33" authorId="0" shapeId="0" xr:uid="{DAF5CFD1-C7CA-451B-8D97-76A109C6EB28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BK33" authorId="0" shapeId="0" xr:uid="{8D05CCB6-7629-4D1F-85A1-92F72E9DFC9D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BX33" authorId="0" shapeId="0" xr:uid="{04E94D7C-005D-4720-B4D9-3B15941F037D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CK33" authorId="0" shapeId="0" xr:uid="{48967AEB-AD80-41D0-B64F-ED48E1BA9AB9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CX33" authorId="0" shapeId="0" xr:uid="{98884CC3-F1BF-465B-B978-E06BA738979B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DK33" authorId="0" shapeId="0" xr:uid="{AAAD66AE-9E82-4454-8C6F-E1FD4EB30A7B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DX33" authorId="0" shapeId="0" xr:uid="{4FC966DC-D5E1-4939-BBAD-BBDB1F500CC6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EK33" authorId="0" shapeId="0" xr:uid="{6CD60AAD-3660-404F-95B0-782E31AB2F66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AK34" authorId="0" shapeId="0" xr:uid="{68DAA8EF-DB7E-4747-852E-1B272C67E12C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AX34" authorId="0" shapeId="0" xr:uid="{29BF65D6-A240-4ED4-BD2D-F2E50B061644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BK34" authorId="0" shapeId="0" xr:uid="{BFE98889-6F47-4253-88A4-3D3146C612C5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BX34" authorId="0" shapeId="0" xr:uid="{2DE6FFA5-E814-4B09-B5C0-FEF14DDF8742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CK34" authorId="0" shapeId="0" xr:uid="{F34DE32B-BB44-469B-B6E6-7F2C7157A0DB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CX34" authorId="0" shapeId="0" xr:uid="{1AC58360-2B89-41B7-9269-59978E534FC2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DK34" authorId="0" shapeId="0" xr:uid="{DA500FF3-7C4E-4393-AB39-AB63FE0BCCD4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DX34" authorId="0" shapeId="0" xr:uid="{6C9A8E4E-8F9C-43C1-B9C0-0BE1648A0462}">
      <text>
        <r>
          <rPr>
            <b/>
            <sz val="9"/>
            <color indexed="81"/>
            <rFont val="Tahoma"/>
            <family val="2"/>
          </rPr>
          <t>S90FAE</t>
        </r>
      </text>
    </comment>
    <comment ref="EK34" authorId="0" shapeId="0" xr:uid="{F2440675-E9E0-4674-87B5-7D1502B95A0D}">
      <text>
        <r>
          <rPr>
            <b/>
            <sz val="9"/>
            <color indexed="81"/>
            <rFont val="Tahoma"/>
            <family val="2"/>
          </rPr>
          <t>S90FAE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<sst xmlns="http://schemas.openxmlformats.org/spreadsheetml/2006/main" count="999" uniqueCount="97">
  <si>
    <t>65S95F</t>
  </si>
  <si>
    <t>55S95F</t>
  </si>
  <si>
    <t>77S95F</t>
  </si>
  <si>
    <t>83S95F</t>
  </si>
  <si>
    <t>77S90F</t>
  </si>
  <si>
    <t>77S85F</t>
  </si>
  <si>
    <t>MSH NL</t>
    <phoneticPr fontId="2" type="noConversion"/>
  </si>
  <si>
    <t>MSH BE</t>
    <phoneticPr fontId="2" type="noConversion"/>
  </si>
  <si>
    <t>CoolBlue</t>
    <phoneticPr fontId="2" type="noConversion"/>
  </si>
  <si>
    <t>83S90F</t>
    <phoneticPr fontId="2" type="noConversion"/>
  </si>
  <si>
    <t>43QNED86A</t>
    <phoneticPr fontId="2" type="noConversion"/>
  </si>
  <si>
    <t>50QNED86A</t>
    <phoneticPr fontId="2" type="noConversion"/>
  </si>
  <si>
    <t>55QNED86A</t>
  </si>
  <si>
    <t>65QNED86A</t>
    <phoneticPr fontId="2" type="noConversion"/>
  </si>
  <si>
    <t>75QNED86A</t>
    <phoneticPr fontId="2" type="noConversion"/>
  </si>
  <si>
    <t>86QNED86A</t>
    <phoneticPr fontId="2" type="noConversion"/>
  </si>
  <si>
    <t>100QNED86A</t>
    <phoneticPr fontId="2" type="noConversion"/>
  </si>
  <si>
    <t>43UA75</t>
    <phoneticPr fontId="2" type="noConversion"/>
  </si>
  <si>
    <t>50UA75</t>
    <phoneticPr fontId="2" type="noConversion"/>
  </si>
  <si>
    <t>55UA75</t>
    <phoneticPr fontId="2" type="noConversion"/>
  </si>
  <si>
    <t>65UA75</t>
    <phoneticPr fontId="2" type="noConversion"/>
  </si>
  <si>
    <t>75UA75</t>
    <phoneticPr fontId="2" type="noConversion"/>
  </si>
  <si>
    <t>86UA75</t>
    <phoneticPr fontId="2" type="noConversion"/>
  </si>
  <si>
    <t>Model</t>
    <phoneticPr fontId="2" type="noConversion"/>
  </si>
  <si>
    <t>43U8000F</t>
  </si>
  <si>
    <t>50U8000F</t>
  </si>
  <si>
    <t>55U8000F</t>
  </si>
  <si>
    <t>65U8000F</t>
  </si>
  <si>
    <t>75U8000F</t>
  </si>
  <si>
    <t>85U8000F</t>
  </si>
  <si>
    <t>83S85F</t>
    <phoneticPr fontId="2" type="noConversion"/>
  </si>
  <si>
    <t>65S85F</t>
    <phoneticPr fontId="2" type="noConversion"/>
  </si>
  <si>
    <t>55S85F</t>
    <phoneticPr fontId="2" type="noConversion"/>
  </si>
  <si>
    <t>65S90F</t>
  </si>
  <si>
    <t>55S90F</t>
  </si>
  <si>
    <t>48S90F</t>
  </si>
  <si>
    <t>42S90F</t>
  </si>
  <si>
    <t>Cashback</t>
    <phoneticPr fontId="2" type="noConversion"/>
  </si>
  <si>
    <t>Net Value</t>
    <phoneticPr fontId="2" type="noConversion"/>
  </si>
  <si>
    <t>판촉가</t>
    <phoneticPr fontId="2" type="noConversion"/>
  </si>
  <si>
    <t>ATA</t>
    <phoneticPr fontId="2" type="noConversion"/>
  </si>
  <si>
    <t>MSH</t>
    <phoneticPr fontId="2" type="noConversion"/>
  </si>
  <si>
    <t>Interdiscount</t>
    <phoneticPr fontId="2" type="noConversion"/>
  </si>
  <si>
    <t>Digitec</t>
    <phoneticPr fontId="2" type="noConversion"/>
  </si>
  <si>
    <t>January(12th)</t>
    <phoneticPr fontId="2" type="noConversion"/>
  </si>
  <si>
    <t>48G59</t>
    <phoneticPr fontId="2" type="noConversion"/>
  </si>
  <si>
    <t>83G57</t>
    <phoneticPr fontId="2" type="noConversion"/>
  </si>
  <si>
    <t>77G57</t>
    <phoneticPr fontId="2" type="noConversion"/>
  </si>
  <si>
    <t>65G57</t>
    <phoneticPr fontId="2" type="noConversion"/>
  </si>
  <si>
    <t>55G57</t>
    <phoneticPr fontId="2" type="noConversion"/>
  </si>
  <si>
    <t>83C57</t>
  </si>
  <si>
    <t>77C57</t>
  </si>
  <si>
    <t>65C57</t>
  </si>
  <si>
    <t>55C57</t>
  </si>
  <si>
    <t>48C57</t>
  </si>
  <si>
    <t>42C57</t>
  </si>
  <si>
    <t>83B59</t>
  </si>
  <si>
    <t>77B59</t>
  </si>
  <si>
    <t>65B59</t>
  </si>
  <si>
    <t>55B59</t>
  </si>
  <si>
    <t>48B59</t>
  </si>
  <si>
    <t>86QNED80A</t>
  </si>
  <si>
    <t>75QNED80A</t>
  </si>
  <si>
    <t>65QNED80A</t>
  </si>
  <si>
    <t>55QNED80A</t>
  </si>
  <si>
    <t>50QNED80A</t>
  </si>
  <si>
    <t>43QNED80A</t>
  </si>
  <si>
    <t>85QNED70A</t>
    <phoneticPr fontId="2" type="noConversion"/>
  </si>
  <si>
    <t>75QNED70A</t>
    <phoneticPr fontId="2" type="noConversion"/>
  </si>
  <si>
    <t>65QNED70A</t>
    <phoneticPr fontId="2" type="noConversion"/>
  </si>
  <si>
    <t>55QNED70A</t>
    <phoneticPr fontId="2" type="noConversion"/>
  </si>
  <si>
    <t>85QN70f</t>
  </si>
  <si>
    <t>75QN70f</t>
  </si>
  <si>
    <t>65QN70f</t>
  </si>
  <si>
    <t>55QN70f</t>
  </si>
  <si>
    <t>75Q7F</t>
    <phoneticPr fontId="2" type="noConversion"/>
  </si>
  <si>
    <t>65Q7F</t>
    <phoneticPr fontId="2" type="noConversion"/>
  </si>
  <si>
    <t>55Q7F</t>
    <phoneticPr fontId="2" type="noConversion"/>
  </si>
  <si>
    <t>50Q7F</t>
    <phoneticPr fontId="2" type="noConversion"/>
  </si>
  <si>
    <t>43Q7F</t>
    <phoneticPr fontId="2" type="noConversion"/>
  </si>
  <si>
    <t>85Q7F</t>
    <phoneticPr fontId="2" type="noConversion"/>
  </si>
  <si>
    <t>January(29th)</t>
    <phoneticPr fontId="2" type="noConversion"/>
  </si>
  <si>
    <t>`</t>
    <phoneticPr fontId="2" type="noConversion"/>
  </si>
  <si>
    <t>February(26th)</t>
    <phoneticPr fontId="2" type="noConversion"/>
  </si>
  <si>
    <t>March(4th)</t>
    <phoneticPr fontId="2" type="noConversion"/>
  </si>
  <si>
    <t>85Q8F</t>
  </si>
  <si>
    <t>75Q8F</t>
  </si>
  <si>
    <t>65Q8F</t>
  </si>
  <si>
    <t>55Q8F</t>
  </si>
  <si>
    <t>50Q8F</t>
  </si>
  <si>
    <t>43Q8F</t>
  </si>
  <si>
    <t>March(16th)</t>
    <phoneticPr fontId="2" type="noConversion"/>
  </si>
  <si>
    <t>March(23th)</t>
    <phoneticPr fontId="2" type="noConversion"/>
  </si>
  <si>
    <t>March(30th)</t>
    <phoneticPr fontId="2" type="noConversion"/>
  </si>
  <si>
    <t>April(06th)</t>
    <phoneticPr fontId="2" type="noConversion"/>
  </si>
  <si>
    <t>April(13th)</t>
    <phoneticPr fontId="2" type="noConversion"/>
  </si>
  <si>
    <t>April(27th)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</si>
</sst>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Arial Narrow"/>
      <family val="2"/>
    </font>
    <font>
      <sz val="10"/>
      <color theme="9" tint="-0.499984740745262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theme="4" tint="0.79998168889431442"/>
      <name val="맑은 고딕"/>
      <family val="2"/>
      <charset val="129"/>
      <scheme val="minor"/>
    </font>
    <font>
      <sz val="10"/>
      <name val="Arial Narrow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4" tint="-0.249977111117893"/>
      <name val="Arial Narrow"/>
      <family val="2"/>
    </font>
    <font>
      <sz val="11"/>
      <color theme="4" tint="-0.249977111117893"/>
      <name val="Arial Narrow"/>
      <family val="2"/>
    </font>
    <font>
      <sz val="10"/>
      <color theme="4" tint="-0.249977111117893"/>
      <name val="Arial Narrow"/>
      <family val="2"/>
    </font>
    <font>
      <i/>
      <sz val="11"/>
      <color theme="4" tint="-0.249977111117893"/>
      <name val="Arial Narrow"/>
      <family val="2"/>
    </font>
    <font>
      <sz val="11"/>
      <color theme="4" tint="-0.249977111117893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41" fontId="7" fillId="2" borderId="6" xfId="1" applyFont="1" applyFill="1" applyBorder="1" applyAlignment="1">
      <alignment horizontal="right" vertical="center"/>
    </xf>
    <xf numFmtId="41" fontId="7" fillId="2" borderId="3" xfId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41" fontId="7" fillId="2" borderId="9" xfId="1" applyFont="1" applyFill="1" applyBorder="1" applyAlignment="1">
      <alignment horizontal="right" vertical="center"/>
    </xf>
    <xf numFmtId="0" fontId="0" fillId="2" borderId="0" xfId="0" applyFill="1">
      <alignment vertical="center"/>
    </xf>
    <xf numFmtId="41" fontId="9" fillId="2" borderId="2" xfId="1" applyFont="1" applyFill="1" applyBorder="1">
      <alignment vertical="center"/>
    </xf>
    <xf numFmtId="41" fontId="9" fillId="2" borderId="5" xfId="1" applyFont="1" applyFill="1" applyBorder="1">
      <alignment vertical="center"/>
    </xf>
    <xf numFmtId="41" fontId="10" fillId="2" borderId="5" xfId="1" applyFont="1" applyFill="1" applyBorder="1">
      <alignment vertical="center"/>
    </xf>
    <xf numFmtId="41" fontId="9" fillId="2" borderId="8" xfId="1" applyFont="1" applyFill="1" applyBorder="1">
      <alignment vertical="center"/>
    </xf>
    <xf numFmtId="41" fontId="9" fillId="2" borderId="5" xfId="1" applyFont="1" applyFill="1" applyBorder="1" applyAlignment="1">
      <alignment horizontal="center" vertical="center"/>
    </xf>
    <xf numFmtId="41" fontId="9" fillId="2" borderId="2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41" fontId="9" fillId="2" borderId="14" xfId="1" applyFont="1" applyFill="1" applyBorder="1">
      <alignment vertical="center"/>
    </xf>
    <xf numFmtId="41" fontId="9" fillId="2" borderId="0" xfId="1" applyFont="1" applyFill="1" applyBorder="1">
      <alignment vertical="center"/>
    </xf>
    <xf numFmtId="41" fontId="9" fillId="2" borderId="13" xfId="1" applyFont="1" applyFill="1" applyBorder="1">
      <alignment vertical="center"/>
    </xf>
    <xf numFmtId="0" fontId="11" fillId="2" borderId="0" xfId="0" applyFont="1" applyFill="1">
      <alignment vertical="center"/>
    </xf>
    <xf numFmtId="41" fontId="12" fillId="2" borderId="3" xfId="1" applyFont="1" applyFill="1" applyBorder="1" applyAlignment="1">
      <alignment horizontal="right" vertical="center"/>
    </xf>
    <xf numFmtId="41" fontId="12" fillId="2" borderId="6" xfId="1" applyFont="1" applyFill="1" applyBorder="1" applyAlignment="1">
      <alignment horizontal="right" vertical="center"/>
    </xf>
    <xf numFmtId="0" fontId="9" fillId="2" borderId="6" xfId="0" applyFont="1" applyFill="1" applyBorder="1">
      <alignment vertical="center"/>
    </xf>
    <xf numFmtId="41" fontId="12" fillId="2" borderId="20" xfId="1" applyFont="1" applyFill="1" applyBorder="1" applyAlignment="1">
      <alignment horizontal="right" vertical="center"/>
    </xf>
    <xf numFmtId="41" fontId="12" fillId="2" borderId="22" xfId="1" applyFont="1" applyFill="1" applyBorder="1" applyAlignment="1">
      <alignment horizontal="right" vertical="center"/>
    </xf>
    <xf numFmtId="0" fontId="9" fillId="2" borderId="22" xfId="0" applyFont="1" applyFill="1" applyBorder="1">
      <alignment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41" fontId="15" fillId="2" borderId="5" xfId="1" applyFont="1" applyFill="1" applyBorder="1" applyAlignment="1">
      <alignment horizontal="center" vertical="center"/>
    </xf>
    <xf numFmtId="41" fontId="16" fillId="2" borderId="6" xfId="1" applyFont="1" applyFill="1" applyBorder="1" applyAlignment="1">
      <alignment horizontal="right" vertical="center"/>
    </xf>
    <xf numFmtId="0" fontId="15" fillId="2" borderId="6" xfId="0" applyFont="1" applyFill="1" applyBorder="1">
      <alignment vertical="center"/>
    </xf>
    <xf numFmtId="41" fontId="15" fillId="2" borderId="5" xfId="1" applyFont="1" applyFill="1" applyBorder="1">
      <alignment vertical="center"/>
    </xf>
    <xf numFmtId="41" fontId="16" fillId="2" borderId="22" xfId="1" applyFont="1" applyFill="1" applyBorder="1" applyAlignment="1">
      <alignment horizontal="right" vertical="center"/>
    </xf>
    <xf numFmtId="0" fontId="15" fillId="2" borderId="22" xfId="0" applyFont="1" applyFill="1" applyBorder="1">
      <alignment vertical="center"/>
    </xf>
    <xf numFmtId="41" fontId="17" fillId="2" borderId="5" xfId="1" applyFont="1" applyFill="1" applyBorder="1">
      <alignment vertical="center"/>
    </xf>
    <xf numFmtId="0" fontId="15" fillId="2" borderId="0" xfId="0" applyFont="1" applyFill="1">
      <alignment vertical="center"/>
    </xf>
    <xf numFmtId="0" fontId="14" fillId="2" borderId="26" xfId="0" applyFont="1" applyFill="1" applyBorder="1" applyAlignment="1">
      <alignment horizontal="center" vertical="center"/>
    </xf>
    <xf numFmtId="41" fontId="15" fillId="2" borderId="27" xfId="1" applyFont="1" applyFill="1" applyBorder="1">
      <alignment vertical="center"/>
    </xf>
    <xf numFmtId="0" fontId="15" fillId="2" borderId="28" xfId="0" applyFont="1" applyFill="1" applyBorder="1">
      <alignment vertical="center"/>
    </xf>
    <xf numFmtId="41" fontId="15" fillId="2" borderId="27" xfId="1" applyFont="1" applyFill="1" applyBorder="1" applyAlignment="1">
      <alignment horizontal="center" vertical="center"/>
    </xf>
    <xf numFmtId="0" fontId="15" fillId="2" borderId="29" xfId="0" applyFont="1" applyFill="1" applyBorder="1">
      <alignment vertical="center"/>
    </xf>
    <xf numFmtId="0" fontId="18" fillId="0" borderId="0" xfId="0" applyFont="1">
      <alignment vertical="center"/>
    </xf>
    <xf numFmtId="0" fontId="15" fillId="2" borderId="8" xfId="0" applyFont="1" applyFill="1" applyBorder="1">
      <alignment vertical="center"/>
    </xf>
    <xf numFmtId="0" fontId="15" fillId="2" borderId="9" xfId="0" applyFont="1" applyFill="1" applyBorder="1">
      <alignment vertical="center"/>
    </xf>
    <xf numFmtId="0" fontId="15" fillId="2" borderId="5" xfId="0" applyFont="1" applyFill="1" applyBorder="1">
      <alignment vertical="center"/>
    </xf>
    <xf numFmtId="0" fontId="15" fillId="2" borderId="23" xfId="0" applyFont="1" applyFill="1" applyBorder="1">
      <alignment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41" fontId="9" fillId="2" borderId="31" xfId="1" applyFont="1" applyFill="1" applyBorder="1">
      <alignment vertical="center"/>
    </xf>
    <xf numFmtId="41" fontId="9" fillId="2" borderId="32" xfId="1" applyFont="1" applyFill="1" applyBorder="1">
      <alignment vertical="center"/>
    </xf>
    <xf numFmtId="41" fontId="9" fillId="2" borderId="33" xfId="1" applyFont="1" applyFill="1" applyBorder="1">
      <alignment vertical="center"/>
    </xf>
    <xf numFmtId="41" fontId="9" fillId="2" borderId="34" xfId="1" applyFont="1" applyFill="1" applyBorder="1">
      <alignment vertical="center"/>
    </xf>
    <xf numFmtId="41" fontId="10" fillId="2" borderId="33" xfId="1" applyFont="1" applyFill="1" applyBorder="1">
      <alignment vertical="center"/>
    </xf>
    <xf numFmtId="41" fontId="10" fillId="2" borderId="34" xfId="1" applyFont="1" applyFill="1" applyBorder="1">
      <alignment vertical="center"/>
    </xf>
    <xf numFmtId="41" fontId="15" fillId="2" borderId="33" xfId="1" applyFont="1" applyFill="1" applyBorder="1">
      <alignment vertical="center"/>
    </xf>
    <xf numFmtId="41" fontId="15" fillId="2" borderId="34" xfId="1" applyFont="1" applyFill="1" applyBorder="1">
      <alignment vertical="center"/>
    </xf>
    <xf numFmtId="0" fontId="15" fillId="2" borderId="33" xfId="0" applyFont="1" applyFill="1" applyBorder="1">
      <alignment vertical="center"/>
    </xf>
    <xf numFmtId="0" fontId="15" fillId="2" borderId="34" xfId="0" applyFont="1" applyFill="1" applyBorder="1">
      <alignment vertical="center"/>
    </xf>
    <xf numFmtId="0" fontId="0" fillId="0" borderId="34" xfId="0" applyBorder="1">
      <alignment vertical="center"/>
    </xf>
    <xf numFmtId="41" fontId="15" fillId="2" borderId="33" xfId="1" applyFont="1" applyFill="1" applyBorder="1" applyAlignment="1">
      <alignment horizontal="center" vertical="center"/>
    </xf>
    <xf numFmtId="41" fontId="15" fillId="2" borderId="34" xfId="1" applyFont="1" applyFill="1" applyBorder="1" applyAlignment="1">
      <alignment horizontal="center" vertical="center"/>
    </xf>
    <xf numFmtId="41" fontId="15" fillId="2" borderId="35" xfId="1" applyFont="1" applyFill="1" applyBorder="1">
      <alignment vertical="center"/>
    </xf>
    <xf numFmtId="41" fontId="15" fillId="2" borderId="36" xfId="1" applyFont="1" applyFill="1" applyBorder="1">
      <alignment vertical="center"/>
    </xf>
    <xf numFmtId="0" fontId="15" fillId="2" borderId="37" xfId="0" applyFont="1" applyFill="1" applyBorder="1">
      <alignment vertical="center"/>
    </xf>
    <xf numFmtId="0" fontId="15" fillId="2" borderId="38" xfId="0" applyFont="1" applyFill="1" applyBorder="1">
      <alignment vertical="center"/>
    </xf>
    <xf numFmtId="41" fontId="17" fillId="2" borderId="33" xfId="1" applyFont="1" applyFill="1" applyBorder="1">
      <alignment vertical="center"/>
    </xf>
    <xf numFmtId="41" fontId="17" fillId="2" borderId="34" xfId="1" applyFont="1" applyFill="1" applyBorder="1">
      <alignment vertical="center"/>
    </xf>
    <xf numFmtId="41" fontId="9" fillId="2" borderId="31" xfId="1" applyFont="1" applyFill="1" applyBorder="1" applyAlignment="1">
      <alignment horizontal="center" vertical="center"/>
    </xf>
    <xf numFmtId="41" fontId="9" fillId="2" borderId="32" xfId="1" applyFont="1" applyFill="1" applyBorder="1" applyAlignment="1">
      <alignment horizontal="center" vertical="center"/>
    </xf>
    <xf numFmtId="41" fontId="9" fillId="2" borderId="33" xfId="1" applyFont="1" applyFill="1" applyBorder="1" applyAlignment="1">
      <alignment horizontal="center" vertical="center"/>
    </xf>
    <xf numFmtId="41" fontId="9" fillId="2" borderId="34" xfId="1" applyFont="1" applyFill="1" applyBorder="1" applyAlignment="1">
      <alignment horizontal="center" vertical="center"/>
    </xf>
    <xf numFmtId="41" fontId="15" fillId="2" borderId="35" xfId="1" applyFont="1" applyFill="1" applyBorder="1" applyAlignment="1">
      <alignment horizontal="center" vertical="center"/>
    </xf>
    <xf numFmtId="41" fontId="15" fillId="2" borderId="36" xfId="1" applyFont="1" applyFill="1" applyBorder="1" applyAlignment="1">
      <alignment horizontal="center" vertical="center"/>
    </xf>
    <xf numFmtId="41" fontId="9" fillId="2" borderId="37" xfId="1" applyFont="1" applyFill="1" applyBorder="1">
      <alignment vertical="center"/>
    </xf>
    <xf numFmtId="41" fontId="9" fillId="2" borderId="38" xfId="1" applyFont="1" applyFill="1" applyBorder="1">
      <alignment vertical="center"/>
    </xf>
    <xf numFmtId="41" fontId="12" fillId="2" borderId="39" xfId="1" applyFont="1" applyFill="1" applyBorder="1" applyAlignment="1">
      <alignment horizontal="right" vertical="center"/>
    </xf>
    <xf numFmtId="41" fontId="12" fillId="2" borderId="40" xfId="1" applyFont="1" applyFill="1" applyBorder="1" applyAlignment="1">
      <alignment horizontal="right" vertical="center"/>
    </xf>
    <xf numFmtId="41" fontId="12" fillId="2" borderId="41" xfId="1" applyFont="1" applyFill="1" applyBorder="1" applyAlignment="1">
      <alignment horizontal="right" vertical="center"/>
    </xf>
    <xf numFmtId="0" fontId="9" fillId="2" borderId="41" xfId="0" applyFont="1" applyFill="1" applyBorder="1">
      <alignment vertical="center"/>
    </xf>
    <xf numFmtId="176" fontId="6" fillId="2" borderId="10" xfId="0" applyNumberFormat="1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176" fontId="6" fillId="2" borderId="12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76" fontId="13" fillId="3" borderId="15" xfId="0" applyNumberFormat="1" applyFont="1" applyFill="1" applyBorder="1" applyAlignment="1">
      <alignment horizontal="center" vertical="center"/>
    </xf>
    <xf numFmtId="176" fontId="13" fillId="3" borderId="16" xfId="0" applyNumberFormat="1" applyFont="1" applyFill="1" applyBorder="1" applyAlignment="1">
      <alignment horizontal="center" vertical="center"/>
    </xf>
    <xf numFmtId="176" fontId="13" fillId="3" borderId="17" xfId="0" applyNumberFormat="1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66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D9962C-B6CF-4AAB-8814-A694650EF083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6f69cdbf-f1b2-4fa0-9dbb-9ae6aeac91b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E0F1-718B-4279-9BD4-93E6711C355D}">
  <dimension ref="B1:EN116"/>
  <sheetViews>
    <sheetView showGridLines="0" tabSelected="1" zoomScale="70" zoomScaleNormal="70" workbookViewId="0">
      <pane xSplit="1" ySplit="1" topLeftCell="DO47" activePane="bottomRight" state="frozen"/>
      <selection pane="topRight" activeCell="AD1" sqref="AD1"/>
      <selection pane="bottomLeft" activeCell="A2" sqref="A2"/>
      <selection pane="bottomRight" activeCell="ER72" sqref="ER72"/>
    </sheetView>
  </sheetViews>
  <sheetFormatPr defaultRowHeight="16.5" outlineLevelRow="1" outlineLevelCol="2" x14ac:dyDescent="0.3"/>
  <cols>
    <col min="1" max="1" width="1.625" customWidth="1"/>
    <col min="2" max="2" width="11.625" bestFit="1" customWidth="1"/>
    <col min="3" max="7" width="9" hidden="1" customWidth="1" outlineLevel="1"/>
    <col min="8" max="14" width="9" hidden="1" customWidth="1" outlineLevel="2"/>
    <col min="15" max="15" width="11.625" hidden="1" customWidth="1" outlineLevel="1" collapsed="1"/>
    <col min="16" max="27" width="9" hidden="1" customWidth="1" outlineLevel="1"/>
    <col min="28" max="28" width="11.625" hidden="1" customWidth="1" outlineLevel="1"/>
    <col min="29" max="40" width="9" hidden="1" customWidth="1" outlineLevel="1"/>
    <col min="41" max="41" width="11.625" hidden="1" customWidth="1" outlineLevel="2"/>
    <col min="42" max="42" width="10.875" hidden="1" customWidth="1" outlineLevel="2"/>
    <col min="43" max="45" width="9" hidden="1" customWidth="1" outlineLevel="2"/>
    <col min="46" max="46" width="10.875" hidden="1" customWidth="1" outlineLevel="2"/>
    <col min="47" max="66" width="9" hidden="1" customWidth="1" outlineLevel="2"/>
    <col min="67" max="67" width="11.625" hidden="1" customWidth="1" outlineLevel="1" collapsed="1"/>
    <col min="68" max="79" width="9" hidden="1" customWidth="1" outlineLevel="1"/>
    <col min="80" max="80" width="11.625" hidden="1" customWidth="1" outlineLevel="1"/>
    <col min="81" max="92" width="9" hidden="1" customWidth="1" outlineLevel="1"/>
    <col min="93" max="93" width="11.75" hidden="1" customWidth="1" outlineLevel="1"/>
    <col min="94" max="105" width="9" hidden="1" customWidth="1" outlineLevel="1"/>
    <col min="106" max="106" width="11.75" hidden="1" customWidth="1" outlineLevel="1"/>
    <col min="107" max="118" width="9" hidden="1" customWidth="1" outlineLevel="1"/>
    <col min="119" max="119" width="11.75" hidden="1" customWidth="1" collapsed="1"/>
    <col min="120" max="131" width="0" hidden="1" customWidth="1"/>
    <col min="132" max="132" width="11.75" bestFit="1" customWidth="1"/>
  </cols>
  <sheetData>
    <row r="1" spans="2:144" ht="17.25" thickBot="1" x14ac:dyDescent="0.35"/>
    <row r="2" spans="2:144" x14ac:dyDescent="0.3">
      <c r="B2" s="91" t="s">
        <v>44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3"/>
      <c r="O2" s="91" t="s">
        <v>81</v>
      </c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3"/>
      <c r="AB2" s="91" t="s">
        <v>83</v>
      </c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3"/>
      <c r="AO2" s="91" t="s">
        <v>84</v>
      </c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3"/>
      <c r="BB2" s="91" t="s">
        <v>91</v>
      </c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3"/>
      <c r="BO2" s="91" t="s">
        <v>92</v>
      </c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3"/>
      <c r="CB2" s="91" t="s">
        <v>93</v>
      </c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3"/>
      <c r="CO2" s="91" t="s">
        <v>94</v>
      </c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3"/>
      <c r="DB2" s="91" t="s">
        <v>95</v>
      </c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3"/>
      <c r="DO2" s="91" t="s">
        <v>96</v>
      </c>
      <c r="DP2" s="92"/>
      <c r="DQ2" s="92"/>
      <c r="DR2" s="92"/>
      <c r="DS2" s="92"/>
      <c r="DT2" s="92"/>
      <c r="DU2" s="92"/>
      <c r="DV2" s="92"/>
      <c r="DW2" s="92"/>
      <c r="DX2" s="92"/>
      <c r="DY2" s="92"/>
      <c r="DZ2" s="92"/>
      <c r="EA2" s="93"/>
      <c r="EB2" s="91" t="s">
        <v>96</v>
      </c>
      <c r="EC2" s="92"/>
      <c r="ED2" s="92"/>
      <c r="EE2" s="92"/>
      <c r="EF2" s="92"/>
      <c r="EG2" s="92"/>
      <c r="EH2" s="92"/>
      <c r="EI2" s="92"/>
      <c r="EJ2" s="92"/>
      <c r="EK2" s="92"/>
      <c r="EL2" s="92"/>
      <c r="EM2" s="92"/>
      <c r="EN2" s="93"/>
    </row>
    <row r="3" spans="2:144" x14ac:dyDescent="0.3">
      <c r="B3" s="94" t="s">
        <v>23</v>
      </c>
      <c r="C3" s="96" t="s">
        <v>41</v>
      </c>
      <c r="D3" s="97"/>
      <c r="E3" s="97"/>
      <c r="F3" s="98"/>
      <c r="G3" s="96" t="s">
        <v>42</v>
      </c>
      <c r="H3" s="97"/>
      <c r="I3" s="97"/>
      <c r="J3" s="98"/>
      <c r="K3" s="96" t="s">
        <v>43</v>
      </c>
      <c r="L3" s="97"/>
      <c r="M3" s="97"/>
      <c r="N3" s="99"/>
      <c r="O3" s="94" t="s">
        <v>23</v>
      </c>
      <c r="P3" s="96" t="s">
        <v>41</v>
      </c>
      <c r="Q3" s="97"/>
      <c r="R3" s="97"/>
      <c r="S3" s="98"/>
      <c r="T3" s="96" t="s">
        <v>42</v>
      </c>
      <c r="U3" s="97"/>
      <c r="V3" s="97"/>
      <c r="W3" s="98"/>
      <c r="X3" s="96" t="s">
        <v>43</v>
      </c>
      <c r="Y3" s="97"/>
      <c r="Z3" s="97"/>
      <c r="AA3" s="99"/>
      <c r="AB3" s="94" t="s">
        <v>23</v>
      </c>
      <c r="AC3" s="96" t="s">
        <v>41</v>
      </c>
      <c r="AD3" s="97"/>
      <c r="AE3" s="97"/>
      <c r="AF3" s="98"/>
      <c r="AG3" s="96" t="s">
        <v>42</v>
      </c>
      <c r="AH3" s="97"/>
      <c r="AI3" s="97"/>
      <c r="AJ3" s="98"/>
      <c r="AK3" s="96" t="s">
        <v>43</v>
      </c>
      <c r="AL3" s="97"/>
      <c r="AM3" s="97"/>
      <c r="AN3" s="99"/>
      <c r="AO3" s="94" t="s">
        <v>23</v>
      </c>
      <c r="AP3" s="96" t="s">
        <v>41</v>
      </c>
      <c r="AQ3" s="97"/>
      <c r="AR3" s="97"/>
      <c r="AS3" s="98"/>
      <c r="AT3" s="96" t="s">
        <v>42</v>
      </c>
      <c r="AU3" s="97"/>
      <c r="AV3" s="97"/>
      <c r="AW3" s="98"/>
      <c r="AX3" s="96" t="s">
        <v>43</v>
      </c>
      <c r="AY3" s="97"/>
      <c r="AZ3" s="97"/>
      <c r="BA3" s="99"/>
      <c r="BB3" s="94" t="s">
        <v>23</v>
      </c>
      <c r="BC3" s="96" t="s">
        <v>41</v>
      </c>
      <c r="BD3" s="97"/>
      <c r="BE3" s="97"/>
      <c r="BF3" s="98"/>
      <c r="BG3" s="96" t="s">
        <v>42</v>
      </c>
      <c r="BH3" s="97"/>
      <c r="BI3" s="97"/>
      <c r="BJ3" s="98"/>
      <c r="BK3" s="96" t="s">
        <v>43</v>
      </c>
      <c r="BL3" s="97"/>
      <c r="BM3" s="97"/>
      <c r="BN3" s="99"/>
      <c r="BO3" s="94" t="s">
        <v>23</v>
      </c>
      <c r="BP3" s="96" t="s">
        <v>41</v>
      </c>
      <c r="BQ3" s="97"/>
      <c r="BR3" s="97"/>
      <c r="BS3" s="98"/>
      <c r="BT3" s="96" t="s">
        <v>42</v>
      </c>
      <c r="BU3" s="97"/>
      <c r="BV3" s="97"/>
      <c r="BW3" s="98"/>
      <c r="BX3" s="96" t="s">
        <v>43</v>
      </c>
      <c r="BY3" s="97"/>
      <c r="BZ3" s="97"/>
      <c r="CA3" s="99"/>
      <c r="CB3" s="94" t="s">
        <v>23</v>
      </c>
      <c r="CC3" s="96" t="s">
        <v>41</v>
      </c>
      <c r="CD3" s="97"/>
      <c r="CE3" s="97"/>
      <c r="CF3" s="98"/>
      <c r="CG3" s="96" t="s">
        <v>42</v>
      </c>
      <c r="CH3" s="97"/>
      <c r="CI3" s="97"/>
      <c r="CJ3" s="98"/>
      <c r="CK3" s="96" t="s">
        <v>43</v>
      </c>
      <c r="CL3" s="97"/>
      <c r="CM3" s="97"/>
      <c r="CN3" s="99"/>
      <c r="CO3" s="94" t="s">
        <v>23</v>
      </c>
      <c r="CP3" s="96" t="s">
        <v>41</v>
      </c>
      <c r="CQ3" s="97"/>
      <c r="CR3" s="97"/>
      <c r="CS3" s="98"/>
      <c r="CT3" s="96" t="s">
        <v>42</v>
      </c>
      <c r="CU3" s="97"/>
      <c r="CV3" s="97"/>
      <c r="CW3" s="98"/>
      <c r="CX3" s="96" t="s">
        <v>43</v>
      </c>
      <c r="CY3" s="97"/>
      <c r="CZ3" s="97"/>
      <c r="DA3" s="99"/>
      <c r="DB3" s="94" t="s">
        <v>23</v>
      </c>
      <c r="DC3" s="96" t="s">
        <v>41</v>
      </c>
      <c r="DD3" s="97"/>
      <c r="DE3" s="97"/>
      <c r="DF3" s="98"/>
      <c r="DG3" s="96" t="s">
        <v>42</v>
      </c>
      <c r="DH3" s="97"/>
      <c r="DI3" s="97"/>
      <c r="DJ3" s="98"/>
      <c r="DK3" s="96" t="s">
        <v>43</v>
      </c>
      <c r="DL3" s="97"/>
      <c r="DM3" s="97"/>
      <c r="DN3" s="99"/>
      <c r="DO3" s="94" t="s">
        <v>23</v>
      </c>
      <c r="DP3" s="96" t="s">
        <v>41</v>
      </c>
      <c r="DQ3" s="97"/>
      <c r="DR3" s="97"/>
      <c r="DS3" s="98"/>
      <c r="DT3" s="96" t="s">
        <v>42</v>
      </c>
      <c r="DU3" s="97"/>
      <c r="DV3" s="97"/>
      <c r="DW3" s="98"/>
      <c r="DX3" s="96" t="s">
        <v>43</v>
      </c>
      <c r="DY3" s="97"/>
      <c r="DZ3" s="97"/>
      <c r="EA3" s="99"/>
      <c r="EB3" s="94" t="s">
        <v>23</v>
      </c>
      <c r="EC3" s="96" t="s">
        <v>41</v>
      </c>
      <c r="ED3" s="97"/>
      <c r="EE3" s="97"/>
      <c r="EF3" s="98"/>
      <c r="EG3" s="96" t="s">
        <v>42</v>
      </c>
      <c r="EH3" s="97"/>
      <c r="EI3" s="97"/>
      <c r="EJ3" s="98"/>
      <c r="EK3" s="96" t="s">
        <v>43</v>
      </c>
      <c r="EL3" s="97"/>
      <c r="EM3" s="97"/>
      <c r="EN3" s="99"/>
    </row>
    <row r="4" spans="2:144" x14ac:dyDescent="0.3">
      <c r="B4" s="95"/>
      <c r="C4" s="29" t="s">
        <v>38</v>
      </c>
      <c r="D4" s="52" t="s">
        <v>39</v>
      </c>
      <c r="E4" s="53" t="s">
        <v>37</v>
      </c>
      <c r="F4" s="30" t="s">
        <v>40</v>
      </c>
      <c r="G4" s="29" t="s">
        <v>38</v>
      </c>
      <c r="H4" s="52" t="s">
        <v>39</v>
      </c>
      <c r="I4" s="53" t="s">
        <v>37</v>
      </c>
      <c r="J4" s="30" t="s">
        <v>40</v>
      </c>
      <c r="K4" s="29" t="s">
        <v>38</v>
      </c>
      <c r="L4" s="52" t="s">
        <v>39</v>
      </c>
      <c r="M4" s="53" t="s">
        <v>37</v>
      </c>
      <c r="N4" s="31" t="s">
        <v>40</v>
      </c>
      <c r="O4" s="95"/>
      <c r="P4" s="29" t="s">
        <v>38</v>
      </c>
      <c r="Q4" s="52" t="s">
        <v>39</v>
      </c>
      <c r="R4" s="53" t="s">
        <v>37</v>
      </c>
      <c r="S4" s="30" t="s">
        <v>40</v>
      </c>
      <c r="T4" s="29" t="s">
        <v>38</v>
      </c>
      <c r="U4" s="52" t="s">
        <v>39</v>
      </c>
      <c r="V4" s="53" t="s">
        <v>37</v>
      </c>
      <c r="W4" s="30" t="s">
        <v>40</v>
      </c>
      <c r="X4" s="29" t="s">
        <v>38</v>
      </c>
      <c r="Y4" s="52" t="s">
        <v>39</v>
      </c>
      <c r="Z4" s="53" t="s">
        <v>37</v>
      </c>
      <c r="AA4" s="31" t="s">
        <v>40</v>
      </c>
      <c r="AB4" s="95"/>
      <c r="AC4" s="29" t="s">
        <v>38</v>
      </c>
      <c r="AD4" s="52" t="s">
        <v>39</v>
      </c>
      <c r="AE4" s="53" t="s">
        <v>37</v>
      </c>
      <c r="AF4" s="30" t="s">
        <v>40</v>
      </c>
      <c r="AG4" s="29" t="s">
        <v>38</v>
      </c>
      <c r="AH4" s="52" t="s">
        <v>39</v>
      </c>
      <c r="AI4" s="53" t="s">
        <v>37</v>
      </c>
      <c r="AJ4" s="30" t="s">
        <v>40</v>
      </c>
      <c r="AK4" s="29" t="s">
        <v>38</v>
      </c>
      <c r="AL4" s="52" t="s">
        <v>39</v>
      </c>
      <c r="AM4" s="53" t="s">
        <v>37</v>
      </c>
      <c r="AN4" s="31" t="s">
        <v>40</v>
      </c>
      <c r="AO4" s="95"/>
      <c r="AP4" s="29" t="s">
        <v>38</v>
      </c>
      <c r="AQ4" s="52" t="s">
        <v>39</v>
      </c>
      <c r="AR4" s="53" t="s">
        <v>37</v>
      </c>
      <c r="AS4" s="30" t="s">
        <v>40</v>
      </c>
      <c r="AT4" s="29" t="s">
        <v>38</v>
      </c>
      <c r="AU4" s="52" t="s">
        <v>39</v>
      </c>
      <c r="AV4" s="53" t="s">
        <v>37</v>
      </c>
      <c r="AW4" s="30" t="s">
        <v>40</v>
      </c>
      <c r="AX4" s="29" t="s">
        <v>38</v>
      </c>
      <c r="AY4" s="52" t="s">
        <v>39</v>
      </c>
      <c r="AZ4" s="53" t="s">
        <v>37</v>
      </c>
      <c r="BA4" s="31" t="s">
        <v>40</v>
      </c>
      <c r="BB4" s="95"/>
      <c r="BC4" s="29" t="s">
        <v>38</v>
      </c>
      <c r="BD4" s="52" t="s">
        <v>39</v>
      </c>
      <c r="BE4" s="53" t="s">
        <v>37</v>
      </c>
      <c r="BF4" s="30" t="s">
        <v>40</v>
      </c>
      <c r="BG4" s="29" t="s">
        <v>38</v>
      </c>
      <c r="BH4" s="52">
        <v>5999</v>
      </c>
      <c r="BI4" s="53" t="s">
        <v>37</v>
      </c>
      <c r="BJ4" s="30" t="s">
        <v>40</v>
      </c>
      <c r="BK4" s="29" t="s">
        <v>38</v>
      </c>
      <c r="BL4" s="52" t="s">
        <v>39</v>
      </c>
      <c r="BM4" s="53" t="s">
        <v>37</v>
      </c>
      <c r="BN4" s="31" t="s">
        <v>40</v>
      </c>
      <c r="BO4" s="95"/>
      <c r="BP4" s="29" t="s">
        <v>38</v>
      </c>
      <c r="BQ4" s="52" t="s">
        <v>39</v>
      </c>
      <c r="BR4" s="53" t="s">
        <v>37</v>
      </c>
      <c r="BS4" s="30" t="s">
        <v>40</v>
      </c>
      <c r="BT4" s="29" t="s">
        <v>38</v>
      </c>
      <c r="BU4" s="52" t="s">
        <v>39</v>
      </c>
      <c r="BV4" s="53" t="s">
        <v>37</v>
      </c>
      <c r="BW4" s="30" t="s">
        <v>40</v>
      </c>
      <c r="BX4" s="29" t="s">
        <v>38</v>
      </c>
      <c r="BY4" s="52" t="s">
        <v>39</v>
      </c>
      <c r="BZ4" s="53" t="s">
        <v>37</v>
      </c>
      <c r="CA4" s="31" t="s">
        <v>40</v>
      </c>
      <c r="CB4" s="95"/>
      <c r="CC4" s="29" t="s">
        <v>38</v>
      </c>
      <c r="CD4" s="52" t="s">
        <v>39</v>
      </c>
      <c r="CE4" s="53" t="s">
        <v>37</v>
      </c>
      <c r="CF4" s="30" t="s">
        <v>40</v>
      </c>
      <c r="CG4" s="29" t="s">
        <v>38</v>
      </c>
      <c r="CH4" s="52" t="s">
        <v>39</v>
      </c>
      <c r="CI4" s="53" t="s">
        <v>37</v>
      </c>
      <c r="CJ4" s="30" t="s">
        <v>40</v>
      </c>
      <c r="CK4" s="29" t="s">
        <v>38</v>
      </c>
      <c r="CL4" s="52" t="s">
        <v>39</v>
      </c>
      <c r="CM4" s="53" t="s">
        <v>37</v>
      </c>
      <c r="CN4" s="31" t="s">
        <v>40</v>
      </c>
      <c r="CO4" s="95"/>
      <c r="CP4" s="29" t="s">
        <v>38</v>
      </c>
      <c r="CQ4" s="52" t="s">
        <v>39</v>
      </c>
      <c r="CR4" s="53" t="s">
        <v>37</v>
      </c>
      <c r="CS4" s="30" t="s">
        <v>40</v>
      </c>
      <c r="CT4" s="29" t="s">
        <v>38</v>
      </c>
      <c r="CU4" s="52" t="s">
        <v>39</v>
      </c>
      <c r="CV4" s="53" t="s">
        <v>37</v>
      </c>
      <c r="CW4" s="30" t="s">
        <v>40</v>
      </c>
      <c r="CX4" s="29" t="s">
        <v>38</v>
      </c>
      <c r="CY4" s="52" t="s">
        <v>39</v>
      </c>
      <c r="CZ4" s="53" t="s">
        <v>37</v>
      </c>
      <c r="DA4" s="31" t="s">
        <v>40</v>
      </c>
      <c r="DB4" s="95"/>
      <c r="DC4" s="29" t="s">
        <v>38</v>
      </c>
      <c r="DD4" s="52" t="s">
        <v>39</v>
      </c>
      <c r="DE4" s="53" t="s">
        <v>37</v>
      </c>
      <c r="DF4" s="30" t="s">
        <v>40</v>
      </c>
      <c r="DG4" s="29" t="s">
        <v>38</v>
      </c>
      <c r="DH4" s="52" t="s">
        <v>39</v>
      </c>
      <c r="DI4" s="53" t="s">
        <v>37</v>
      </c>
      <c r="DJ4" s="30" t="s">
        <v>40</v>
      </c>
      <c r="DK4" s="29" t="s">
        <v>38</v>
      </c>
      <c r="DL4" s="52" t="s">
        <v>39</v>
      </c>
      <c r="DM4" s="53" t="s">
        <v>37</v>
      </c>
      <c r="DN4" s="31" t="s">
        <v>40</v>
      </c>
      <c r="DO4" s="95"/>
      <c r="DP4" s="29" t="s">
        <v>38</v>
      </c>
      <c r="DQ4" s="52" t="s">
        <v>39</v>
      </c>
      <c r="DR4" s="53" t="s">
        <v>37</v>
      </c>
      <c r="DS4" s="30" t="s">
        <v>40</v>
      </c>
      <c r="DT4" s="29" t="s">
        <v>38</v>
      </c>
      <c r="DU4" s="52" t="s">
        <v>39</v>
      </c>
      <c r="DV4" s="53" t="s">
        <v>37</v>
      </c>
      <c r="DW4" s="30" t="s">
        <v>40</v>
      </c>
      <c r="DX4" s="29" t="s">
        <v>38</v>
      </c>
      <c r="DY4" s="52" t="s">
        <v>39</v>
      </c>
      <c r="DZ4" s="53" t="s">
        <v>37</v>
      </c>
      <c r="EA4" s="31" t="s">
        <v>40</v>
      </c>
      <c r="EB4" s="95"/>
      <c r="EC4" s="29" t="s">
        <v>38</v>
      </c>
      <c r="ED4" s="52" t="s">
        <v>39</v>
      </c>
      <c r="EE4" s="53" t="s">
        <v>37</v>
      </c>
      <c r="EF4" s="30" t="s">
        <v>40</v>
      </c>
      <c r="EG4" s="29" t="s">
        <v>38</v>
      </c>
      <c r="EH4" s="52" t="s">
        <v>39</v>
      </c>
      <c r="EI4" s="53" t="s">
        <v>37</v>
      </c>
      <c r="EJ4" s="30" t="s">
        <v>40</v>
      </c>
      <c r="EK4" s="29" t="s">
        <v>38</v>
      </c>
      <c r="EL4" s="52" t="s">
        <v>39</v>
      </c>
      <c r="EM4" s="53" t="s">
        <v>37</v>
      </c>
      <c r="EN4" s="31" t="s">
        <v>40</v>
      </c>
    </row>
    <row r="5" spans="2:144" outlineLevel="1" x14ac:dyDescent="0.3">
      <c r="B5" s="25" t="s">
        <v>46</v>
      </c>
      <c r="C5" s="6">
        <f t="shared" ref="C5:C9" si="0">D5-E5</f>
        <v>6499</v>
      </c>
      <c r="D5" s="54">
        <v>6499</v>
      </c>
      <c r="E5" s="55"/>
      <c r="F5" s="19">
        <f>IFERROR(C5/C24*100,"")</f>
        <v>110.92336576207545</v>
      </c>
      <c r="G5" s="6">
        <f t="shared" ref="G5:G9" si="1">H5-I5</f>
        <v>5999</v>
      </c>
      <c r="H5" s="54">
        <v>5999</v>
      </c>
      <c r="I5" s="55"/>
      <c r="J5" s="19">
        <f>IFERROR(G5/G24*100,"")</f>
        <v>101.69520257670793</v>
      </c>
      <c r="K5" s="6">
        <f t="shared" ref="K5:K9" si="2">L5-M5</f>
        <v>5958</v>
      </c>
      <c r="L5" s="54">
        <v>5958</v>
      </c>
      <c r="M5" s="55"/>
      <c r="N5" s="22">
        <f>IFERROR(K5/K24*100,"")</f>
        <v>114.86408328513591</v>
      </c>
      <c r="O5" s="25" t="s">
        <v>46</v>
      </c>
      <c r="P5" s="6">
        <f t="shared" ref="P5:P9" si="3">Q5-R5</f>
        <v>6499</v>
      </c>
      <c r="Q5" s="54">
        <v>6499</v>
      </c>
      <c r="R5" s="55"/>
      <c r="S5" s="19">
        <f>IFERROR(P5/P24*100,"")</f>
        <v>114.84361194557341</v>
      </c>
      <c r="T5" s="6">
        <f t="shared" ref="T5:T9" si="4">U5-V5</f>
        <v>5999</v>
      </c>
      <c r="U5" s="54">
        <v>5999</v>
      </c>
      <c r="V5" s="55"/>
      <c r="W5" s="19">
        <f>IFERROR(T5/T24*100,"")</f>
        <v>101.69520257670793</v>
      </c>
      <c r="X5" s="6">
        <f t="shared" ref="X5:X9" si="5">Y5-Z5</f>
        <v>6000</v>
      </c>
      <c r="Y5" s="54">
        <v>6000</v>
      </c>
      <c r="Z5" s="55"/>
      <c r="AA5" s="22">
        <f>IFERROR(X5/X24*100,"")</f>
        <v>108.5972850678733</v>
      </c>
      <c r="AB5" s="25" t="s">
        <v>46</v>
      </c>
      <c r="AC5" s="6">
        <f t="shared" ref="AC5:AC9" si="6">AD5-AE5</f>
        <v>6499</v>
      </c>
      <c r="AD5" s="54">
        <v>6499</v>
      </c>
      <c r="AE5" s="55"/>
      <c r="AF5" s="19">
        <f>IFERROR(AC5/AC24*100,"")</f>
        <v>115.04691095769162</v>
      </c>
      <c r="AG5" s="6">
        <f t="shared" ref="AG5:AG9" si="7">AH5-AI5</f>
        <v>5999</v>
      </c>
      <c r="AH5" s="54">
        <v>5999</v>
      </c>
      <c r="AI5" s="55"/>
      <c r="AJ5" s="19">
        <f>IFERROR(AG5/AG24*100,"")</f>
        <v>101.69520257670793</v>
      </c>
      <c r="AK5" s="6">
        <f t="shared" ref="AK5:AK9" si="8">AL5-AM5</f>
        <v>5658</v>
      </c>
      <c r="AL5" s="54">
        <v>6658</v>
      </c>
      <c r="AM5" s="55">
        <v>1000</v>
      </c>
      <c r="AN5" s="22">
        <f>IFERROR(AK5/AK24*100,"")</f>
        <v>102.40723981900453</v>
      </c>
      <c r="AO5" s="25" t="s">
        <v>46</v>
      </c>
      <c r="AP5" s="6">
        <f t="shared" ref="AP5:AP9" si="9">AQ5-AR5</f>
        <v>6499</v>
      </c>
      <c r="AQ5" s="54">
        <v>6499</v>
      </c>
      <c r="AR5" s="55"/>
      <c r="AS5" s="19">
        <f>IFERROR(AP5/AP24*100,"")</f>
        <v>115.04691095769162</v>
      </c>
      <c r="AT5" s="6">
        <f t="shared" ref="AT5:AT9" si="10">AU5-AV5</f>
        <v>5999</v>
      </c>
      <c r="AU5" s="54">
        <v>5999</v>
      </c>
      <c r="AV5" s="55"/>
      <c r="AW5" s="19" t="str">
        <f>IFERROR(AT5/AT24*100,"")</f>
        <v/>
      </c>
      <c r="AX5" s="6">
        <f t="shared" ref="AX5:AX9" si="11">AY5-AZ5</f>
        <v>5658</v>
      </c>
      <c r="AY5" s="54">
        <v>6658</v>
      </c>
      <c r="AZ5" s="55">
        <v>1000</v>
      </c>
      <c r="BA5" s="22">
        <f>IFERROR(AX5/AX24*100,"")</f>
        <v>104.79718466382664</v>
      </c>
      <c r="BB5" s="25" t="s">
        <v>46</v>
      </c>
      <c r="BC5" s="6">
        <f t="shared" ref="BC5:BC9" si="12">BD5-BE5</f>
        <v>5639</v>
      </c>
      <c r="BD5" s="54">
        <v>5639</v>
      </c>
      <c r="BE5" s="55"/>
      <c r="BF5" s="19">
        <f>IFERROR(BC5/BC24*100,"")</f>
        <v>95.917673073651983</v>
      </c>
      <c r="BG5" s="6">
        <f t="shared" ref="BG5:BG9" si="13">BH5-BI5</f>
        <v>0</v>
      </c>
      <c r="BH5" s="54"/>
      <c r="BI5" s="55"/>
      <c r="BJ5" s="19" t="str">
        <f>IFERROR(BG5/BG24*100,"")</f>
        <v/>
      </c>
      <c r="BK5" s="6">
        <f t="shared" ref="BK5:BK9" si="14">BL5-BM5</f>
        <v>5600</v>
      </c>
      <c r="BL5" s="54">
        <v>5600</v>
      </c>
      <c r="BM5" s="55"/>
      <c r="BN5" s="22">
        <f>IFERROR(BK5/BK24*100,"")</f>
        <v>112.24694327520545</v>
      </c>
      <c r="BO5" s="25" t="s">
        <v>46</v>
      </c>
      <c r="BP5" s="6">
        <f t="shared" ref="BP5:BP9" si="15">BQ5-BR5</f>
        <v>6499</v>
      </c>
      <c r="BQ5" s="54">
        <v>6499</v>
      </c>
      <c r="BR5" s="55"/>
      <c r="BS5" s="19">
        <f>IFERROR(BP5/BP24*100,"")</f>
        <v>108.33472245374229</v>
      </c>
      <c r="BT5" s="6">
        <f t="shared" ref="BT5:BT9" si="16">BU5-BV5</f>
        <v>5599</v>
      </c>
      <c r="BU5" s="54">
        <v>5599</v>
      </c>
      <c r="BV5" s="55"/>
      <c r="BW5" s="19" t="str">
        <f>IFERROR(BT5/BT24*100,"")</f>
        <v/>
      </c>
      <c r="BX5" s="6">
        <f t="shared" ref="BX5:BX9" si="17">BY5-BZ5</f>
        <v>5499</v>
      </c>
      <c r="BY5" s="54">
        <v>5499</v>
      </c>
      <c r="BZ5" s="55"/>
      <c r="CA5" s="22" t="str" cm="1">
        <f t="array" ref="CA5">IFERROR(BX5/B1X24*100,"")</f>
        <v/>
      </c>
      <c r="CB5" s="25" t="s">
        <v>46</v>
      </c>
      <c r="CC5" s="6">
        <f t="shared" ref="CC5:CC9" si="18">CD5-CE5</f>
        <v>5399</v>
      </c>
      <c r="CD5" s="54">
        <v>5399</v>
      </c>
      <c r="CE5" s="55"/>
      <c r="CF5" s="19">
        <f>IFERROR(CC5/CC24*100,"")</f>
        <v>91.835346147303966</v>
      </c>
      <c r="CG5" s="6">
        <f t="shared" ref="CG5:CG9" si="19">CH5-CI5</f>
        <v>5599</v>
      </c>
      <c r="CH5" s="54">
        <v>5599</v>
      </c>
      <c r="CI5" s="55"/>
      <c r="CJ5" s="19" t="str">
        <f>IFERROR(CG5/CG24*100,"")</f>
        <v/>
      </c>
      <c r="CK5" s="6">
        <f t="shared" ref="CK5" si="20">CL5-CM5</f>
        <v>0</v>
      </c>
      <c r="CL5" s="54"/>
      <c r="CM5" s="55"/>
      <c r="CN5" s="22" t="str" cm="1">
        <f t="array" ref="CN5">IFERROR(CK5/B1X24*100,"")</f>
        <v/>
      </c>
      <c r="CO5" s="25" t="s">
        <v>46</v>
      </c>
      <c r="CP5" s="6">
        <f t="shared" ref="CP5:CP9" si="21">CQ5-CR5</f>
        <v>4999</v>
      </c>
      <c r="CQ5" s="54">
        <v>4999</v>
      </c>
      <c r="CR5" s="55"/>
      <c r="CS5" s="19">
        <f>IFERROR(CP5/CP24*100,"")</f>
        <v>100</v>
      </c>
      <c r="CT5" s="6">
        <f t="shared" ref="CT5:CT9" si="22">CU5-CV5</f>
        <v>5599</v>
      </c>
      <c r="CU5" s="54">
        <v>5599</v>
      </c>
      <c r="CV5" s="55"/>
      <c r="CW5" s="19" t="str">
        <f>IFERROR(CT5/CT24*100,"")</f>
        <v/>
      </c>
      <c r="CX5" s="6">
        <f t="shared" ref="CX5" si="23">CY5-CZ5</f>
        <v>4999</v>
      </c>
      <c r="CY5" s="54">
        <v>4999</v>
      </c>
      <c r="CZ5" s="55"/>
      <c r="DA5" s="22" t="str" cm="1">
        <f t="array" ref="DA5">IFERROR(CX5/B1X24*100,"")</f>
        <v/>
      </c>
      <c r="DB5" s="25" t="s">
        <v>46</v>
      </c>
      <c r="DC5" s="6">
        <f t="shared" ref="DC5:DC9" si="24">DD5-DE5</f>
        <v>4999</v>
      </c>
      <c r="DD5" s="54">
        <v>4999</v>
      </c>
      <c r="DE5" s="55"/>
      <c r="DF5" s="19">
        <f>IFERROR(DC5/DC24*100,"")</f>
        <v>100</v>
      </c>
      <c r="DG5" s="6">
        <f t="shared" ref="DG5:DG9" si="25">DH5-DI5</f>
        <v>5599</v>
      </c>
      <c r="DH5" s="54">
        <v>5599</v>
      </c>
      <c r="DI5" s="55"/>
      <c r="DJ5" s="19" t="str">
        <f>IFERROR(DG5/DG24*100,"")</f>
        <v/>
      </c>
      <c r="DK5" s="6">
        <f t="shared" ref="DK5" si="26">DL5-DM5</f>
        <v>0</v>
      </c>
      <c r="DL5" s="54"/>
      <c r="DM5" s="55"/>
      <c r="DN5" s="22" t="str" cm="1">
        <f t="array" ref="DN5">IFERROR(DK5/B1X24*100,"")</f>
        <v/>
      </c>
      <c r="DO5" s="25" t="s">
        <v>46</v>
      </c>
      <c r="DP5" s="6">
        <f t="shared" ref="DP5:DP9" si="27">DQ5-DR5</f>
        <v>4999</v>
      </c>
      <c r="DQ5" s="54">
        <v>4999</v>
      </c>
      <c r="DR5" s="55"/>
      <c r="DS5" s="19">
        <f>IFERROR(DP5/DP24*100,"")</f>
        <v>87.717143358483938</v>
      </c>
      <c r="DT5" s="6">
        <f t="shared" ref="DT5:DT9" si="28">DU5-DV5</f>
        <v>4599</v>
      </c>
      <c r="DU5" s="54">
        <v>4599</v>
      </c>
      <c r="DV5" s="55"/>
      <c r="DW5" s="19" t="str">
        <f>IFERROR(DT5/DT24*100,"")</f>
        <v/>
      </c>
      <c r="DX5" s="6">
        <f t="shared" ref="DX5" si="29">DY5-DZ5</f>
        <v>3499</v>
      </c>
      <c r="DY5" s="54">
        <v>3499</v>
      </c>
      <c r="DZ5" s="55"/>
      <c r="EA5" s="22" t="str" cm="1">
        <f t="array" ref="EA5">IFERROR(DX5/B1X24*100,"")</f>
        <v/>
      </c>
      <c r="EB5" s="25" t="s">
        <v>46</v>
      </c>
      <c r="EC5" s="6">
        <f t="shared" ref="EC5:EC9" si="30">ED5-EE5</f>
        <v>4999</v>
      </c>
      <c r="ED5" s="54">
        <v>4999</v>
      </c>
      <c r="EE5" s="55"/>
      <c r="EF5" s="19">
        <f>IFERROR(EC5/EC24*100,"")</f>
        <v>87.717143358483938</v>
      </c>
      <c r="EG5" s="6">
        <f t="shared" ref="EG5:EG9" si="31">EH5-EI5</f>
        <v>4599</v>
      </c>
      <c r="EH5" s="54">
        <v>4599</v>
      </c>
      <c r="EI5" s="55"/>
      <c r="EJ5" s="19" t="str">
        <f>IFERROR(EG5/EG24*100,"")</f>
        <v/>
      </c>
      <c r="EK5" s="6">
        <f t="shared" ref="EK5" si="32">EL5-EM5</f>
        <v>3499</v>
      </c>
      <c r="EL5" s="54">
        <v>3499</v>
      </c>
      <c r="EM5" s="55"/>
      <c r="EN5" s="22" t="str" cm="1">
        <f t="array" ref="EN5">IFERROR(EK5/B1X24*100,"")</f>
        <v/>
      </c>
    </row>
    <row r="6" spans="2:144" outlineLevel="1" x14ac:dyDescent="0.3">
      <c r="B6" s="26" t="s">
        <v>47</v>
      </c>
      <c r="C6" s="7">
        <f t="shared" si="0"/>
        <v>4949</v>
      </c>
      <c r="D6" s="56">
        <v>4949</v>
      </c>
      <c r="E6" s="57"/>
      <c r="F6" s="20">
        <f>IFERROR(C6/C25*100,"")</f>
        <v>101.02061645233722</v>
      </c>
      <c r="G6" s="7">
        <f t="shared" si="1"/>
        <v>4859</v>
      </c>
      <c r="H6" s="56">
        <v>4859</v>
      </c>
      <c r="I6" s="57"/>
      <c r="J6" s="20">
        <f>IFERROR(G6/G25*100,"")</f>
        <v>97.19943988797759</v>
      </c>
      <c r="K6" s="7">
        <f t="shared" si="2"/>
        <v>4798</v>
      </c>
      <c r="L6" s="56">
        <v>4798</v>
      </c>
      <c r="M6" s="57"/>
      <c r="N6" s="23">
        <f>IFERROR(K6/K25*100,"")</f>
        <v>117.05293974140034</v>
      </c>
      <c r="O6" s="26" t="s">
        <v>47</v>
      </c>
      <c r="P6" s="7">
        <f t="shared" si="3"/>
        <v>4949</v>
      </c>
      <c r="Q6" s="56">
        <v>4949</v>
      </c>
      <c r="R6" s="57"/>
      <c r="S6" s="20">
        <f>IFERROR(P6/P25*100,"")</f>
        <v>103.12565117732862</v>
      </c>
      <c r="T6" s="7">
        <f t="shared" si="4"/>
        <v>4859</v>
      </c>
      <c r="U6" s="56">
        <v>4859</v>
      </c>
      <c r="V6" s="57"/>
      <c r="W6" s="20" t="str">
        <f>IFERROR(T6/T25*100,"")</f>
        <v/>
      </c>
      <c r="X6" s="7">
        <f t="shared" si="5"/>
        <v>4089</v>
      </c>
      <c r="Y6" s="56">
        <v>4789</v>
      </c>
      <c r="Z6" s="57">
        <v>700</v>
      </c>
      <c r="AA6" s="23">
        <f>IFERROR(X6/X25*100,"")</f>
        <v>97.612795416567195</v>
      </c>
      <c r="AB6" s="26" t="s">
        <v>47</v>
      </c>
      <c r="AC6" s="7">
        <f t="shared" si="6"/>
        <v>4949</v>
      </c>
      <c r="AD6" s="56">
        <v>4949</v>
      </c>
      <c r="AE6" s="57"/>
      <c r="AF6" s="20">
        <f>IFERROR(AC6/AC25*100,"")</f>
        <v>103.12565117732862</v>
      </c>
      <c r="AG6" s="7">
        <f t="shared" si="7"/>
        <v>4859</v>
      </c>
      <c r="AH6" s="56">
        <v>4859</v>
      </c>
      <c r="AI6" s="57"/>
      <c r="AJ6" s="20">
        <f>IFERROR(AG6/AG25*100,"")</f>
        <v>97.19943988797759</v>
      </c>
      <c r="AK6" s="7">
        <f t="shared" si="8"/>
        <v>4789</v>
      </c>
      <c r="AL6" s="56">
        <v>5489</v>
      </c>
      <c r="AM6" s="57">
        <v>700</v>
      </c>
      <c r="AN6" s="23">
        <f>IFERROR(AK6/AK25*100,"")</f>
        <v>103.54594594594595</v>
      </c>
      <c r="AO6" s="26" t="s">
        <v>47</v>
      </c>
      <c r="AP6" s="7">
        <f t="shared" si="9"/>
        <v>4949</v>
      </c>
      <c r="AQ6" s="56">
        <v>4949</v>
      </c>
      <c r="AR6" s="57"/>
      <c r="AS6" s="20">
        <f>IFERROR(AP6/AP25*100,"")</f>
        <v>103.12565117732862</v>
      </c>
      <c r="AT6" s="7">
        <f t="shared" si="10"/>
        <v>4859</v>
      </c>
      <c r="AU6" s="56">
        <v>4859</v>
      </c>
      <c r="AV6" s="57"/>
      <c r="AW6" s="20">
        <f>IFERROR(AT6/AT25*100,"")</f>
        <v>108.00177817292732</v>
      </c>
      <c r="AX6" s="7">
        <f t="shared" si="11"/>
        <v>4789</v>
      </c>
      <c r="AY6" s="56">
        <v>5489</v>
      </c>
      <c r="AZ6" s="57">
        <v>700</v>
      </c>
      <c r="BA6" s="23">
        <f>IFERROR(AX6/AX25*100,"")</f>
        <v>106.44587686152478</v>
      </c>
      <c r="BB6" s="26" t="s">
        <v>47</v>
      </c>
      <c r="BC6" s="7">
        <f t="shared" si="12"/>
        <v>4199</v>
      </c>
      <c r="BD6" s="56">
        <v>4199</v>
      </c>
      <c r="BE6" s="57"/>
      <c r="BF6" s="20">
        <f>IFERROR(BC6/BC25*100,"")</f>
        <v>84.334203655352482</v>
      </c>
      <c r="BG6" s="7">
        <f t="shared" si="13"/>
        <v>4859</v>
      </c>
      <c r="BH6" s="56">
        <v>4859</v>
      </c>
      <c r="BI6" s="57"/>
      <c r="BJ6" s="20">
        <f>IFERROR(BG6/BG25*100,"")</f>
        <v>108.00177817292732</v>
      </c>
      <c r="BK6" s="7">
        <f t="shared" si="14"/>
        <v>4789</v>
      </c>
      <c r="BL6" s="56">
        <v>4789</v>
      </c>
      <c r="BM6" s="57"/>
      <c r="BN6" s="23">
        <f>IFERROR(BK6/BK25*100,"")</f>
        <v>114.3232275005968</v>
      </c>
      <c r="BO6" s="26" t="s">
        <v>47</v>
      </c>
      <c r="BP6" s="7">
        <f t="shared" si="15"/>
        <v>4949</v>
      </c>
      <c r="BQ6" s="56">
        <v>4949</v>
      </c>
      <c r="BR6" s="57"/>
      <c r="BS6" s="20">
        <f>IFERROR(BP6/BP25*100,"")</f>
        <v>95.191382958261201</v>
      </c>
      <c r="BT6" s="7">
        <f t="shared" si="16"/>
        <v>4199</v>
      </c>
      <c r="BU6" s="56">
        <v>4199</v>
      </c>
      <c r="BV6" s="57"/>
      <c r="BW6" s="20">
        <f>IFERROR(BT6/BT25*100,"")</f>
        <v>93.331851522560569</v>
      </c>
      <c r="BX6" s="7">
        <f t="shared" si="17"/>
        <v>4299</v>
      </c>
      <c r="BY6" s="56">
        <v>4299</v>
      </c>
      <c r="BZ6" s="57"/>
      <c r="CA6" s="23">
        <f>IFERROR(BX6/BX25*100,"")</f>
        <v>102.62592504177607</v>
      </c>
      <c r="CB6" s="26" t="s">
        <v>47</v>
      </c>
      <c r="CC6" s="7">
        <f t="shared" si="18"/>
        <v>4299</v>
      </c>
      <c r="CD6" s="56">
        <v>4299</v>
      </c>
      <c r="CE6" s="57"/>
      <c r="CF6" s="20">
        <f>IFERROR(CC6/CC25*100,"")</f>
        <v>86.342639084153447</v>
      </c>
      <c r="CG6" s="7">
        <f t="shared" si="19"/>
        <v>4199</v>
      </c>
      <c r="CH6" s="56">
        <v>4199</v>
      </c>
      <c r="CI6" s="57"/>
      <c r="CJ6" s="20">
        <f>IFERROR(CG6/CG25*100,"")</f>
        <v>93.331851522560569</v>
      </c>
      <c r="CK6" s="7">
        <f>CL6-CM6</f>
        <v>4299</v>
      </c>
      <c r="CL6" s="56">
        <v>4299</v>
      </c>
      <c r="CM6" s="57"/>
      <c r="CN6" s="23">
        <f>IFERROR(CK6/CK25*100,"")</f>
        <v>103.61532899493855</v>
      </c>
      <c r="CO6" s="26" t="s">
        <v>47</v>
      </c>
      <c r="CP6" s="7">
        <f t="shared" si="21"/>
        <v>3999</v>
      </c>
      <c r="CQ6" s="56">
        <v>3999</v>
      </c>
      <c r="CR6" s="57"/>
      <c r="CS6" s="20">
        <f>IFERROR(CP6/CP25*100,"")</f>
        <v>95.92228352122811</v>
      </c>
      <c r="CT6" s="7">
        <f t="shared" si="22"/>
        <v>4199</v>
      </c>
      <c r="CU6" s="56">
        <v>4199</v>
      </c>
      <c r="CV6" s="57"/>
      <c r="CW6" s="20">
        <f>IFERROR(CT6/CT25*100,"")</f>
        <v>93.331851522560569</v>
      </c>
      <c r="CX6" s="7">
        <f>CY6-CZ6</f>
        <v>4242</v>
      </c>
      <c r="CY6" s="56">
        <v>4242</v>
      </c>
      <c r="CZ6" s="57"/>
      <c r="DA6" s="23">
        <f>IFERROR(CX6/CX25*100,"")</f>
        <v>101.75101942911968</v>
      </c>
      <c r="DB6" s="26" t="s">
        <v>47</v>
      </c>
      <c r="DC6" s="7">
        <f t="shared" si="24"/>
        <v>3999</v>
      </c>
      <c r="DD6" s="56">
        <v>3999</v>
      </c>
      <c r="DE6" s="57"/>
      <c r="DF6" s="20">
        <f>IFERROR(DC6/DC25*100,"")</f>
        <v>94.116262650035296</v>
      </c>
      <c r="DG6" s="7">
        <f t="shared" si="25"/>
        <v>4199</v>
      </c>
      <c r="DH6" s="56">
        <v>4199</v>
      </c>
      <c r="DI6" s="57"/>
      <c r="DJ6" s="20">
        <f>IFERROR(DG6/DG25*100,"")</f>
        <v>93.331851522560569</v>
      </c>
      <c r="DK6" s="7">
        <f>DL6-DM6</f>
        <v>3999</v>
      </c>
      <c r="DL6" s="56">
        <v>3999</v>
      </c>
      <c r="DM6" s="57"/>
      <c r="DN6" s="23">
        <f>IFERROR(DK6/DK25*100,"")</f>
        <v>95.464311291477671</v>
      </c>
      <c r="DO6" s="26" t="s">
        <v>47</v>
      </c>
      <c r="DP6" s="7">
        <f t="shared" si="27"/>
        <v>3699</v>
      </c>
      <c r="DQ6" s="56">
        <v>3699</v>
      </c>
      <c r="DR6" s="57"/>
      <c r="DS6" s="20">
        <f>IFERROR(DP6/DP25*100,"")</f>
        <v>77.078558032923524</v>
      </c>
      <c r="DT6" s="7">
        <f t="shared" si="28"/>
        <v>3799</v>
      </c>
      <c r="DU6" s="56">
        <v>3799</v>
      </c>
      <c r="DV6" s="57"/>
      <c r="DW6" s="20" t="str">
        <f>IFERROR(DT6/DT25*100,"")</f>
        <v/>
      </c>
      <c r="DX6" s="7">
        <f>DY6-DZ6</f>
        <v>2999</v>
      </c>
      <c r="DY6" s="56">
        <v>2999</v>
      </c>
      <c r="DZ6" s="57"/>
      <c r="EA6" s="23">
        <f>IFERROR(DX6/DX25*100,"")</f>
        <v>78.941826796525405</v>
      </c>
      <c r="EB6" s="26" t="s">
        <v>47</v>
      </c>
      <c r="EC6" s="7">
        <f t="shared" si="30"/>
        <v>3699</v>
      </c>
      <c r="ED6" s="56">
        <v>3699</v>
      </c>
      <c r="EE6" s="57"/>
      <c r="EF6" s="20">
        <f>IFERROR(EC6/EC25*100,"")</f>
        <v>77.078558032923524</v>
      </c>
      <c r="EG6" s="7">
        <f t="shared" si="31"/>
        <v>3799</v>
      </c>
      <c r="EH6" s="56">
        <v>3799</v>
      </c>
      <c r="EI6" s="57"/>
      <c r="EJ6" s="20" t="str">
        <f>IFERROR(EG6/EG25*100,"")</f>
        <v/>
      </c>
      <c r="EK6" s="7">
        <f>EL6-EM6</f>
        <v>2999</v>
      </c>
      <c r="EL6" s="56">
        <v>2999</v>
      </c>
      <c r="EM6" s="57"/>
      <c r="EN6" s="23">
        <f>IFERROR(EK6/EK25*100,"")</f>
        <v>78.941826796525405</v>
      </c>
    </row>
    <row r="7" spans="2:144" outlineLevel="1" x14ac:dyDescent="0.3">
      <c r="B7" s="26" t="s">
        <v>48</v>
      </c>
      <c r="C7" s="7">
        <f t="shared" si="0"/>
        <v>3499</v>
      </c>
      <c r="D7" s="56">
        <v>3499</v>
      </c>
      <c r="E7" s="57"/>
      <c r="F7" s="20">
        <f>IFERROR(C7/C26*100,"")</f>
        <v>104.16790711521287</v>
      </c>
      <c r="G7" s="7">
        <f t="shared" si="1"/>
        <v>3359</v>
      </c>
      <c r="H7" s="56">
        <v>3359</v>
      </c>
      <c r="I7" s="57"/>
      <c r="J7" s="20" t="str">
        <f>IFERROR(G7/G26*100,"")</f>
        <v/>
      </c>
      <c r="K7" s="7">
        <f t="shared" si="2"/>
        <v>3298</v>
      </c>
      <c r="L7" s="56">
        <v>3298</v>
      </c>
      <c r="M7" s="57"/>
      <c r="N7" s="23">
        <f>IFERROR(K7/K26*100,"")</f>
        <v>103.38557993730409</v>
      </c>
      <c r="O7" s="26" t="s">
        <v>48</v>
      </c>
      <c r="P7" s="7">
        <f t="shared" si="3"/>
        <v>3348</v>
      </c>
      <c r="Q7" s="56">
        <v>3348</v>
      </c>
      <c r="R7" s="57"/>
      <c r="S7" s="20">
        <f>IFERROR(P7/P26*100,"")</f>
        <v>99.376669634906506</v>
      </c>
      <c r="T7" s="7">
        <f t="shared" si="4"/>
        <v>3359</v>
      </c>
      <c r="U7" s="56">
        <v>3359</v>
      </c>
      <c r="V7" s="57"/>
      <c r="W7" s="20" t="str">
        <f>IFERROR(T7/T26*100,"")</f>
        <v/>
      </c>
      <c r="X7" s="7">
        <f t="shared" si="5"/>
        <v>2858</v>
      </c>
      <c r="Y7" s="56">
        <v>3358</v>
      </c>
      <c r="Z7" s="57">
        <v>500</v>
      </c>
      <c r="AA7" s="23">
        <f>IFERROR(X7/X26*100,"")</f>
        <v>87.267175572519079</v>
      </c>
      <c r="AB7" s="26" t="s">
        <v>48</v>
      </c>
      <c r="AC7" s="7">
        <f t="shared" si="6"/>
        <v>3279</v>
      </c>
      <c r="AD7" s="56">
        <v>3279</v>
      </c>
      <c r="AE7" s="57"/>
      <c r="AF7" s="20">
        <f>IFERROR(AC7/AC26*100,"")</f>
        <v>97.61833879130694</v>
      </c>
      <c r="AG7" s="7">
        <f t="shared" si="7"/>
        <v>3359</v>
      </c>
      <c r="AH7" s="56">
        <v>3359</v>
      </c>
      <c r="AI7" s="57"/>
      <c r="AJ7" s="20" t="str">
        <f>IFERROR(AG7/AG26*100,"")</f>
        <v/>
      </c>
      <c r="AK7" s="7">
        <f t="shared" si="8"/>
        <v>3279</v>
      </c>
      <c r="AL7" s="56">
        <v>3779</v>
      </c>
      <c r="AM7" s="57">
        <v>500</v>
      </c>
      <c r="AN7" s="23">
        <f>IFERROR(AK7/AK26*100,"")</f>
        <v>100.12213740458016</v>
      </c>
      <c r="AO7" s="26" t="s">
        <v>48</v>
      </c>
      <c r="AP7" s="7">
        <f t="shared" si="9"/>
        <v>3279</v>
      </c>
      <c r="AQ7" s="56">
        <v>3279</v>
      </c>
      <c r="AR7" s="57"/>
      <c r="AS7" s="20">
        <f>IFERROR(AP7/AP26*100,"")</f>
        <v>97.61833879130694</v>
      </c>
      <c r="AT7" s="7">
        <f t="shared" si="10"/>
        <v>3359</v>
      </c>
      <c r="AU7" s="56">
        <v>3359</v>
      </c>
      <c r="AV7" s="57"/>
      <c r="AW7" s="20" t="str">
        <f>IFERROR(AT7/AT26*100,"")</f>
        <v/>
      </c>
      <c r="AX7" s="7">
        <f t="shared" si="11"/>
        <v>3279</v>
      </c>
      <c r="AY7" s="56">
        <v>3779</v>
      </c>
      <c r="AZ7" s="57">
        <v>500</v>
      </c>
      <c r="BA7" s="23">
        <f>IFERROR(AX7/AX26*100,"")</f>
        <v>100.92336103416434</v>
      </c>
      <c r="BB7" s="26" t="s">
        <v>48</v>
      </c>
      <c r="BC7" s="7">
        <f t="shared" si="12"/>
        <v>2999</v>
      </c>
      <c r="BD7" s="56">
        <v>2999</v>
      </c>
      <c r="BE7" s="57"/>
      <c r="BF7" s="20">
        <f>IFERROR(BC7/BC26*100,"")</f>
        <v>85.7102029151186</v>
      </c>
      <c r="BG7" s="7">
        <f t="shared" si="13"/>
        <v>3359</v>
      </c>
      <c r="BH7" s="56">
        <v>3359</v>
      </c>
      <c r="BI7" s="57"/>
      <c r="BJ7" s="20" t="str">
        <f>IFERROR(BG7/BG26*100,"")</f>
        <v/>
      </c>
      <c r="BK7" s="7">
        <f t="shared" si="14"/>
        <v>2999</v>
      </c>
      <c r="BL7" s="56">
        <v>2999</v>
      </c>
      <c r="BM7" s="57"/>
      <c r="BN7" s="23">
        <f>IFERROR(BK7/BK26*100,"")</f>
        <v>94.012539184952985</v>
      </c>
      <c r="BO7" s="26" t="s">
        <v>48</v>
      </c>
      <c r="BP7" s="7">
        <f t="shared" si="15"/>
        <v>3256</v>
      </c>
      <c r="BQ7" s="56">
        <v>3256</v>
      </c>
      <c r="BR7" s="57"/>
      <c r="BS7" s="20">
        <f>IFERROR(BP7/BP26*100,"")</f>
        <v>88.023790213571246</v>
      </c>
      <c r="BT7" s="7">
        <f t="shared" si="16"/>
        <v>3359</v>
      </c>
      <c r="BU7" s="56">
        <v>3359</v>
      </c>
      <c r="BV7" s="57"/>
      <c r="BW7" s="20" t="str">
        <f>IFERROR(BT7/BT26*100,"")</f>
        <v/>
      </c>
      <c r="BX7" s="7">
        <f t="shared" si="17"/>
        <v>3257</v>
      </c>
      <c r="BY7" s="56">
        <v>3257</v>
      </c>
      <c r="BZ7" s="57"/>
      <c r="CA7" s="23">
        <f>IFERROR(BX7/BX26*100,"")</f>
        <v>102.10031347962382</v>
      </c>
      <c r="CB7" s="26" t="s">
        <v>48</v>
      </c>
      <c r="CC7" s="7">
        <f t="shared" si="18"/>
        <v>3499</v>
      </c>
      <c r="CD7" s="56">
        <v>3499</v>
      </c>
      <c r="CE7" s="57"/>
      <c r="CF7" s="20">
        <f>IFERROR(CC7/CC26*100,"")</f>
        <v>100</v>
      </c>
      <c r="CG7" s="7">
        <f t="shared" si="19"/>
        <v>2999</v>
      </c>
      <c r="CH7" s="56">
        <v>2999</v>
      </c>
      <c r="CI7" s="57"/>
      <c r="CJ7" s="20">
        <f>IFERROR(CG7/CG26*100,"")</f>
        <v>90.906335253107002</v>
      </c>
      <c r="CK7" s="7">
        <f>CL7-CM7</f>
        <v>3000</v>
      </c>
      <c r="CL7" s="56">
        <v>3000</v>
      </c>
      <c r="CM7" s="57"/>
      <c r="CN7" s="23">
        <f>IFERROR(CK7/CK26*100,"")</f>
        <v>100.84033613445378</v>
      </c>
      <c r="CO7" s="26" t="s">
        <v>48</v>
      </c>
      <c r="CP7" s="7">
        <f t="shared" si="21"/>
        <v>3499</v>
      </c>
      <c r="CQ7" s="56">
        <v>3499</v>
      </c>
      <c r="CR7" s="57"/>
      <c r="CS7" s="20">
        <f>IFERROR(CP7/CP26*100,"")</f>
        <v>103.85871178391216</v>
      </c>
      <c r="CT7" s="7">
        <f t="shared" si="22"/>
        <v>2999</v>
      </c>
      <c r="CU7" s="56">
        <v>2999</v>
      </c>
      <c r="CV7" s="57"/>
      <c r="CW7" s="20" t="str">
        <f>IFERROR(CT7/CT26*100,"")</f>
        <v/>
      </c>
      <c r="CX7" s="7">
        <f>CY7-CZ7</f>
        <v>2744</v>
      </c>
      <c r="CY7" s="56">
        <v>2744</v>
      </c>
      <c r="CZ7" s="57"/>
      <c r="DA7" s="23">
        <f>IFERROR(CX7/CX26*100,"")</f>
        <v>92.235294117647058</v>
      </c>
      <c r="DB7" s="26" t="s">
        <v>48</v>
      </c>
      <c r="DC7" s="7">
        <f t="shared" si="24"/>
        <v>3499</v>
      </c>
      <c r="DD7" s="56">
        <v>3499</v>
      </c>
      <c r="DE7" s="57"/>
      <c r="DF7" s="20">
        <f>IFERROR(DC7/DC26*100,"")</f>
        <v>103.85871178391216</v>
      </c>
      <c r="DG7" s="7">
        <f t="shared" si="25"/>
        <v>2999</v>
      </c>
      <c r="DH7" s="56">
        <v>2999</v>
      </c>
      <c r="DI7" s="57"/>
      <c r="DJ7" s="20" t="str">
        <f>IFERROR(DG7/DG26*100,"")</f>
        <v/>
      </c>
      <c r="DK7" s="7">
        <f>DL7-DM7</f>
        <v>2799</v>
      </c>
      <c r="DL7" s="56">
        <v>2799</v>
      </c>
      <c r="DM7" s="57"/>
      <c r="DN7" s="23">
        <f>IFERROR(DK7/DK26*100,"")</f>
        <v>94.084033613445385</v>
      </c>
      <c r="DO7" s="26" t="s">
        <v>48</v>
      </c>
      <c r="DP7" s="7">
        <f t="shared" si="27"/>
        <v>1999</v>
      </c>
      <c r="DQ7" s="56">
        <v>1999</v>
      </c>
      <c r="DR7" s="57"/>
      <c r="DS7" s="20">
        <f>IFERROR(DP7/DP26*100,"")</f>
        <v>59.3351142772336</v>
      </c>
      <c r="DT7" s="7">
        <f t="shared" si="28"/>
        <v>2799</v>
      </c>
      <c r="DU7" s="56">
        <v>2799</v>
      </c>
      <c r="DV7" s="57"/>
      <c r="DW7" s="20" t="str">
        <f>IFERROR(DT7/DT26*100,"")</f>
        <v/>
      </c>
      <c r="DX7" s="7">
        <f>DY7-DZ7</f>
        <v>1799</v>
      </c>
      <c r="DY7" s="56">
        <v>1799</v>
      </c>
      <c r="DZ7" s="57"/>
      <c r="EA7" s="23">
        <f>IFERROR(DX7/DX26*100,"")</f>
        <v>66.654316413486484</v>
      </c>
      <c r="EB7" s="26" t="s">
        <v>48</v>
      </c>
      <c r="EC7" s="7">
        <f t="shared" si="30"/>
        <v>1999</v>
      </c>
      <c r="ED7" s="56">
        <v>1999</v>
      </c>
      <c r="EE7" s="57"/>
      <c r="EF7" s="20">
        <f>IFERROR(EC7/EC26*100,"")</f>
        <v>59.3351142772336</v>
      </c>
      <c r="EG7" s="7">
        <f t="shared" si="31"/>
        <v>2799</v>
      </c>
      <c r="EH7" s="56">
        <v>2799</v>
      </c>
      <c r="EI7" s="57"/>
      <c r="EJ7" s="20" t="str">
        <f>IFERROR(EG7/EG26*100,"")</f>
        <v/>
      </c>
      <c r="EK7" s="7">
        <f>EL7-EM7</f>
        <v>1799</v>
      </c>
      <c r="EL7" s="56">
        <v>1799</v>
      </c>
      <c r="EM7" s="57"/>
      <c r="EN7" s="23">
        <f>IFERROR(EK7/EK26*100,"")</f>
        <v>66.654316413486484</v>
      </c>
    </row>
    <row r="8" spans="2:144" outlineLevel="1" x14ac:dyDescent="0.3">
      <c r="B8" s="26" t="s">
        <v>49</v>
      </c>
      <c r="C8" s="7">
        <f t="shared" si="0"/>
        <v>2499</v>
      </c>
      <c r="D8" s="56">
        <v>2499</v>
      </c>
      <c r="E8" s="57"/>
      <c r="F8" s="20">
        <f>IFERROR(C8/C27*100,"")</f>
        <v>96.635730858468676</v>
      </c>
      <c r="G8" s="7">
        <f t="shared" si="1"/>
        <v>2359</v>
      </c>
      <c r="H8" s="56">
        <v>2359</v>
      </c>
      <c r="I8" s="57"/>
      <c r="J8" s="20" t="str">
        <f>IFERROR(G8/G27*100,"")</f>
        <v/>
      </c>
      <c r="K8" s="7">
        <f t="shared" si="2"/>
        <v>2298</v>
      </c>
      <c r="L8" s="56">
        <v>2298</v>
      </c>
      <c r="M8" s="57"/>
      <c r="N8" s="23">
        <f>IFERROR(K8/K27*100,"")</f>
        <v>94.606834088102104</v>
      </c>
      <c r="O8" s="26" t="s">
        <v>49</v>
      </c>
      <c r="P8" s="7">
        <f t="shared" si="3"/>
        <v>2499</v>
      </c>
      <c r="Q8" s="56">
        <v>2499</v>
      </c>
      <c r="R8" s="57"/>
      <c r="S8" s="20">
        <f>IFERROR(P8/P27*100,"")</f>
        <v>96.449247394828248</v>
      </c>
      <c r="T8" s="7">
        <f t="shared" si="4"/>
        <v>2299</v>
      </c>
      <c r="U8" s="56">
        <v>2299</v>
      </c>
      <c r="V8" s="57"/>
      <c r="W8" s="20" t="str">
        <f>IFERROR(T8/T27*100,"")</f>
        <v/>
      </c>
      <c r="X8" s="7">
        <f t="shared" si="5"/>
        <v>1989</v>
      </c>
      <c r="Y8" s="56">
        <v>2289</v>
      </c>
      <c r="Z8" s="57">
        <v>300</v>
      </c>
      <c r="AA8" s="23">
        <f>IFERROR(X8/X27*100,"")</f>
        <v>86.515876468029575</v>
      </c>
      <c r="AB8" s="26" t="s">
        <v>49</v>
      </c>
      <c r="AC8" s="7">
        <f t="shared" si="6"/>
        <v>2499</v>
      </c>
      <c r="AD8" s="56">
        <v>2499</v>
      </c>
      <c r="AE8" s="57"/>
      <c r="AF8" s="20">
        <f>IFERROR(AC8/AC27*100,"")</f>
        <v>96.189376443418013</v>
      </c>
      <c r="AG8" s="7">
        <f t="shared" si="7"/>
        <v>2359</v>
      </c>
      <c r="AH8" s="56">
        <v>2359</v>
      </c>
      <c r="AI8" s="57"/>
      <c r="AJ8" s="20" t="str">
        <f>IFERROR(AG8/AG27*100,"")</f>
        <v/>
      </c>
      <c r="AK8" s="7">
        <f t="shared" si="8"/>
        <v>2289</v>
      </c>
      <c r="AL8" s="56">
        <v>2589</v>
      </c>
      <c r="AM8" s="57">
        <v>300</v>
      </c>
      <c r="AN8" s="23">
        <f>IFERROR(AK8/AK27*100,"")</f>
        <v>85.602094240837701</v>
      </c>
      <c r="AO8" s="26" t="s">
        <v>49</v>
      </c>
      <c r="AP8" s="7">
        <f t="shared" si="9"/>
        <v>2499</v>
      </c>
      <c r="AQ8" s="56">
        <v>2499</v>
      </c>
      <c r="AR8" s="57"/>
      <c r="AS8" s="20">
        <f>IFERROR(AP8/AP27*100,"")</f>
        <v>96.152366294728736</v>
      </c>
      <c r="AT8" s="7">
        <f t="shared" si="10"/>
        <v>2359</v>
      </c>
      <c r="AU8" s="56">
        <v>2359</v>
      </c>
      <c r="AV8" s="57"/>
      <c r="AW8" s="20" t="str">
        <f>IFERROR(AT8/AT27*100,"")</f>
        <v/>
      </c>
      <c r="AX8" s="7">
        <f t="shared" si="11"/>
        <v>2289</v>
      </c>
      <c r="AY8" s="56">
        <v>2589</v>
      </c>
      <c r="AZ8" s="57">
        <v>300</v>
      </c>
      <c r="BA8" s="23">
        <f>IFERROR(AX8/AX27*100,"")</f>
        <v>85.666167664670652</v>
      </c>
      <c r="BB8" s="26" t="s">
        <v>49</v>
      </c>
      <c r="BC8" s="7">
        <f t="shared" si="12"/>
        <v>1999</v>
      </c>
      <c r="BD8" s="56">
        <v>1999</v>
      </c>
      <c r="BE8" s="57"/>
      <c r="BF8" s="20">
        <f>IFERROR(BC8/BC27*100,"")</f>
        <v>75.462438656096637</v>
      </c>
      <c r="BG8" s="7">
        <f t="shared" si="13"/>
        <v>2359</v>
      </c>
      <c r="BH8" s="56">
        <v>2359</v>
      </c>
      <c r="BI8" s="57"/>
      <c r="BJ8" s="20" t="str">
        <f>IFERROR(BG8/BG27*100,"")</f>
        <v/>
      </c>
      <c r="BK8" s="7">
        <f t="shared" si="14"/>
        <v>1999</v>
      </c>
      <c r="BL8" s="56">
        <v>1999</v>
      </c>
      <c r="BM8" s="57"/>
      <c r="BN8" s="23">
        <f>IFERROR(BK8/BK27*100,"")</f>
        <v>87.330712101354308</v>
      </c>
      <c r="BO8" s="26" t="s">
        <v>49</v>
      </c>
      <c r="BP8" s="7">
        <f t="shared" si="15"/>
        <v>2499</v>
      </c>
      <c r="BQ8" s="56">
        <v>2499</v>
      </c>
      <c r="BR8" s="57"/>
      <c r="BS8" s="20">
        <f>IFERROR(BP8/BP27*100,"")</f>
        <v>90.905783921425979</v>
      </c>
      <c r="BT8" s="7">
        <f t="shared" si="16"/>
        <v>1999</v>
      </c>
      <c r="BU8" s="56">
        <v>1999</v>
      </c>
      <c r="BV8" s="57"/>
      <c r="BW8" s="20" t="str">
        <f>IFERROR(BT8/BT27*100,"")</f>
        <v/>
      </c>
      <c r="BX8" s="7">
        <f t="shared" si="17"/>
        <v>2289</v>
      </c>
      <c r="BY8" s="56">
        <v>2289</v>
      </c>
      <c r="BZ8" s="57"/>
      <c r="CA8" s="23">
        <f>IFERROR(BX8/BX27*100,"")</f>
        <v>100</v>
      </c>
      <c r="CB8" s="26" t="s">
        <v>49</v>
      </c>
      <c r="CC8" s="7">
        <f t="shared" si="18"/>
        <v>2199</v>
      </c>
      <c r="CD8" s="56">
        <v>2199</v>
      </c>
      <c r="CE8" s="57"/>
      <c r="CF8" s="20">
        <f>IFERROR(CC8/CC27*100,"")</f>
        <v>83.012457531143824</v>
      </c>
      <c r="CG8" s="7">
        <f t="shared" si="19"/>
        <v>1999</v>
      </c>
      <c r="CH8" s="56">
        <v>1999</v>
      </c>
      <c r="CI8" s="57"/>
      <c r="CJ8" s="20" t="str">
        <f>IFERROR(CG8/CG27*100,"")</f>
        <v/>
      </c>
      <c r="CK8" s="7">
        <f>CL8-CM8</f>
        <v>2000</v>
      </c>
      <c r="CL8" s="56">
        <v>2000</v>
      </c>
      <c r="CM8" s="57"/>
      <c r="CN8" s="23">
        <f>IFERROR(CK8/CK27*100,"")</f>
        <v>91.785222579164753</v>
      </c>
      <c r="CO8" s="26" t="s">
        <v>49</v>
      </c>
      <c r="CP8" s="7">
        <f t="shared" si="21"/>
        <v>1999</v>
      </c>
      <c r="CQ8" s="56">
        <v>1999</v>
      </c>
      <c r="CR8" s="57"/>
      <c r="CS8" s="20">
        <f>IFERROR(CP8/CP27*100,"")</f>
        <v>75.462438656096637</v>
      </c>
      <c r="CT8" s="7">
        <f t="shared" si="22"/>
        <v>1999</v>
      </c>
      <c r="CU8" s="56">
        <v>1999</v>
      </c>
      <c r="CV8" s="57"/>
      <c r="CW8" s="20" t="str">
        <f>IFERROR(CT8/CT27*100,"")</f>
        <v/>
      </c>
      <c r="CX8" s="7">
        <f>CY8-CZ8</f>
        <v>1959</v>
      </c>
      <c r="CY8" s="56">
        <v>1959</v>
      </c>
      <c r="CZ8" s="57"/>
      <c r="DA8" s="23">
        <f>IFERROR(CX8/CX27*100,"")</f>
        <v>97.998999499749871</v>
      </c>
      <c r="DB8" s="26" t="s">
        <v>49</v>
      </c>
      <c r="DC8" s="7">
        <f t="shared" si="24"/>
        <v>1999</v>
      </c>
      <c r="DD8" s="56">
        <v>1999</v>
      </c>
      <c r="DE8" s="57"/>
      <c r="DF8" s="20">
        <f>IFERROR(DC8/DC27*100,"")</f>
        <v>75.462438656096637</v>
      </c>
      <c r="DG8" s="7">
        <f t="shared" si="25"/>
        <v>1999</v>
      </c>
      <c r="DH8" s="56">
        <v>1999</v>
      </c>
      <c r="DI8" s="57"/>
      <c r="DJ8" s="20" t="str">
        <f>IFERROR(DG8/DG27*100,"")</f>
        <v/>
      </c>
      <c r="DK8" s="7">
        <f>DL8-DM8</f>
        <v>1999</v>
      </c>
      <c r="DL8" s="56">
        <v>1999</v>
      </c>
      <c r="DM8" s="57"/>
      <c r="DN8" s="23">
        <f>IFERROR(DK8/DK27*100,"")</f>
        <v>87.330712101354308</v>
      </c>
      <c r="DO8" s="26" t="s">
        <v>49</v>
      </c>
      <c r="DP8" s="7">
        <f t="shared" si="27"/>
        <v>1499</v>
      </c>
      <c r="DQ8" s="56">
        <v>1499</v>
      </c>
      <c r="DR8" s="57"/>
      <c r="DS8" s="20">
        <f>IFERROR(DP8/DP27*100,"")</f>
        <v>55.334071613141376</v>
      </c>
      <c r="DT8" s="7">
        <f t="shared" si="28"/>
        <v>1999</v>
      </c>
      <c r="DU8" s="56">
        <v>1999</v>
      </c>
      <c r="DV8" s="57"/>
      <c r="DW8" s="20" t="str">
        <f>IFERROR(DT8/DT27*100,"")</f>
        <v/>
      </c>
      <c r="DX8" s="7">
        <f>DY8-DZ8</f>
        <v>1399</v>
      </c>
      <c r="DY8" s="56">
        <v>1399</v>
      </c>
      <c r="DZ8" s="57"/>
      <c r="EA8" s="23">
        <f>IFERROR(DX8/DX27*100,"")</f>
        <v>69.984992496248125</v>
      </c>
      <c r="EB8" s="26" t="s">
        <v>49</v>
      </c>
      <c r="EC8" s="7">
        <f t="shared" si="30"/>
        <v>1499</v>
      </c>
      <c r="ED8" s="56">
        <v>1499</v>
      </c>
      <c r="EE8" s="57"/>
      <c r="EF8" s="20">
        <f>IFERROR(EC8/EC27*100,"")</f>
        <v>55.334071613141376</v>
      </c>
      <c r="EG8" s="7">
        <f t="shared" si="31"/>
        <v>1999</v>
      </c>
      <c r="EH8" s="56">
        <v>1999</v>
      </c>
      <c r="EI8" s="57"/>
      <c r="EJ8" s="20" t="str">
        <f>IFERROR(EG8/EG27*100,"")</f>
        <v/>
      </c>
      <c r="EK8" s="7">
        <f>EL8-EM8</f>
        <v>1399</v>
      </c>
      <c r="EL8" s="56">
        <v>1399</v>
      </c>
      <c r="EM8" s="57"/>
      <c r="EN8" s="23">
        <f>IFERROR(EK8/EK27*100,"")</f>
        <v>69.984992496248125</v>
      </c>
    </row>
    <row r="9" spans="2:144" outlineLevel="1" x14ac:dyDescent="0.3">
      <c r="B9" s="26" t="s">
        <v>45</v>
      </c>
      <c r="C9" s="7">
        <f t="shared" si="0"/>
        <v>1998</v>
      </c>
      <c r="D9" s="56">
        <v>1998</v>
      </c>
      <c r="E9" s="57"/>
      <c r="F9" s="20"/>
      <c r="G9" s="7">
        <f t="shared" si="1"/>
        <v>0</v>
      </c>
      <c r="H9" s="56"/>
      <c r="I9" s="57"/>
      <c r="J9" s="20"/>
      <c r="K9" s="7">
        <f t="shared" si="2"/>
        <v>1998</v>
      </c>
      <c r="L9" s="56">
        <v>1998</v>
      </c>
      <c r="M9" s="57"/>
      <c r="N9" s="23"/>
      <c r="O9" s="26" t="s">
        <v>45</v>
      </c>
      <c r="P9" s="7">
        <f t="shared" si="3"/>
        <v>1998</v>
      </c>
      <c r="Q9" s="56">
        <v>1998</v>
      </c>
      <c r="R9" s="57"/>
      <c r="S9" s="20"/>
      <c r="T9" s="7">
        <f t="shared" si="4"/>
        <v>0</v>
      </c>
      <c r="U9" s="56"/>
      <c r="V9" s="57"/>
      <c r="W9" s="20"/>
      <c r="X9" s="7">
        <f t="shared" si="5"/>
        <v>1798</v>
      </c>
      <c r="Y9" s="56">
        <v>1998</v>
      </c>
      <c r="Z9" s="57">
        <v>200</v>
      </c>
      <c r="AA9" s="23"/>
      <c r="AB9" s="26" t="s">
        <v>45</v>
      </c>
      <c r="AC9" s="7">
        <f t="shared" si="6"/>
        <v>1919</v>
      </c>
      <c r="AD9" s="56">
        <v>1919</v>
      </c>
      <c r="AE9" s="57"/>
      <c r="AF9" s="20"/>
      <c r="AG9" s="7">
        <f t="shared" si="7"/>
        <v>0</v>
      </c>
      <c r="AH9" s="56"/>
      <c r="AI9" s="57"/>
      <c r="AJ9" s="20"/>
      <c r="AK9" s="7">
        <f t="shared" si="8"/>
        <v>1919</v>
      </c>
      <c r="AL9" s="56">
        <v>2119</v>
      </c>
      <c r="AM9" s="57">
        <v>200</v>
      </c>
      <c r="AN9" s="23"/>
      <c r="AO9" s="26" t="s">
        <v>45</v>
      </c>
      <c r="AP9" s="7">
        <f t="shared" si="9"/>
        <v>1919</v>
      </c>
      <c r="AQ9" s="56">
        <v>1919</v>
      </c>
      <c r="AR9" s="57"/>
      <c r="AS9" s="20"/>
      <c r="AT9" s="7">
        <f t="shared" si="10"/>
        <v>0</v>
      </c>
      <c r="AU9" s="56"/>
      <c r="AV9" s="57"/>
      <c r="AW9" s="20"/>
      <c r="AX9" s="7">
        <f t="shared" si="11"/>
        <v>1919</v>
      </c>
      <c r="AY9" s="56">
        <v>2119</v>
      </c>
      <c r="AZ9" s="57">
        <v>200</v>
      </c>
      <c r="BA9" s="23"/>
      <c r="BB9" s="26" t="s">
        <v>45</v>
      </c>
      <c r="BC9" s="7">
        <f t="shared" si="12"/>
        <v>1699</v>
      </c>
      <c r="BD9" s="56">
        <v>1699</v>
      </c>
      <c r="BE9" s="57"/>
      <c r="BF9" s="20"/>
      <c r="BG9" s="7">
        <f t="shared" si="13"/>
        <v>0</v>
      </c>
      <c r="BH9" s="56"/>
      <c r="BI9" s="57"/>
      <c r="BJ9" s="20"/>
      <c r="BK9" s="7">
        <f t="shared" si="14"/>
        <v>0</v>
      </c>
      <c r="BL9" s="56"/>
      <c r="BM9" s="57"/>
      <c r="BN9" s="23"/>
      <c r="BO9" s="26" t="s">
        <v>45</v>
      </c>
      <c r="BP9" s="7">
        <f t="shared" si="15"/>
        <v>1799</v>
      </c>
      <c r="BQ9" s="56">
        <v>1799</v>
      </c>
      <c r="BR9" s="57"/>
      <c r="BS9" s="20"/>
      <c r="BT9" s="7">
        <f t="shared" si="16"/>
        <v>0</v>
      </c>
      <c r="BU9" s="56"/>
      <c r="BV9" s="57"/>
      <c r="BW9" s="20"/>
      <c r="BX9" s="7">
        <f t="shared" si="17"/>
        <v>0</v>
      </c>
      <c r="BY9" s="56"/>
      <c r="BZ9" s="57"/>
      <c r="CA9" s="23"/>
      <c r="CB9" s="26" t="s">
        <v>45</v>
      </c>
      <c r="CC9" s="7">
        <f t="shared" si="18"/>
        <v>1999</v>
      </c>
      <c r="CD9" s="56">
        <v>1999</v>
      </c>
      <c r="CE9" s="57"/>
      <c r="CF9" s="20"/>
      <c r="CG9" s="7">
        <f t="shared" si="19"/>
        <v>0</v>
      </c>
      <c r="CH9" s="56"/>
      <c r="CI9" s="57"/>
      <c r="CJ9" s="20"/>
      <c r="CK9" s="7">
        <f>CL9-CM9</f>
        <v>0</v>
      </c>
      <c r="CL9" s="56"/>
      <c r="CM9" s="57"/>
      <c r="CN9" s="23"/>
      <c r="CO9" s="26" t="s">
        <v>45</v>
      </c>
      <c r="CP9" s="7">
        <f t="shared" si="21"/>
        <v>1799</v>
      </c>
      <c r="CQ9" s="56">
        <v>1799</v>
      </c>
      <c r="CR9" s="57"/>
      <c r="CS9" s="20"/>
      <c r="CT9" s="7">
        <f t="shared" si="22"/>
        <v>0</v>
      </c>
      <c r="CU9" s="56"/>
      <c r="CV9" s="57"/>
      <c r="CW9" s="20"/>
      <c r="CX9" s="7">
        <f>CY9-CZ9</f>
        <v>0</v>
      </c>
      <c r="CY9" s="56"/>
      <c r="CZ9" s="57"/>
      <c r="DA9" s="23"/>
      <c r="DB9" s="26" t="s">
        <v>45</v>
      </c>
      <c r="DC9" s="7">
        <f t="shared" si="24"/>
        <v>1799</v>
      </c>
      <c r="DD9" s="56">
        <v>1799</v>
      </c>
      <c r="DE9" s="57"/>
      <c r="DF9" s="20"/>
      <c r="DG9" s="7">
        <f t="shared" si="25"/>
        <v>0</v>
      </c>
      <c r="DH9" s="56"/>
      <c r="DI9" s="57"/>
      <c r="DJ9" s="20"/>
      <c r="DK9" s="7">
        <f>DL9-DM9</f>
        <v>0</v>
      </c>
      <c r="DL9" s="56"/>
      <c r="DM9" s="57"/>
      <c r="DN9" s="23"/>
      <c r="DO9" s="26" t="s">
        <v>45</v>
      </c>
      <c r="DP9" s="7">
        <f t="shared" si="27"/>
        <v>0</v>
      </c>
      <c r="DQ9" s="56"/>
      <c r="DR9" s="57"/>
      <c r="DS9" s="20"/>
      <c r="DT9" s="7">
        <f t="shared" si="28"/>
        <v>0</v>
      </c>
      <c r="DU9" s="56"/>
      <c r="DV9" s="57"/>
      <c r="DW9" s="20"/>
      <c r="DX9" s="7">
        <f>DY9-DZ9</f>
        <v>0</v>
      </c>
      <c r="DY9" s="56"/>
      <c r="DZ9" s="57"/>
      <c r="EA9" s="23"/>
      <c r="EB9" s="26" t="s">
        <v>45</v>
      </c>
      <c r="EC9" s="7">
        <f t="shared" si="30"/>
        <v>0</v>
      </c>
      <c r="ED9" s="56"/>
      <c r="EE9" s="57"/>
      <c r="EF9" s="20"/>
      <c r="EG9" s="7">
        <f t="shared" si="31"/>
        <v>0</v>
      </c>
      <c r="EH9" s="56"/>
      <c r="EI9" s="57"/>
      <c r="EJ9" s="20"/>
      <c r="EK9" s="7">
        <f>EL9-EM9</f>
        <v>0</v>
      </c>
      <c r="EL9" s="56"/>
      <c r="EM9" s="57"/>
      <c r="EN9" s="23"/>
    </row>
    <row r="10" spans="2:144" outlineLevel="1" x14ac:dyDescent="0.3">
      <c r="B10" s="26"/>
      <c r="C10" s="7"/>
      <c r="D10" s="56"/>
      <c r="E10" s="57"/>
      <c r="F10" s="20"/>
      <c r="G10" s="7"/>
      <c r="H10" s="56"/>
      <c r="I10" s="57"/>
      <c r="J10" s="20"/>
      <c r="K10" s="7"/>
      <c r="L10" s="56"/>
      <c r="M10" s="57"/>
      <c r="N10" s="23"/>
      <c r="O10" s="26"/>
      <c r="P10" s="7"/>
      <c r="Q10" s="56"/>
      <c r="R10" s="57"/>
      <c r="S10" s="20"/>
      <c r="T10" s="7"/>
      <c r="U10" s="56"/>
      <c r="V10" s="57"/>
      <c r="W10" s="20"/>
      <c r="X10" s="7"/>
      <c r="Y10" s="56"/>
      <c r="Z10" s="57"/>
      <c r="AA10" s="23"/>
      <c r="AB10" s="26"/>
      <c r="AC10" s="7"/>
      <c r="AD10" s="56"/>
      <c r="AE10" s="57"/>
      <c r="AF10" s="20"/>
      <c r="AG10" s="7"/>
      <c r="AH10" s="56"/>
      <c r="AI10" s="57"/>
      <c r="AJ10" s="20"/>
      <c r="AK10" s="7"/>
      <c r="AL10" s="56"/>
      <c r="AM10" s="57"/>
      <c r="AN10" s="23"/>
      <c r="AO10" s="26"/>
      <c r="AP10" s="7"/>
      <c r="AQ10" s="56"/>
      <c r="AR10" s="57"/>
      <c r="AS10" s="20"/>
      <c r="AT10" s="7"/>
      <c r="AU10" s="56"/>
      <c r="AV10" s="57"/>
      <c r="AW10" s="20"/>
      <c r="AX10" s="7"/>
      <c r="AY10" s="56"/>
      <c r="AZ10" s="57"/>
      <c r="BA10" s="23"/>
      <c r="BB10" s="26"/>
      <c r="BC10" s="7"/>
      <c r="BD10" s="56"/>
      <c r="BE10" s="57"/>
      <c r="BF10" s="20"/>
      <c r="BG10" s="7"/>
      <c r="BH10" s="56"/>
      <c r="BI10" s="57"/>
      <c r="BJ10" s="20"/>
      <c r="BK10" s="7"/>
      <c r="BL10" s="56"/>
      <c r="BM10" s="57"/>
      <c r="BN10" s="23"/>
      <c r="BO10" s="26"/>
      <c r="BP10" s="7"/>
      <c r="BQ10" s="56"/>
      <c r="BR10" s="57"/>
      <c r="BS10" s="20"/>
      <c r="BT10" s="7"/>
      <c r="BU10" s="56"/>
      <c r="BV10" s="57"/>
      <c r="BW10" s="20"/>
      <c r="BX10" s="7"/>
      <c r="BY10" s="56"/>
      <c r="BZ10" s="57"/>
      <c r="CA10" s="23"/>
      <c r="CB10" s="26"/>
      <c r="CC10" s="7"/>
      <c r="CD10" s="56"/>
      <c r="CE10" s="57"/>
      <c r="CF10" s="20"/>
      <c r="CG10" s="7"/>
      <c r="CH10" s="56"/>
      <c r="CI10" s="57"/>
      <c r="CJ10" s="20"/>
      <c r="CK10" s="7"/>
      <c r="CL10" s="56"/>
      <c r="CM10" s="57"/>
      <c r="CN10" s="23"/>
      <c r="CO10" s="26"/>
      <c r="CP10" s="7"/>
      <c r="CQ10" s="56"/>
      <c r="CR10" s="57"/>
      <c r="CS10" s="20"/>
      <c r="CT10" s="7"/>
      <c r="CU10" s="56"/>
      <c r="CV10" s="57"/>
      <c r="CW10" s="20"/>
      <c r="CX10" s="7"/>
      <c r="CY10" s="56"/>
      <c r="CZ10" s="57"/>
      <c r="DA10" s="23"/>
      <c r="DB10" s="26"/>
      <c r="DC10" s="7"/>
      <c r="DD10" s="56"/>
      <c r="DE10" s="57"/>
      <c r="DF10" s="20"/>
      <c r="DG10" s="7"/>
      <c r="DH10" s="56"/>
      <c r="DI10" s="57"/>
      <c r="DJ10" s="20"/>
      <c r="DK10" s="7"/>
      <c r="DL10" s="56"/>
      <c r="DM10" s="57"/>
      <c r="DN10" s="23"/>
      <c r="DO10" s="26"/>
      <c r="DP10" s="7"/>
      <c r="DQ10" s="56"/>
      <c r="DR10" s="57"/>
      <c r="DS10" s="20"/>
      <c r="DT10" s="7"/>
      <c r="DU10" s="56"/>
      <c r="DV10" s="57"/>
      <c r="DW10" s="20"/>
      <c r="DX10" s="7"/>
      <c r="DY10" s="56"/>
      <c r="DZ10" s="57"/>
      <c r="EA10" s="23"/>
      <c r="EB10" s="26"/>
      <c r="EC10" s="7"/>
      <c r="ED10" s="56"/>
      <c r="EE10" s="57"/>
      <c r="EF10" s="20"/>
      <c r="EG10" s="7"/>
      <c r="EH10" s="56"/>
      <c r="EI10" s="57"/>
      <c r="EJ10" s="20"/>
      <c r="EK10" s="7"/>
      <c r="EL10" s="56"/>
      <c r="EM10" s="57"/>
      <c r="EN10" s="23"/>
    </row>
    <row r="11" spans="2:144" outlineLevel="1" x14ac:dyDescent="0.3">
      <c r="B11" s="26" t="s">
        <v>50</v>
      </c>
      <c r="C11" s="7">
        <f t="shared" ref="C11:C16" si="33">D11-E11</f>
        <v>2499</v>
      </c>
      <c r="D11" s="56">
        <v>2499</v>
      </c>
      <c r="E11" s="57"/>
      <c r="F11" s="20">
        <f t="shared" ref="F11:F16" si="34">IFERROR(C11/C29*100,"")</f>
        <v>98.813760379596687</v>
      </c>
      <c r="G11" s="7">
        <f t="shared" ref="G11:G16" si="35">H11-I11</f>
        <v>2499</v>
      </c>
      <c r="H11" s="56">
        <v>2499</v>
      </c>
      <c r="I11" s="57"/>
      <c r="J11" s="20">
        <f t="shared" ref="J11:J16" si="36">IFERROR(G11/G29*100,"")</f>
        <v>89.281886387995712</v>
      </c>
      <c r="K11" s="7">
        <f t="shared" ref="K11:K16" si="37">L11-M11</f>
        <v>2499</v>
      </c>
      <c r="L11" s="56">
        <v>2499</v>
      </c>
      <c r="M11" s="57"/>
      <c r="N11" s="23">
        <f t="shared" ref="N11:N16" si="38">IFERROR(K11/K29*100,"")</f>
        <v>104.16840350145895</v>
      </c>
      <c r="O11" s="26" t="s">
        <v>50</v>
      </c>
      <c r="P11" s="7">
        <f t="shared" ref="P11:P16" si="39">Q11-R11</f>
        <v>2499</v>
      </c>
      <c r="Q11" s="56">
        <v>2499</v>
      </c>
      <c r="R11" s="57"/>
      <c r="S11" s="20">
        <f t="shared" ref="S11:S16" si="40">IFERROR(P11/P29*100,"")</f>
        <v>98.813760379596687</v>
      </c>
      <c r="T11" s="7">
        <f t="shared" ref="T11:T16" si="41">U11-V11</f>
        <v>2499</v>
      </c>
      <c r="U11" s="56">
        <v>2499</v>
      </c>
      <c r="V11" s="57"/>
      <c r="W11" s="20" t="str">
        <f t="shared" ref="W11:W15" si="42">IFERROR(T11/T29*100,"")</f>
        <v/>
      </c>
      <c r="X11" s="7">
        <f t="shared" ref="X11:X16" si="43">Y11-Z11</f>
        <v>2499</v>
      </c>
      <c r="Y11" s="56">
        <v>2499</v>
      </c>
      <c r="Z11" s="57"/>
      <c r="AA11" s="23">
        <f t="shared" ref="AA11:AA16" si="44">IFERROR(X11/X29*100,"")</f>
        <v>104.16840350145895</v>
      </c>
      <c r="AB11" s="26" t="s">
        <v>50</v>
      </c>
      <c r="AC11" s="7">
        <f t="shared" ref="AC11:AC16" si="45">AD11-AE11</f>
        <v>2399</v>
      </c>
      <c r="AD11" s="56">
        <v>2399</v>
      </c>
      <c r="AE11" s="57"/>
      <c r="AF11" s="20">
        <f t="shared" ref="AF11:AF16" si="46">IFERROR(AC11/AC29*100,"")</f>
        <v>95.9983993597439</v>
      </c>
      <c r="AG11" s="7">
        <f t="shared" ref="AG11:AG16" si="47">AH11-AI11</f>
        <v>2399</v>
      </c>
      <c r="AH11" s="56">
        <v>2399</v>
      </c>
      <c r="AI11" s="57"/>
      <c r="AJ11" s="20" t="str">
        <f t="shared" ref="AJ11:AJ15" si="48">IFERROR(AG11/AG29*100,"")</f>
        <v/>
      </c>
      <c r="AK11" s="7">
        <f t="shared" ref="AK11:AK16" si="49">AL11-AM11</f>
        <v>2299</v>
      </c>
      <c r="AL11" s="56">
        <v>2299</v>
      </c>
      <c r="AM11" s="57"/>
      <c r="AN11" s="23">
        <f t="shared" ref="AN11:AN16" si="50">IFERROR(AK11/AK29*100,"")</f>
        <v>95.83159649854106</v>
      </c>
      <c r="AO11" s="26" t="s">
        <v>50</v>
      </c>
      <c r="AP11" s="7">
        <f>AQ11-AR11</f>
        <v>2399</v>
      </c>
      <c r="AQ11" s="56">
        <v>2399</v>
      </c>
      <c r="AR11" s="57"/>
      <c r="AS11" s="20">
        <f t="shared" ref="AS11:AS16" si="51">IFERROR(AP11/AP29*100,"")</f>
        <v>95.9983993597439</v>
      </c>
      <c r="AT11" s="7">
        <f t="shared" ref="AT11:AT16" si="52">AU11-AV11</f>
        <v>2399</v>
      </c>
      <c r="AU11" s="56">
        <v>2399</v>
      </c>
      <c r="AV11" s="57"/>
      <c r="AW11" s="20">
        <f t="shared" ref="AW11:AW15" si="53">IFERROR(AT11/AT29*100,"")</f>
        <v>100</v>
      </c>
      <c r="AX11" s="7">
        <f t="shared" ref="AX11:AX16" si="54">AY11-AZ11</f>
        <v>2299</v>
      </c>
      <c r="AY11" s="56">
        <v>2299</v>
      </c>
      <c r="AZ11" s="57"/>
      <c r="BA11" s="23">
        <f t="shared" ref="BA11:BA16" si="55">IFERROR(AX11/AX29*100,"")</f>
        <v>95.83159649854106</v>
      </c>
      <c r="BB11" s="26" t="s">
        <v>50</v>
      </c>
      <c r="BC11" s="7">
        <f>BD11-BE11</f>
        <v>2449</v>
      </c>
      <c r="BD11" s="56">
        <v>2449</v>
      </c>
      <c r="BE11" s="57"/>
      <c r="BF11" s="20">
        <f t="shared" ref="BF11:BF16" si="56">IFERROR(BC11/BC29*100,"")</f>
        <v>96.076892899176144</v>
      </c>
      <c r="BG11" s="7">
        <f t="shared" ref="BG11:BG16" si="57">BH11-BI11</f>
        <v>2399</v>
      </c>
      <c r="BH11" s="56">
        <v>2399</v>
      </c>
      <c r="BI11" s="57"/>
      <c r="BJ11" s="20">
        <f t="shared" ref="BJ11:BJ15" si="58">IFERROR(BG11/BG29*100,"")</f>
        <v>95.9983993597439</v>
      </c>
      <c r="BK11" s="7">
        <f t="shared" ref="BK11:BK16" si="59">BL11-BM11</f>
        <v>2299</v>
      </c>
      <c r="BL11" s="56">
        <v>2299</v>
      </c>
      <c r="BM11" s="57"/>
      <c r="BN11" s="23">
        <f t="shared" ref="BN11:BN16" si="60">IFERROR(BK11/BK29*100,"")</f>
        <v>95.83159649854106</v>
      </c>
      <c r="BO11" s="26" t="s">
        <v>50</v>
      </c>
      <c r="BP11" s="7">
        <f>BQ11-BR11</f>
        <v>2279</v>
      </c>
      <c r="BQ11" s="56">
        <v>2279</v>
      </c>
      <c r="BR11" s="57"/>
      <c r="BS11" s="20">
        <f t="shared" ref="BS11:BS16" si="61">IFERROR(BP11/BP29*100,"")</f>
        <v>89.407610827775599</v>
      </c>
      <c r="BT11" s="7">
        <f t="shared" ref="BT11:BT16" si="62">BU11-BV11</f>
        <v>2299</v>
      </c>
      <c r="BU11" s="56">
        <v>2299</v>
      </c>
      <c r="BV11" s="57"/>
      <c r="BW11" s="20">
        <f t="shared" ref="BW11:BW15" si="63">IFERROR(BT11/BT29*100,"")</f>
        <v>91.996798719487799</v>
      </c>
      <c r="BX11" s="7">
        <f t="shared" ref="BX11:BX16" si="64">BY11-BZ11</f>
        <v>2299</v>
      </c>
      <c r="BY11" s="56">
        <v>2299</v>
      </c>
      <c r="BZ11" s="57"/>
      <c r="CA11" s="23">
        <f t="shared" ref="CA11:CA16" si="65">IFERROR(BX11/BX29*100,"")</f>
        <v>95.83159649854106</v>
      </c>
      <c r="CB11" s="26" t="s">
        <v>50</v>
      </c>
      <c r="CC11" s="7">
        <f>CD11-CE11</f>
        <v>2279</v>
      </c>
      <c r="CD11" s="56">
        <v>2279</v>
      </c>
      <c r="CE11" s="57"/>
      <c r="CF11" s="20">
        <f t="shared" ref="CF11:CF16" si="66">IFERROR(CC11/CC29*100,"")</f>
        <v>95.796553173602348</v>
      </c>
      <c r="CG11" s="7">
        <f t="shared" ref="CG11:CG16" si="67">CH11-CI11</f>
        <v>2299</v>
      </c>
      <c r="CH11" s="56">
        <v>2299</v>
      </c>
      <c r="CI11" s="57"/>
      <c r="CJ11" s="20">
        <f t="shared" ref="CJ11:CJ15" si="68">IFERROR(CG11/CG29*100,"")</f>
        <v>91.996798719487799</v>
      </c>
      <c r="CK11" s="7">
        <f t="shared" ref="CK11:CK16" si="69">CL11-CM11</f>
        <v>0</v>
      </c>
      <c r="CL11" s="56"/>
      <c r="CM11" s="57"/>
      <c r="CN11" s="23">
        <f t="shared" ref="CN11:CN16" si="70">IFERROR(CK11/CK29*100,"")</f>
        <v>0</v>
      </c>
      <c r="CO11" s="26" t="s">
        <v>50</v>
      </c>
      <c r="CP11" s="7">
        <f>CQ11-CR11</f>
        <v>2279</v>
      </c>
      <c r="CQ11" s="56">
        <v>2279</v>
      </c>
      <c r="CR11" s="57"/>
      <c r="CS11" s="20">
        <f t="shared" ref="CS11:CS16" si="71">IFERROR(CP11/CP29*100,"")</f>
        <v>91.9322307382009</v>
      </c>
      <c r="CT11" s="7">
        <f t="shared" ref="CT11:CT16" si="72">CU11-CV11</f>
        <v>2299</v>
      </c>
      <c r="CU11" s="56">
        <v>2299</v>
      </c>
      <c r="CV11" s="57"/>
      <c r="CW11" s="20">
        <f t="shared" ref="CW11:CW15" si="73">IFERROR(CT11/CT29*100,"")</f>
        <v>100</v>
      </c>
      <c r="CX11" s="7">
        <f t="shared" ref="CX11" si="74">CY11-CZ11</f>
        <v>0</v>
      </c>
      <c r="CY11" s="56"/>
      <c r="CZ11" s="57"/>
      <c r="DA11" s="23">
        <f t="shared" ref="DA11:DA16" si="75">IFERROR(CX11/CX29*100,"")</f>
        <v>0</v>
      </c>
      <c r="DB11" s="26" t="s">
        <v>50</v>
      </c>
      <c r="DC11" s="7">
        <f>DD11-DE11</f>
        <v>2349</v>
      </c>
      <c r="DD11" s="56">
        <v>2349</v>
      </c>
      <c r="DE11" s="57"/>
      <c r="DF11" s="20">
        <f t="shared" ref="DF11:DF16" si="76">IFERROR(DC11/DC29*100,"")</f>
        <v>94.755949979830575</v>
      </c>
      <c r="DG11" s="7">
        <f t="shared" ref="DG11:DG16" si="77">DH11-DI11</f>
        <v>2299</v>
      </c>
      <c r="DH11" s="56">
        <v>2299</v>
      </c>
      <c r="DI11" s="57"/>
      <c r="DJ11" s="20">
        <f t="shared" ref="DJ11:DJ15" si="78">IFERROR(DG11/DG29*100,"")</f>
        <v>100</v>
      </c>
      <c r="DK11" s="7">
        <f t="shared" ref="DK11" si="79">DL11-DM11</f>
        <v>0</v>
      </c>
      <c r="DL11" s="56"/>
      <c r="DM11" s="57"/>
      <c r="DN11" s="23">
        <f t="shared" ref="DN11:DN16" si="80">IFERROR(DK11/DK29*100,"")</f>
        <v>0</v>
      </c>
      <c r="DO11" s="26" t="s">
        <v>50</v>
      </c>
      <c r="DP11" s="7">
        <f>DQ11-DR11</f>
        <v>2249</v>
      </c>
      <c r="DQ11" s="56">
        <v>2249</v>
      </c>
      <c r="DR11" s="57"/>
      <c r="DS11" s="20">
        <f t="shared" ref="DS11:DS16" si="81">IFERROR(DP11/DP29*100,"")</f>
        <v>90.722065348931025</v>
      </c>
      <c r="DT11" s="7">
        <f t="shared" ref="DT11:DT16" si="82">DU11-DV11</f>
        <v>2299</v>
      </c>
      <c r="DU11" s="56">
        <v>2299</v>
      </c>
      <c r="DV11" s="57"/>
      <c r="DW11" s="20">
        <f t="shared" ref="DW11:DW15" si="83">IFERROR(DT11/DT29*100,"")</f>
        <v>100</v>
      </c>
      <c r="DX11" s="7">
        <f t="shared" ref="DX11" si="84">DY11-DZ11</f>
        <v>0</v>
      </c>
      <c r="DY11" s="56"/>
      <c r="DZ11" s="57"/>
      <c r="EA11" s="23">
        <f t="shared" ref="EA11:EA16" si="85">IFERROR(DX11/DX29*100,"")</f>
        <v>0</v>
      </c>
      <c r="EB11" s="26" t="s">
        <v>50</v>
      </c>
      <c r="EC11" s="7">
        <f>ED11-EE11</f>
        <v>2249</v>
      </c>
      <c r="ED11" s="56">
        <v>2249</v>
      </c>
      <c r="EE11" s="57"/>
      <c r="EF11" s="20">
        <f t="shared" ref="EF11:EF16" si="86">IFERROR(EC11/EC29*100,"")</f>
        <v>90.722065348931025</v>
      </c>
      <c r="EG11" s="7">
        <f t="shared" ref="EG11:EG16" si="87">EH11-EI11</f>
        <v>2299</v>
      </c>
      <c r="EH11" s="56">
        <v>2299</v>
      </c>
      <c r="EI11" s="57"/>
      <c r="EJ11" s="20">
        <f t="shared" ref="EJ11:EJ15" si="88">IFERROR(EG11/EG29*100,"")</f>
        <v>100</v>
      </c>
      <c r="EK11" s="7">
        <f t="shared" ref="EK11" si="89">EL11-EM11</f>
        <v>0</v>
      </c>
      <c r="EL11" s="56"/>
      <c r="EM11" s="57"/>
      <c r="EN11" s="23">
        <f t="shared" ref="EN11:EN16" si="90">IFERROR(EK11/EK29*100,"")</f>
        <v>0</v>
      </c>
    </row>
    <row r="12" spans="2:144" outlineLevel="1" x14ac:dyDescent="0.3">
      <c r="B12" s="26" t="s">
        <v>51</v>
      </c>
      <c r="C12" s="7">
        <f t="shared" si="33"/>
        <v>1999</v>
      </c>
      <c r="D12" s="56">
        <v>1999</v>
      </c>
      <c r="E12" s="57"/>
      <c r="F12" s="20">
        <f t="shared" si="34"/>
        <v>100</v>
      </c>
      <c r="G12" s="7">
        <f t="shared" si="35"/>
        <v>1999</v>
      </c>
      <c r="H12" s="56">
        <v>1999</v>
      </c>
      <c r="I12" s="57"/>
      <c r="J12" s="20">
        <f t="shared" si="36"/>
        <v>86.950848194867334</v>
      </c>
      <c r="K12" s="7">
        <f t="shared" si="37"/>
        <v>1999</v>
      </c>
      <c r="L12" s="56">
        <v>1999</v>
      </c>
      <c r="M12" s="57"/>
      <c r="N12" s="23">
        <f t="shared" si="38"/>
        <v>89.400715563506267</v>
      </c>
      <c r="O12" s="26" t="s">
        <v>51</v>
      </c>
      <c r="P12" s="7">
        <f t="shared" si="39"/>
        <v>1999</v>
      </c>
      <c r="Q12" s="56">
        <v>1999</v>
      </c>
      <c r="R12" s="57"/>
      <c r="S12" s="20">
        <f t="shared" si="40"/>
        <v>106.3863757317722</v>
      </c>
      <c r="T12" s="7">
        <f t="shared" si="41"/>
        <v>1949</v>
      </c>
      <c r="U12" s="56">
        <v>1949</v>
      </c>
      <c r="V12" s="57"/>
      <c r="W12" s="20">
        <f t="shared" si="42"/>
        <v>100</v>
      </c>
      <c r="X12" s="7">
        <f t="shared" si="43"/>
        <v>1999</v>
      </c>
      <c r="Y12" s="56">
        <v>1999</v>
      </c>
      <c r="Z12" s="57"/>
      <c r="AA12" s="23">
        <f t="shared" si="44"/>
        <v>105.26592943654556</v>
      </c>
      <c r="AB12" s="26" t="s">
        <v>51</v>
      </c>
      <c r="AC12" s="7">
        <f t="shared" si="45"/>
        <v>1939</v>
      </c>
      <c r="AD12" s="56">
        <v>1939</v>
      </c>
      <c r="AE12" s="57"/>
      <c r="AF12" s="20">
        <f t="shared" si="46"/>
        <v>103.19318786588612</v>
      </c>
      <c r="AG12" s="7">
        <f t="shared" si="47"/>
        <v>1899</v>
      </c>
      <c r="AH12" s="56">
        <v>1899</v>
      </c>
      <c r="AI12" s="57"/>
      <c r="AJ12" s="20">
        <f t="shared" si="48"/>
        <v>100</v>
      </c>
      <c r="AK12" s="7">
        <f t="shared" si="49"/>
        <v>2079</v>
      </c>
      <c r="AL12" s="56">
        <v>2079</v>
      </c>
      <c r="AM12" s="57"/>
      <c r="AN12" s="23">
        <f t="shared" si="50"/>
        <v>109.478672985782</v>
      </c>
      <c r="AO12" s="26" t="s">
        <v>51</v>
      </c>
      <c r="AP12" s="7">
        <f>AQ12-AR12</f>
        <v>1939</v>
      </c>
      <c r="AQ12" s="56">
        <v>1939</v>
      </c>
      <c r="AR12" s="57"/>
      <c r="AS12" s="20">
        <f t="shared" si="51"/>
        <v>103.19318786588612</v>
      </c>
      <c r="AT12" s="7">
        <f t="shared" si="52"/>
        <v>1899</v>
      </c>
      <c r="AU12" s="56">
        <v>1899</v>
      </c>
      <c r="AV12" s="57"/>
      <c r="AW12" s="20">
        <f t="shared" si="53"/>
        <v>100</v>
      </c>
      <c r="AX12" s="7">
        <f t="shared" si="54"/>
        <v>1949</v>
      </c>
      <c r="AY12" s="56">
        <v>1949</v>
      </c>
      <c r="AZ12" s="57"/>
      <c r="BA12" s="23">
        <f t="shared" si="55"/>
        <v>100</v>
      </c>
      <c r="BB12" s="26" t="s">
        <v>51</v>
      </c>
      <c r="BC12" s="7">
        <f>BD12-BE12</f>
        <v>1899</v>
      </c>
      <c r="BD12" s="56">
        <v>1899</v>
      </c>
      <c r="BE12" s="57"/>
      <c r="BF12" s="20">
        <f t="shared" si="56"/>
        <v>99.11273486430062</v>
      </c>
      <c r="BG12" s="7">
        <f t="shared" si="57"/>
        <v>1899</v>
      </c>
      <c r="BH12" s="56">
        <v>1899</v>
      </c>
      <c r="BI12" s="57"/>
      <c r="BJ12" s="20">
        <f t="shared" si="58"/>
        <v>101.06439595529537</v>
      </c>
      <c r="BK12" s="7">
        <f t="shared" si="59"/>
        <v>1899</v>
      </c>
      <c r="BL12" s="56">
        <v>1899</v>
      </c>
      <c r="BM12" s="57"/>
      <c r="BN12" s="23">
        <f t="shared" si="60"/>
        <v>101.06439595529537</v>
      </c>
      <c r="BO12" s="26" t="s">
        <v>51</v>
      </c>
      <c r="BP12" s="7">
        <f>BQ12-BR12</f>
        <v>1879</v>
      </c>
      <c r="BQ12" s="56">
        <v>1879</v>
      </c>
      <c r="BR12" s="57"/>
      <c r="BS12" s="20">
        <f t="shared" si="61"/>
        <v>98.068893528183722</v>
      </c>
      <c r="BT12" s="7">
        <f t="shared" si="62"/>
        <v>1899</v>
      </c>
      <c r="BU12" s="56">
        <v>1899</v>
      </c>
      <c r="BV12" s="57"/>
      <c r="BW12" s="20">
        <f t="shared" si="63"/>
        <v>101.06439595529537</v>
      </c>
      <c r="BX12" s="7">
        <f t="shared" si="64"/>
        <v>1899</v>
      </c>
      <c r="BY12" s="56">
        <v>1899</v>
      </c>
      <c r="BZ12" s="57"/>
      <c r="CA12" s="23">
        <f t="shared" si="65"/>
        <v>101.06439595529537</v>
      </c>
      <c r="CB12" s="26" t="s">
        <v>51</v>
      </c>
      <c r="CC12" s="7">
        <f>CD12-CE12</f>
        <v>1879</v>
      </c>
      <c r="CD12" s="56">
        <v>1879</v>
      </c>
      <c r="CE12" s="57"/>
      <c r="CF12" s="20">
        <f t="shared" si="66"/>
        <v>100.53504547886571</v>
      </c>
      <c r="CG12" s="7">
        <f t="shared" si="67"/>
        <v>1899</v>
      </c>
      <c r="CH12" s="56">
        <v>1899</v>
      </c>
      <c r="CI12" s="57"/>
      <c r="CJ12" s="20">
        <f t="shared" si="68"/>
        <v>101.06439595529537</v>
      </c>
      <c r="CK12" s="7">
        <f>CL12-CM12</f>
        <v>2079</v>
      </c>
      <c r="CL12" s="56">
        <v>2079</v>
      </c>
      <c r="CM12" s="57"/>
      <c r="CN12" s="23">
        <f t="shared" si="70"/>
        <v>110.6439595529537</v>
      </c>
      <c r="CO12" s="26" t="s">
        <v>51</v>
      </c>
      <c r="CP12" s="7">
        <f>CQ12-CR12</f>
        <v>1879</v>
      </c>
      <c r="CQ12" s="56">
        <v>1879</v>
      </c>
      <c r="CR12" s="57"/>
      <c r="CS12" s="20">
        <f t="shared" si="71"/>
        <v>100.53504547886571</v>
      </c>
      <c r="CT12" s="7">
        <f t="shared" si="72"/>
        <v>1899</v>
      </c>
      <c r="CU12" s="56">
        <v>1899</v>
      </c>
      <c r="CV12" s="57"/>
      <c r="CW12" s="20">
        <f t="shared" si="73"/>
        <v>100</v>
      </c>
      <c r="CX12" s="7">
        <f>CY12-CZ12</f>
        <v>1975</v>
      </c>
      <c r="CY12" s="56">
        <v>1975</v>
      </c>
      <c r="CZ12" s="57"/>
      <c r="DA12" s="23">
        <f t="shared" si="75"/>
        <v>101.33401744484351</v>
      </c>
      <c r="DB12" s="26" t="s">
        <v>51</v>
      </c>
      <c r="DC12" s="7">
        <f>DD12-DE12</f>
        <v>1999</v>
      </c>
      <c r="DD12" s="56">
        <v>1999</v>
      </c>
      <c r="DE12" s="57"/>
      <c r="DF12" s="20">
        <f t="shared" si="76"/>
        <v>106.95559122525415</v>
      </c>
      <c r="DG12" s="7">
        <f t="shared" si="77"/>
        <v>1899</v>
      </c>
      <c r="DH12" s="56">
        <v>1899</v>
      </c>
      <c r="DI12" s="57"/>
      <c r="DJ12" s="20">
        <f t="shared" si="78"/>
        <v>100</v>
      </c>
      <c r="DK12" s="7">
        <f>DL12-DM12</f>
        <v>1899</v>
      </c>
      <c r="DL12" s="56">
        <v>1899</v>
      </c>
      <c r="DM12" s="57"/>
      <c r="DN12" s="23">
        <f t="shared" si="80"/>
        <v>97.434581836839413</v>
      </c>
      <c r="DO12" s="26" t="s">
        <v>51</v>
      </c>
      <c r="DP12" s="7">
        <f>DQ12-DR12</f>
        <v>1879</v>
      </c>
      <c r="DQ12" s="56">
        <v>1879</v>
      </c>
      <c r="DR12" s="57"/>
      <c r="DS12" s="20">
        <f t="shared" si="81"/>
        <v>100.53504547886571</v>
      </c>
      <c r="DT12" s="7">
        <f t="shared" si="82"/>
        <v>1899</v>
      </c>
      <c r="DU12" s="56">
        <v>1899</v>
      </c>
      <c r="DV12" s="57"/>
      <c r="DW12" s="20">
        <f t="shared" si="83"/>
        <v>102.70416441319632</v>
      </c>
      <c r="DX12" s="7">
        <f>DY12-DZ12</f>
        <v>1889</v>
      </c>
      <c r="DY12" s="56">
        <v>1889</v>
      </c>
      <c r="DZ12" s="57"/>
      <c r="EA12" s="23">
        <f t="shared" si="85"/>
        <v>99.473407056345437</v>
      </c>
      <c r="EB12" s="26" t="s">
        <v>51</v>
      </c>
      <c r="EC12" s="7">
        <f>ED12-EE12</f>
        <v>1879</v>
      </c>
      <c r="ED12" s="56">
        <v>1879</v>
      </c>
      <c r="EE12" s="57"/>
      <c r="EF12" s="20">
        <f t="shared" si="86"/>
        <v>100.53504547886571</v>
      </c>
      <c r="EG12" s="7">
        <f t="shared" si="87"/>
        <v>1899</v>
      </c>
      <c r="EH12" s="56">
        <v>1899</v>
      </c>
      <c r="EI12" s="57"/>
      <c r="EJ12" s="20">
        <f t="shared" si="88"/>
        <v>102.70416441319632</v>
      </c>
      <c r="EK12" s="7">
        <f>EL12-EM12</f>
        <v>1889</v>
      </c>
      <c r="EL12" s="56">
        <v>1889</v>
      </c>
      <c r="EM12" s="57"/>
      <c r="EN12" s="23">
        <f t="shared" si="90"/>
        <v>99.473407056345437</v>
      </c>
    </row>
    <row r="13" spans="2:144" outlineLevel="1" x14ac:dyDescent="0.3">
      <c r="B13" s="26" t="s">
        <v>52</v>
      </c>
      <c r="C13" s="7">
        <f t="shared" si="33"/>
        <v>1279</v>
      </c>
      <c r="D13" s="56">
        <v>1279</v>
      </c>
      <c r="E13" s="57"/>
      <c r="F13" s="20">
        <f t="shared" si="34"/>
        <v>95.519044062733386</v>
      </c>
      <c r="G13" s="7">
        <f t="shared" si="35"/>
        <v>1399</v>
      </c>
      <c r="H13" s="56">
        <v>1399</v>
      </c>
      <c r="I13" s="57"/>
      <c r="J13" s="20">
        <f t="shared" si="36"/>
        <v>93.328885923949301</v>
      </c>
      <c r="K13" s="7">
        <f t="shared" si="37"/>
        <v>1279</v>
      </c>
      <c r="L13" s="56">
        <v>1279</v>
      </c>
      <c r="M13" s="57"/>
      <c r="N13" s="23">
        <f t="shared" si="38"/>
        <v>82.998053212199878</v>
      </c>
      <c r="O13" s="26" t="s">
        <v>52</v>
      </c>
      <c r="P13" s="7">
        <f t="shared" si="39"/>
        <v>1379</v>
      </c>
      <c r="Q13" s="56">
        <v>1379</v>
      </c>
      <c r="R13" s="57"/>
      <c r="S13" s="20">
        <f t="shared" si="40"/>
        <v>102.98730395817775</v>
      </c>
      <c r="T13" s="7">
        <f t="shared" si="41"/>
        <v>1369</v>
      </c>
      <c r="U13" s="56">
        <v>1369</v>
      </c>
      <c r="V13" s="57"/>
      <c r="W13" s="20">
        <f t="shared" si="42"/>
        <v>105.38876058506543</v>
      </c>
      <c r="X13" s="7">
        <f t="shared" si="43"/>
        <v>1379</v>
      </c>
      <c r="Y13" s="56">
        <v>1379</v>
      </c>
      <c r="Z13" s="57"/>
      <c r="AA13" s="23">
        <f t="shared" si="44"/>
        <v>89.72023422251138</v>
      </c>
      <c r="AB13" s="26" t="s">
        <v>52</v>
      </c>
      <c r="AC13" s="7">
        <f t="shared" si="45"/>
        <v>1349</v>
      </c>
      <c r="AD13" s="56">
        <v>1349</v>
      </c>
      <c r="AE13" s="57"/>
      <c r="AF13" s="20">
        <f t="shared" si="46"/>
        <v>107.14853057982525</v>
      </c>
      <c r="AG13" s="7">
        <f t="shared" si="47"/>
        <v>1299</v>
      </c>
      <c r="AH13" s="56">
        <v>1299</v>
      </c>
      <c r="AI13" s="57"/>
      <c r="AJ13" s="20">
        <f t="shared" si="48"/>
        <v>101.56372165754495</v>
      </c>
      <c r="AK13" s="7">
        <f t="shared" si="49"/>
        <v>1339</v>
      </c>
      <c r="AL13" s="56">
        <v>1339</v>
      </c>
      <c r="AM13" s="57"/>
      <c r="AN13" s="23">
        <f t="shared" si="50"/>
        <v>106.35424940428912</v>
      </c>
      <c r="AO13" s="26" t="s">
        <v>52</v>
      </c>
      <c r="AP13" s="7">
        <f>AQ13-AR13</f>
        <v>1335</v>
      </c>
      <c r="AQ13" s="56">
        <v>1335</v>
      </c>
      <c r="AR13" s="57"/>
      <c r="AS13" s="20">
        <f t="shared" si="51"/>
        <v>106.03653693407466</v>
      </c>
      <c r="AT13" s="7">
        <f t="shared" si="52"/>
        <v>1299</v>
      </c>
      <c r="AU13" s="56">
        <v>1299</v>
      </c>
      <c r="AV13" s="57"/>
      <c r="AW13" s="20">
        <f t="shared" si="53"/>
        <v>101.56372165754495</v>
      </c>
      <c r="AX13" s="7">
        <f t="shared" si="54"/>
        <v>1339</v>
      </c>
      <c r="AY13" s="56">
        <v>1339</v>
      </c>
      <c r="AZ13" s="57"/>
      <c r="BA13" s="23">
        <f t="shared" si="55"/>
        <v>100.75244544770506</v>
      </c>
      <c r="BB13" s="26" t="s">
        <v>52</v>
      </c>
      <c r="BC13" s="7">
        <f>BD13-BE13</f>
        <v>1299</v>
      </c>
      <c r="BD13" s="56">
        <v>1299</v>
      </c>
      <c r="BE13" s="57"/>
      <c r="BF13" s="20">
        <f t="shared" si="56"/>
        <v>102.36406619385343</v>
      </c>
      <c r="BG13" s="7">
        <f t="shared" si="57"/>
        <v>1279</v>
      </c>
      <c r="BH13" s="56">
        <v>1279</v>
      </c>
      <c r="BI13" s="57"/>
      <c r="BJ13" s="20">
        <f t="shared" si="58"/>
        <v>100</v>
      </c>
      <c r="BK13" s="7">
        <f t="shared" si="59"/>
        <v>1299</v>
      </c>
      <c r="BL13" s="56">
        <v>1299</v>
      </c>
      <c r="BM13" s="57"/>
      <c r="BN13" s="23">
        <f t="shared" si="60"/>
        <v>102.36406619385343</v>
      </c>
      <c r="BO13" s="26" t="s">
        <v>52</v>
      </c>
      <c r="BP13" s="7">
        <f>BQ13-BR13</f>
        <v>1279</v>
      </c>
      <c r="BQ13" s="56">
        <v>1279</v>
      </c>
      <c r="BR13" s="57"/>
      <c r="BS13" s="20">
        <f t="shared" si="61"/>
        <v>100.78802206461781</v>
      </c>
      <c r="BT13" s="7">
        <f t="shared" si="62"/>
        <v>1299</v>
      </c>
      <c r="BU13" s="56">
        <v>1299</v>
      </c>
      <c r="BV13" s="57"/>
      <c r="BW13" s="20">
        <f t="shared" si="63"/>
        <v>101.56372165754495</v>
      </c>
      <c r="BX13" s="7">
        <f t="shared" si="64"/>
        <v>1279</v>
      </c>
      <c r="BY13" s="56">
        <v>1279</v>
      </c>
      <c r="BZ13" s="57"/>
      <c r="CA13" s="23">
        <f t="shared" si="65"/>
        <v>100.78802206461781</v>
      </c>
      <c r="CB13" s="26" t="s">
        <v>52</v>
      </c>
      <c r="CC13" s="7">
        <f>CD13-CE13</f>
        <v>1279</v>
      </c>
      <c r="CD13" s="56">
        <v>1279</v>
      </c>
      <c r="CE13" s="57"/>
      <c r="CF13" s="20">
        <f t="shared" si="66"/>
        <v>100.78802206461781</v>
      </c>
      <c r="CG13" s="7">
        <f t="shared" si="67"/>
        <v>1299</v>
      </c>
      <c r="CH13" s="56">
        <v>1299</v>
      </c>
      <c r="CI13" s="57"/>
      <c r="CJ13" s="20">
        <f t="shared" si="68"/>
        <v>101.56372165754495</v>
      </c>
      <c r="CK13" s="7">
        <f>CL13-CM13</f>
        <v>1279</v>
      </c>
      <c r="CL13" s="56">
        <v>1279</v>
      </c>
      <c r="CM13" s="57"/>
      <c r="CN13" s="23">
        <f t="shared" si="70"/>
        <v>98.460354118552729</v>
      </c>
      <c r="CO13" s="26" t="s">
        <v>52</v>
      </c>
      <c r="CP13" s="7">
        <f>CQ13-CR13</f>
        <v>1269</v>
      </c>
      <c r="CQ13" s="56">
        <v>1269</v>
      </c>
      <c r="CR13" s="57"/>
      <c r="CS13" s="20">
        <f t="shared" si="71"/>
        <v>100</v>
      </c>
      <c r="CT13" s="7">
        <f t="shared" si="72"/>
        <v>1299</v>
      </c>
      <c r="CU13" s="56">
        <v>1299</v>
      </c>
      <c r="CV13" s="57"/>
      <c r="CW13" s="20">
        <f t="shared" si="73"/>
        <v>101.56372165754495</v>
      </c>
      <c r="CX13" s="7">
        <f>CY13-CZ13</f>
        <v>1281</v>
      </c>
      <c r="CY13" s="56">
        <v>1281</v>
      </c>
      <c r="CZ13" s="57"/>
      <c r="DA13" s="23">
        <f t="shared" si="75"/>
        <v>98.61431870669746</v>
      </c>
      <c r="DB13" s="26" t="s">
        <v>52</v>
      </c>
      <c r="DC13" s="7">
        <f>DD13-DE13</f>
        <v>1269</v>
      </c>
      <c r="DD13" s="56">
        <v>1269</v>
      </c>
      <c r="DE13" s="57"/>
      <c r="DF13" s="20">
        <f t="shared" si="76"/>
        <v>100</v>
      </c>
      <c r="DG13" s="7">
        <f t="shared" si="77"/>
        <v>1299</v>
      </c>
      <c r="DH13" s="56">
        <v>1299</v>
      </c>
      <c r="DI13" s="57"/>
      <c r="DJ13" s="20">
        <f t="shared" si="78"/>
        <v>101.56372165754495</v>
      </c>
      <c r="DK13" s="7">
        <f>DL13-DM13</f>
        <v>1279</v>
      </c>
      <c r="DL13" s="56">
        <v>1279</v>
      </c>
      <c r="DM13" s="57"/>
      <c r="DN13" s="23">
        <f t="shared" si="80"/>
        <v>98.460354118552729</v>
      </c>
      <c r="DO13" s="26" t="s">
        <v>52</v>
      </c>
      <c r="DP13" s="7">
        <f>DQ13-DR13</f>
        <v>1269</v>
      </c>
      <c r="DQ13" s="56">
        <v>1269</v>
      </c>
      <c r="DR13" s="57"/>
      <c r="DS13" s="20">
        <f t="shared" si="81"/>
        <v>97.315950920245399</v>
      </c>
      <c r="DT13" s="7">
        <f t="shared" si="82"/>
        <v>1299</v>
      </c>
      <c r="DU13" s="56">
        <v>1299</v>
      </c>
      <c r="DV13" s="57"/>
      <c r="DW13" s="20">
        <f t="shared" si="83"/>
        <v>104.00320256204965</v>
      </c>
      <c r="DX13" s="7">
        <f>DY13-DZ13</f>
        <v>1269</v>
      </c>
      <c r="DY13" s="56">
        <v>1269</v>
      </c>
      <c r="DZ13" s="57"/>
      <c r="EA13" s="23">
        <f t="shared" si="85"/>
        <v>99.21813917122752</v>
      </c>
      <c r="EB13" s="26" t="s">
        <v>52</v>
      </c>
      <c r="EC13" s="7">
        <f>ED13-EE13</f>
        <v>1269</v>
      </c>
      <c r="ED13" s="56">
        <v>1269</v>
      </c>
      <c r="EE13" s="57"/>
      <c r="EF13" s="20">
        <f t="shared" si="86"/>
        <v>97.315950920245399</v>
      </c>
      <c r="EG13" s="7">
        <f t="shared" si="87"/>
        <v>1299</v>
      </c>
      <c r="EH13" s="56">
        <v>1299</v>
      </c>
      <c r="EI13" s="57"/>
      <c r="EJ13" s="20">
        <f t="shared" si="88"/>
        <v>104.00320256204965</v>
      </c>
      <c r="EK13" s="7">
        <f>EL13-EM13</f>
        <v>1269</v>
      </c>
      <c r="EL13" s="56">
        <v>1269</v>
      </c>
      <c r="EM13" s="57"/>
      <c r="EN13" s="23">
        <f t="shared" si="90"/>
        <v>99.21813917122752</v>
      </c>
    </row>
    <row r="14" spans="2:144" outlineLevel="1" x14ac:dyDescent="0.3">
      <c r="B14" s="26" t="s">
        <v>53</v>
      </c>
      <c r="C14" s="7">
        <f t="shared" si="33"/>
        <v>999</v>
      </c>
      <c r="D14" s="56">
        <v>999</v>
      </c>
      <c r="E14" s="57"/>
      <c r="F14" s="20">
        <f t="shared" si="34"/>
        <v>103.09597523219813</v>
      </c>
      <c r="G14" s="7">
        <f t="shared" si="35"/>
        <v>1099</v>
      </c>
      <c r="H14" s="56">
        <v>1099</v>
      </c>
      <c r="I14" s="57"/>
      <c r="J14" s="20">
        <f t="shared" si="36"/>
        <v>110.01001001001001</v>
      </c>
      <c r="K14" s="7">
        <f t="shared" si="37"/>
        <v>999</v>
      </c>
      <c r="L14" s="56">
        <v>999</v>
      </c>
      <c r="M14" s="57"/>
      <c r="N14" s="23">
        <f t="shared" si="38"/>
        <v>86.493506493506487</v>
      </c>
      <c r="O14" s="26" t="s">
        <v>53</v>
      </c>
      <c r="P14" s="7">
        <f t="shared" si="39"/>
        <v>989</v>
      </c>
      <c r="Q14" s="56">
        <v>989</v>
      </c>
      <c r="R14" s="57"/>
      <c r="S14" s="20">
        <f t="shared" si="40"/>
        <v>102.06398348813211</v>
      </c>
      <c r="T14" s="7">
        <f t="shared" si="41"/>
        <v>1099</v>
      </c>
      <c r="U14" s="56">
        <v>1099</v>
      </c>
      <c r="V14" s="57"/>
      <c r="W14" s="20">
        <f t="shared" si="42"/>
        <v>113.4158926728586</v>
      </c>
      <c r="X14" s="7">
        <f t="shared" si="43"/>
        <v>1037</v>
      </c>
      <c r="Y14" s="56">
        <v>1037</v>
      </c>
      <c r="Z14" s="57"/>
      <c r="AA14" s="23">
        <f t="shared" si="44"/>
        <v>107.01754385964912</v>
      </c>
      <c r="AB14" s="26" t="s">
        <v>53</v>
      </c>
      <c r="AC14" s="7">
        <f t="shared" si="45"/>
        <v>989</v>
      </c>
      <c r="AD14" s="56">
        <v>989</v>
      </c>
      <c r="AE14" s="57"/>
      <c r="AF14" s="20">
        <f t="shared" si="46"/>
        <v>82.416666666666671</v>
      </c>
      <c r="AG14" s="7">
        <f t="shared" si="47"/>
        <v>999</v>
      </c>
      <c r="AH14" s="56">
        <v>999</v>
      </c>
      <c r="AI14" s="57"/>
      <c r="AJ14" s="20">
        <f t="shared" si="48"/>
        <v>111.12347052280312</v>
      </c>
      <c r="AK14" s="7">
        <f t="shared" si="49"/>
        <v>1037</v>
      </c>
      <c r="AL14" s="56">
        <v>1037</v>
      </c>
      <c r="AM14" s="57"/>
      <c r="AN14" s="23">
        <f t="shared" si="50"/>
        <v>115.3503893214683</v>
      </c>
      <c r="AO14" s="26" t="s">
        <v>53</v>
      </c>
      <c r="AP14" s="7">
        <f>AQ14-AR14</f>
        <v>989</v>
      </c>
      <c r="AQ14" s="56">
        <v>989</v>
      </c>
      <c r="AR14" s="57"/>
      <c r="AS14" s="20">
        <f t="shared" si="51"/>
        <v>106.45855758880516</v>
      </c>
      <c r="AT14" s="7">
        <f t="shared" si="52"/>
        <v>999</v>
      </c>
      <c r="AU14" s="56">
        <v>999</v>
      </c>
      <c r="AV14" s="57"/>
      <c r="AW14" s="20">
        <f t="shared" si="53"/>
        <v>111.12347052280312</v>
      </c>
      <c r="AX14" s="7">
        <f t="shared" si="54"/>
        <v>999</v>
      </c>
      <c r="AY14" s="56">
        <v>999</v>
      </c>
      <c r="AZ14" s="57"/>
      <c r="BA14" s="23">
        <f t="shared" si="55"/>
        <v>102.04290091930541</v>
      </c>
      <c r="BB14" s="26" t="s">
        <v>53</v>
      </c>
      <c r="BC14" s="7">
        <f>BD14-BE14</f>
        <v>989</v>
      </c>
      <c r="BD14" s="56">
        <v>989</v>
      </c>
      <c r="BE14" s="57"/>
      <c r="BF14" s="20">
        <f t="shared" si="56"/>
        <v>110.0111234705228</v>
      </c>
      <c r="BG14" s="7">
        <f t="shared" si="57"/>
        <v>979</v>
      </c>
      <c r="BH14" s="56">
        <v>979</v>
      </c>
      <c r="BI14" s="57"/>
      <c r="BJ14" s="20">
        <f t="shared" si="58"/>
        <v>100</v>
      </c>
      <c r="BK14" s="7">
        <f t="shared" si="59"/>
        <v>989</v>
      </c>
      <c r="BL14" s="56">
        <v>989</v>
      </c>
      <c r="BM14" s="57"/>
      <c r="BN14" s="23">
        <f t="shared" si="60"/>
        <v>104.21496311907271</v>
      </c>
      <c r="BO14" s="26" t="s">
        <v>53</v>
      </c>
      <c r="BP14" s="7">
        <f>BQ14-BR14</f>
        <v>989</v>
      </c>
      <c r="BQ14" s="56">
        <v>989</v>
      </c>
      <c r="BR14" s="57"/>
      <c r="BS14" s="20">
        <f t="shared" si="61"/>
        <v>110.0111234705228</v>
      </c>
      <c r="BT14" s="7">
        <f t="shared" si="62"/>
        <v>979</v>
      </c>
      <c r="BU14" s="56">
        <v>979</v>
      </c>
      <c r="BV14" s="57"/>
      <c r="BW14" s="20">
        <f t="shared" si="63"/>
        <v>97.997997997997999</v>
      </c>
      <c r="BX14" s="7">
        <f t="shared" si="64"/>
        <v>989</v>
      </c>
      <c r="BY14" s="56">
        <v>989</v>
      </c>
      <c r="BZ14" s="57"/>
      <c r="CA14" s="23">
        <f t="shared" si="65"/>
        <v>104.21496311907271</v>
      </c>
      <c r="CB14" s="26" t="s">
        <v>53</v>
      </c>
      <c r="CC14" s="7">
        <f>CD14-CE14</f>
        <v>989</v>
      </c>
      <c r="CD14" s="56">
        <v>989</v>
      </c>
      <c r="CE14" s="57"/>
      <c r="CF14" s="20">
        <f t="shared" si="66"/>
        <v>112.51422070534699</v>
      </c>
      <c r="CG14" s="7">
        <f t="shared" si="67"/>
        <v>979</v>
      </c>
      <c r="CH14" s="56">
        <v>979</v>
      </c>
      <c r="CI14" s="57"/>
      <c r="CJ14" s="20">
        <f t="shared" si="68"/>
        <v>108.89877641824248</v>
      </c>
      <c r="CK14" s="7">
        <f>CL14-CM14</f>
        <v>989</v>
      </c>
      <c r="CL14" s="56">
        <v>989</v>
      </c>
      <c r="CM14" s="57"/>
      <c r="CN14" s="23">
        <f t="shared" si="70"/>
        <v>110.0111234705228</v>
      </c>
      <c r="CO14" s="26" t="s">
        <v>53</v>
      </c>
      <c r="CP14" s="7">
        <f>CQ14-CR14</f>
        <v>979</v>
      </c>
      <c r="CQ14" s="56">
        <v>979</v>
      </c>
      <c r="CR14" s="57"/>
      <c r="CS14" s="20">
        <f t="shared" si="71"/>
        <v>111.37656427758817</v>
      </c>
      <c r="CT14" s="7">
        <f t="shared" si="72"/>
        <v>999</v>
      </c>
      <c r="CU14" s="56">
        <v>999</v>
      </c>
      <c r="CV14" s="57"/>
      <c r="CW14" s="20">
        <f t="shared" si="73"/>
        <v>102.04290091930541</v>
      </c>
      <c r="CX14" s="7">
        <f>CY14-CZ14</f>
        <v>1037</v>
      </c>
      <c r="CY14" s="56">
        <v>1037</v>
      </c>
      <c r="CZ14" s="57"/>
      <c r="DA14" s="23">
        <f t="shared" si="75"/>
        <v>115.3503893214683</v>
      </c>
      <c r="DB14" s="26" t="s">
        <v>53</v>
      </c>
      <c r="DC14" s="7">
        <f>DD14-DE14</f>
        <v>979</v>
      </c>
      <c r="DD14" s="56">
        <v>979</v>
      </c>
      <c r="DE14" s="57"/>
      <c r="DF14" s="20">
        <f t="shared" si="76"/>
        <v>89.080982711555961</v>
      </c>
      <c r="DG14" s="7">
        <f t="shared" si="77"/>
        <v>999</v>
      </c>
      <c r="DH14" s="56">
        <v>999</v>
      </c>
      <c r="DI14" s="57"/>
      <c r="DJ14" s="20">
        <f t="shared" si="78"/>
        <v>102.04290091930541</v>
      </c>
      <c r="DK14" s="7">
        <f>DL14-DM14</f>
        <v>999</v>
      </c>
      <c r="DL14" s="56">
        <v>999</v>
      </c>
      <c r="DM14" s="57"/>
      <c r="DN14" s="23">
        <f t="shared" si="80"/>
        <v>96.802325581395351</v>
      </c>
      <c r="DO14" s="26" t="s">
        <v>53</v>
      </c>
      <c r="DP14" s="7">
        <f>DQ14-DR14</f>
        <v>979</v>
      </c>
      <c r="DQ14" s="56">
        <v>979</v>
      </c>
      <c r="DR14" s="57"/>
      <c r="DS14" s="20">
        <f t="shared" si="81"/>
        <v>108.89877641824248</v>
      </c>
      <c r="DT14" s="7">
        <f t="shared" si="82"/>
        <v>999</v>
      </c>
      <c r="DU14" s="56">
        <v>999</v>
      </c>
      <c r="DV14" s="57"/>
      <c r="DW14" s="20">
        <f t="shared" si="83"/>
        <v>111.12347052280312</v>
      </c>
      <c r="DX14" s="7">
        <f>DY14-DZ14</f>
        <v>1036</v>
      </c>
      <c r="DY14" s="56">
        <v>1036</v>
      </c>
      <c r="DZ14" s="57"/>
      <c r="EA14" s="23">
        <f t="shared" si="85"/>
        <v>112.36442516268981</v>
      </c>
      <c r="EB14" s="26" t="s">
        <v>53</v>
      </c>
      <c r="EC14" s="7">
        <f>ED14-EE14</f>
        <v>979</v>
      </c>
      <c r="ED14" s="56">
        <v>979</v>
      </c>
      <c r="EE14" s="57"/>
      <c r="EF14" s="20">
        <f t="shared" si="86"/>
        <v>108.89877641824248</v>
      </c>
      <c r="EG14" s="7">
        <f t="shared" si="87"/>
        <v>999</v>
      </c>
      <c r="EH14" s="56">
        <v>999</v>
      </c>
      <c r="EI14" s="57"/>
      <c r="EJ14" s="20">
        <f t="shared" si="88"/>
        <v>111.12347052280312</v>
      </c>
      <c r="EK14" s="7">
        <f>EL14-EM14</f>
        <v>1036</v>
      </c>
      <c r="EL14" s="56">
        <v>1036</v>
      </c>
      <c r="EM14" s="57"/>
      <c r="EN14" s="23">
        <f t="shared" si="90"/>
        <v>112.36442516268981</v>
      </c>
    </row>
    <row r="15" spans="2:144" outlineLevel="1" x14ac:dyDescent="0.3">
      <c r="B15" s="26" t="s">
        <v>54</v>
      </c>
      <c r="C15" s="7">
        <f t="shared" si="33"/>
        <v>899</v>
      </c>
      <c r="D15" s="56">
        <v>899</v>
      </c>
      <c r="E15" s="57"/>
      <c r="F15" s="20">
        <f t="shared" si="34"/>
        <v>100</v>
      </c>
      <c r="G15" s="7">
        <f t="shared" si="35"/>
        <v>899</v>
      </c>
      <c r="H15" s="56">
        <v>899</v>
      </c>
      <c r="I15" s="57"/>
      <c r="J15" s="20">
        <f t="shared" si="36"/>
        <v>100</v>
      </c>
      <c r="K15" s="7">
        <f t="shared" si="37"/>
        <v>899</v>
      </c>
      <c r="L15" s="56">
        <v>899</v>
      </c>
      <c r="M15" s="57"/>
      <c r="N15" s="23">
        <f t="shared" si="38"/>
        <v>89.275074478649458</v>
      </c>
      <c r="O15" s="26" t="s">
        <v>54</v>
      </c>
      <c r="P15" s="7">
        <f t="shared" si="39"/>
        <v>899</v>
      </c>
      <c r="Q15" s="56">
        <v>899</v>
      </c>
      <c r="R15" s="57"/>
      <c r="S15" s="20">
        <f t="shared" si="40"/>
        <v>103.45224395857306</v>
      </c>
      <c r="T15" s="7">
        <f t="shared" si="41"/>
        <v>899</v>
      </c>
      <c r="U15" s="56">
        <v>899</v>
      </c>
      <c r="V15" s="57"/>
      <c r="W15" s="20">
        <f t="shared" si="42"/>
        <v>100</v>
      </c>
      <c r="X15" s="7">
        <f t="shared" si="43"/>
        <v>873</v>
      </c>
      <c r="Y15" s="56">
        <v>873</v>
      </c>
      <c r="Z15" s="57"/>
      <c r="AA15" s="23">
        <f t="shared" si="44"/>
        <v>99.317406143344712</v>
      </c>
      <c r="AB15" s="26" t="s">
        <v>54</v>
      </c>
      <c r="AC15" s="7">
        <f t="shared" si="45"/>
        <v>889</v>
      </c>
      <c r="AD15" s="56">
        <v>889</v>
      </c>
      <c r="AE15" s="57"/>
      <c r="AF15" s="20">
        <f t="shared" si="46"/>
        <v>102.30149597238206</v>
      </c>
      <c r="AG15" s="7">
        <f t="shared" si="47"/>
        <v>849</v>
      </c>
      <c r="AH15" s="56">
        <v>849</v>
      </c>
      <c r="AI15" s="57"/>
      <c r="AJ15" s="20">
        <f t="shared" si="48"/>
        <v>94.438264738598448</v>
      </c>
      <c r="AK15" s="7">
        <f t="shared" si="49"/>
        <v>898</v>
      </c>
      <c r="AL15" s="56">
        <v>898</v>
      </c>
      <c r="AM15" s="57"/>
      <c r="AN15" s="23">
        <f t="shared" si="50"/>
        <v>103.33716915995397</v>
      </c>
      <c r="AO15" s="26" t="s">
        <v>54</v>
      </c>
      <c r="AP15" s="7">
        <f t="shared" ref="AP15:AP16" si="91">AQ15-AR15</f>
        <v>889</v>
      </c>
      <c r="AQ15" s="56">
        <v>889</v>
      </c>
      <c r="AR15" s="57"/>
      <c r="AS15" s="20">
        <f t="shared" si="51"/>
        <v>102.30149597238206</v>
      </c>
      <c r="AT15" s="7">
        <f t="shared" si="52"/>
        <v>849</v>
      </c>
      <c r="AU15" s="56">
        <v>849</v>
      </c>
      <c r="AV15" s="57"/>
      <c r="AW15" s="20">
        <f t="shared" si="53"/>
        <v>94.438264738598448</v>
      </c>
      <c r="AX15" s="7">
        <f t="shared" si="54"/>
        <v>898</v>
      </c>
      <c r="AY15" s="56">
        <v>898</v>
      </c>
      <c r="AZ15" s="57"/>
      <c r="BA15" s="23">
        <f t="shared" si="55"/>
        <v>99.888765294771957</v>
      </c>
      <c r="BB15" s="26" t="s">
        <v>54</v>
      </c>
      <c r="BC15" s="7">
        <f t="shared" ref="BC15:BC16" si="92">BD15-BE15</f>
        <v>849</v>
      </c>
      <c r="BD15" s="56">
        <v>849</v>
      </c>
      <c r="BE15" s="57"/>
      <c r="BF15" s="20">
        <f t="shared" si="56"/>
        <v>95.823927765237016</v>
      </c>
      <c r="BG15" s="7">
        <f t="shared" si="57"/>
        <v>849</v>
      </c>
      <c r="BH15" s="56">
        <v>849</v>
      </c>
      <c r="BI15" s="57"/>
      <c r="BJ15" s="20">
        <f t="shared" si="58"/>
        <v>94.438264738598448</v>
      </c>
      <c r="BK15" s="7">
        <f t="shared" si="59"/>
        <v>869</v>
      </c>
      <c r="BL15" s="56">
        <v>869</v>
      </c>
      <c r="BM15" s="57"/>
      <c r="BN15" s="23">
        <f t="shared" si="60"/>
        <v>100</v>
      </c>
      <c r="BO15" s="26" t="s">
        <v>54</v>
      </c>
      <c r="BP15" s="7">
        <f t="shared" ref="BP15:BP16" si="93">BQ15-BR15</f>
        <v>829</v>
      </c>
      <c r="BQ15" s="56">
        <v>829</v>
      </c>
      <c r="BR15" s="57"/>
      <c r="BS15" s="20">
        <f t="shared" si="61"/>
        <v>94.204545454545453</v>
      </c>
      <c r="BT15" s="7">
        <f t="shared" si="62"/>
        <v>849</v>
      </c>
      <c r="BU15" s="56">
        <v>849</v>
      </c>
      <c r="BV15" s="57"/>
      <c r="BW15" s="20">
        <f t="shared" si="63"/>
        <v>94.438264738598448</v>
      </c>
      <c r="BX15" s="7">
        <f t="shared" si="64"/>
        <v>829</v>
      </c>
      <c r="BY15" s="56">
        <v>829</v>
      </c>
      <c r="BZ15" s="57"/>
      <c r="CA15" s="23">
        <f t="shared" si="65"/>
        <v>95.397008055235901</v>
      </c>
      <c r="CB15" s="26" t="s">
        <v>54</v>
      </c>
      <c r="CC15" s="7">
        <f t="shared" ref="CC15:CC16" si="94">CD15-CE15</f>
        <v>829</v>
      </c>
      <c r="CD15" s="56">
        <v>829</v>
      </c>
      <c r="CE15" s="57"/>
      <c r="CF15" s="20">
        <f t="shared" si="66"/>
        <v>93.566591422121888</v>
      </c>
      <c r="CG15" s="7">
        <f t="shared" si="67"/>
        <v>849</v>
      </c>
      <c r="CH15" s="56">
        <v>849</v>
      </c>
      <c r="CI15" s="57"/>
      <c r="CJ15" s="20">
        <f t="shared" si="68"/>
        <v>94.438264738598448</v>
      </c>
      <c r="CK15" s="7">
        <f>CL15-CM15</f>
        <v>829</v>
      </c>
      <c r="CL15" s="56">
        <v>829</v>
      </c>
      <c r="CM15" s="57"/>
      <c r="CN15" s="23">
        <f t="shared" si="70"/>
        <v>95.397008055235901</v>
      </c>
      <c r="CO15" s="26" t="s">
        <v>54</v>
      </c>
      <c r="CP15" s="7">
        <f t="shared" ref="CP15:CP16" si="95">CQ15-CR15</f>
        <v>839</v>
      </c>
      <c r="CQ15" s="56">
        <v>839</v>
      </c>
      <c r="CR15" s="57"/>
      <c r="CS15" s="20">
        <f t="shared" si="71"/>
        <v>94.695259593679452</v>
      </c>
      <c r="CT15" s="7">
        <f t="shared" si="72"/>
        <v>849</v>
      </c>
      <c r="CU15" s="56">
        <v>849</v>
      </c>
      <c r="CV15" s="57"/>
      <c r="CW15" s="20">
        <f t="shared" si="73"/>
        <v>94.438264738598448</v>
      </c>
      <c r="CX15" s="7">
        <f>CY15-CZ15</f>
        <v>871</v>
      </c>
      <c r="CY15" s="56">
        <v>871</v>
      </c>
      <c r="CZ15" s="57"/>
      <c r="DA15" s="23">
        <f t="shared" si="75"/>
        <v>100.2301495972382</v>
      </c>
      <c r="DB15" s="26" t="s">
        <v>54</v>
      </c>
      <c r="DC15" s="7">
        <f t="shared" ref="DC15:DC16" si="96">DD15-DE15</f>
        <v>839</v>
      </c>
      <c r="DD15" s="56">
        <v>839</v>
      </c>
      <c r="DE15" s="57"/>
      <c r="DF15" s="20">
        <f t="shared" si="76"/>
        <v>98.822143698468793</v>
      </c>
      <c r="DG15" s="7">
        <f t="shared" si="77"/>
        <v>849</v>
      </c>
      <c r="DH15" s="56">
        <v>849</v>
      </c>
      <c r="DI15" s="57"/>
      <c r="DJ15" s="20">
        <f t="shared" si="78"/>
        <v>94.438264738598448</v>
      </c>
      <c r="DK15" s="7">
        <f>DL15-DM15</f>
        <v>839</v>
      </c>
      <c r="DL15" s="56">
        <v>839</v>
      </c>
      <c r="DM15" s="57"/>
      <c r="DN15" s="23">
        <f t="shared" si="80"/>
        <v>96.547756041426922</v>
      </c>
      <c r="DO15" s="26" t="s">
        <v>54</v>
      </c>
      <c r="DP15" s="7">
        <f t="shared" ref="DP15:DP16" si="97">DQ15-DR15</f>
        <v>829</v>
      </c>
      <c r="DQ15" s="56">
        <v>829</v>
      </c>
      <c r="DR15" s="57"/>
      <c r="DS15" s="20">
        <f t="shared" si="81"/>
        <v>93.566591422121888</v>
      </c>
      <c r="DT15" s="7">
        <f t="shared" si="82"/>
        <v>849</v>
      </c>
      <c r="DU15" s="56">
        <v>849</v>
      </c>
      <c r="DV15" s="57"/>
      <c r="DW15" s="20">
        <f t="shared" si="83"/>
        <v>100</v>
      </c>
      <c r="DX15" s="7">
        <f>DY15-DZ15</f>
        <v>871</v>
      </c>
      <c r="DY15" s="56">
        <v>871</v>
      </c>
      <c r="DZ15" s="57"/>
      <c r="EA15" s="23">
        <f t="shared" si="85"/>
        <v>100.2301495972382</v>
      </c>
      <c r="EB15" s="26" t="s">
        <v>54</v>
      </c>
      <c r="EC15" s="7">
        <f t="shared" ref="EC15:EC16" si="98">ED15-EE15</f>
        <v>829</v>
      </c>
      <c r="ED15" s="56">
        <v>829</v>
      </c>
      <c r="EE15" s="57"/>
      <c r="EF15" s="20">
        <f t="shared" si="86"/>
        <v>93.566591422121888</v>
      </c>
      <c r="EG15" s="7">
        <f t="shared" si="87"/>
        <v>849</v>
      </c>
      <c r="EH15" s="56">
        <v>849</v>
      </c>
      <c r="EI15" s="57"/>
      <c r="EJ15" s="20">
        <f t="shared" si="88"/>
        <v>100</v>
      </c>
      <c r="EK15" s="7">
        <f>EL15-EM15</f>
        <v>871</v>
      </c>
      <c r="EL15" s="56">
        <v>871</v>
      </c>
      <c r="EM15" s="57"/>
      <c r="EN15" s="23">
        <f t="shared" si="90"/>
        <v>100.2301495972382</v>
      </c>
    </row>
    <row r="16" spans="2:144" outlineLevel="1" x14ac:dyDescent="0.3">
      <c r="B16" s="26" t="s">
        <v>55</v>
      </c>
      <c r="C16" s="7">
        <f t="shared" si="33"/>
        <v>799</v>
      </c>
      <c r="D16" s="56">
        <v>799</v>
      </c>
      <c r="E16" s="57"/>
      <c r="F16" s="20">
        <f t="shared" si="34"/>
        <v>100</v>
      </c>
      <c r="G16" s="7">
        <f t="shared" si="35"/>
        <v>799</v>
      </c>
      <c r="H16" s="56">
        <v>799</v>
      </c>
      <c r="I16" s="57"/>
      <c r="J16" s="20">
        <f t="shared" si="36"/>
        <v>100</v>
      </c>
      <c r="K16" s="7">
        <f t="shared" si="37"/>
        <v>799</v>
      </c>
      <c r="L16" s="56">
        <v>799</v>
      </c>
      <c r="M16" s="57"/>
      <c r="N16" s="23">
        <f t="shared" si="38"/>
        <v>86.659436008676792</v>
      </c>
      <c r="O16" s="26" t="s">
        <v>55</v>
      </c>
      <c r="P16" s="7">
        <f t="shared" si="39"/>
        <v>799</v>
      </c>
      <c r="Q16" s="56">
        <v>799</v>
      </c>
      <c r="R16" s="57"/>
      <c r="S16" s="20">
        <f t="shared" si="40"/>
        <v>102.56739409499357</v>
      </c>
      <c r="T16" s="7">
        <f t="shared" si="41"/>
        <v>799</v>
      </c>
      <c r="U16" s="56">
        <v>799</v>
      </c>
      <c r="V16" s="57"/>
      <c r="W16" s="20" t="s">
        <v>82</v>
      </c>
      <c r="X16" s="7">
        <f t="shared" si="43"/>
        <v>799</v>
      </c>
      <c r="Y16" s="56">
        <v>799</v>
      </c>
      <c r="Z16" s="57"/>
      <c r="AA16" s="23">
        <f t="shared" si="44"/>
        <v>108.11907983761839</v>
      </c>
      <c r="AB16" s="26" t="s">
        <v>55</v>
      </c>
      <c r="AC16" s="7">
        <f t="shared" si="45"/>
        <v>769</v>
      </c>
      <c r="AD16" s="56">
        <v>769</v>
      </c>
      <c r="AE16" s="57"/>
      <c r="AF16" s="20">
        <f t="shared" si="46"/>
        <v>104.05953991880921</v>
      </c>
      <c r="AG16" s="7">
        <f t="shared" si="47"/>
        <v>769</v>
      </c>
      <c r="AH16" s="56">
        <v>769</v>
      </c>
      <c r="AI16" s="57"/>
      <c r="AJ16" s="20" t="s">
        <v>82</v>
      </c>
      <c r="AK16" s="7">
        <f t="shared" si="49"/>
        <v>782</v>
      </c>
      <c r="AL16" s="56">
        <v>782</v>
      </c>
      <c r="AM16" s="57"/>
      <c r="AN16" s="23">
        <f t="shared" si="50"/>
        <v>107.27023319615911</v>
      </c>
      <c r="AO16" s="26" t="s">
        <v>55</v>
      </c>
      <c r="AP16" s="7">
        <f t="shared" si="91"/>
        <v>769</v>
      </c>
      <c r="AQ16" s="56">
        <v>769</v>
      </c>
      <c r="AR16" s="57"/>
      <c r="AS16" s="20">
        <f t="shared" si="51"/>
        <v>104.05953991880921</v>
      </c>
      <c r="AT16" s="7">
        <f t="shared" si="52"/>
        <v>769</v>
      </c>
      <c r="AU16" s="56">
        <v>769</v>
      </c>
      <c r="AV16" s="57"/>
      <c r="AW16" s="20" t="s">
        <v>82</v>
      </c>
      <c r="AX16" s="7">
        <f t="shared" si="54"/>
        <v>769</v>
      </c>
      <c r="AY16" s="56">
        <v>769</v>
      </c>
      <c r="AZ16" s="57"/>
      <c r="BA16" s="23">
        <f t="shared" si="55"/>
        <v>96.245306633291619</v>
      </c>
      <c r="BB16" s="26" t="s">
        <v>55</v>
      </c>
      <c r="BC16" s="7">
        <f t="shared" si="92"/>
        <v>749</v>
      </c>
      <c r="BD16" s="56">
        <v>749</v>
      </c>
      <c r="BE16" s="57"/>
      <c r="BF16" s="20">
        <f t="shared" si="56"/>
        <v>88.22143698468787</v>
      </c>
      <c r="BG16" s="7">
        <f t="shared" si="57"/>
        <v>749</v>
      </c>
      <c r="BH16" s="56">
        <v>749</v>
      </c>
      <c r="BI16" s="57"/>
      <c r="BJ16" s="20" t="s">
        <v>82</v>
      </c>
      <c r="BK16" s="7">
        <f t="shared" si="59"/>
        <v>749</v>
      </c>
      <c r="BL16" s="56">
        <v>749</v>
      </c>
      <c r="BM16" s="57"/>
      <c r="BN16" s="23">
        <f t="shared" si="60"/>
        <v>102.74348422496571</v>
      </c>
      <c r="BO16" s="26" t="s">
        <v>55</v>
      </c>
      <c r="BP16" s="7">
        <f t="shared" si="93"/>
        <v>719</v>
      </c>
      <c r="BQ16" s="56">
        <v>719</v>
      </c>
      <c r="BR16" s="57"/>
      <c r="BS16" s="20">
        <f t="shared" si="61"/>
        <v>98.628257887517151</v>
      </c>
      <c r="BT16" s="7">
        <f t="shared" si="62"/>
        <v>749</v>
      </c>
      <c r="BU16" s="56">
        <v>749</v>
      </c>
      <c r="BV16" s="57"/>
      <c r="BW16" s="20" t="s">
        <v>82</v>
      </c>
      <c r="BX16" s="7">
        <f t="shared" si="64"/>
        <v>719</v>
      </c>
      <c r="BY16" s="56">
        <v>719</v>
      </c>
      <c r="BZ16" s="57"/>
      <c r="CA16" s="23">
        <f t="shared" si="65"/>
        <v>98.628257887517151</v>
      </c>
      <c r="CB16" s="26" t="s">
        <v>55</v>
      </c>
      <c r="CC16" s="7">
        <f t="shared" si="94"/>
        <v>719</v>
      </c>
      <c r="CD16" s="56">
        <v>719</v>
      </c>
      <c r="CE16" s="57"/>
      <c r="CF16" s="20">
        <f t="shared" si="66"/>
        <v>98.628257887517151</v>
      </c>
      <c r="CG16" s="7">
        <f t="shared" si="67"/>
        <v>749</v>
      </c>
      <c r="CH16" s="56">
        <v>749</v>
      </c>
      <c r="CI16" s="57"/>
      <c r="CJ16" s="20" t="s">
        <v>82</v>
      </c>
      <c r="CK16" s="7">
        <f t="shared" si="69"/>
        <v>0</v>
      </c>
      <c r="CL16" s="56"/>
      <c r="CM16" s="57"/>
      <c r="CN16" s="23">
        <f t="shared" si="70"/>
        <v>0</v>
      </c>
      <c r="CO16" s="26" t="s">
        <v>55</v>
      </c>
      <c r="CP16" s="7">
        <f t="shared" si="95"/>
        <v>999</v>
      </c>
      <c r="CQ16" s="56">
        <v>999</v>
      </c>
      <c r="CR16" s="57"/>
      <c r="CS16" s="20">
        <f t="shared" si="71"/>
        <v>125.03128911138923</v>
      </c>
      <c r="CT16" s="7">
        <f t="shared" si="72"/>
        <v>769</v>
      </c>
      <c r="CU16" s="56">
        <v>769</v>
      </c>
      <c r="CV16" s="57"/>
      <c r="CW16" s="20" t="s">
        <v>82</v>
      </c>
      <c r="CX16" s="7">
        <f t="shared" ref="CX16" si="99">CY16-CZ16</f>
        <v>0</v>
      </c>
      <c r="CY16" s="56"/>
      <c r="CZ16" s="57"/>
      <c r="DA16" s="23">
        <f t="shared" si="75"/>
        <v>0</v>
      </c>
      <c r="DB16" s="26" t="s">
        <v>55</v>
      </c>
      <c r="DC16" s="7">
        <f t="shared" si="96"/>
        <v>999</v>
      </c>
      <c r="DD16" s="56">
        <v>999</v>
      </c>
      <c r="DE16" s="57"/>
      <c r="DF16" s="20">
        <f t="shared" si="76"/>
        <v>125.03128911138923</v>
      </c>
      <c r="DG16" s="7">
        <f t="shared" si="77"/>
        <v>769</v>
      </c>
      <c r="DH16" s="56">
        <v>769</v>
      </c>
      <c r="DI16" s="57"/>
      <c r="DJ16" s="20" t="s">
        <v>82</v>
      </c>
      <c r="DK16" s="7">
        <f t="shared" ref="DK16" si="100">DL16-DM16</f>
        <v>0</v>
      </c>
      <c r="DL16" s="56"/>
      <c r="DM16" s="57"/>
      <c r="DN16" s="23">
        <f t="shared" si="80"/>
        <v>0</v>
      </c>
      <c r="DO16" s="26" t="s">
        <v>55</v>
      </c>
      <c r="DP16" s="7">
        <f t="shared" si="97"/>
        <v>729</v>
      </c>
      <c r="DQ16" s="56">
        <v>729</v>
      </c>
      <c r="DR16" s="57"/>
      <c r="DS16" s="20">
        <f t="shared" si="81"/>
        <v>98.646820027063598</v>
      </c>
      <c r="DT16" s="7">
        <f t="shared" si="82"/>
        <v>749</v>
      </c>
      <c r="DU16" s="56">
        <v>749</v>
      </c>
      <c r="DV16" s="57"/>
      <c r="DW16" s="20" t="s">
        <v>82</v>
      </c>
      <c r="DX16" s="7">
        <f t="shared" ref="DX16" si="101">DY16-DZ16</f>
        <v>0</v>
      </c>
      <c r="DY16" s="56"/>
      <c r="DZ16" s="57"/>
      <c r="EA16" s="23">
        <f t="shared" si="85"/>
        <v>0</v>
      </c>
      <c r="EB16" s="26" t="s">
        <v>55</v>
      </c>
      <c r="EC16" s="7">
        <f t="shared" si="98"/>
        <v>729</v>
      </c>
      <c r="ED16" s="56">
        <v>729</v>
      </c>
      <c r="EE16" s="57"/>
      <c r="EF16" s="20">
        <f t="shared" si="86"/>
        <v>98.646820027063598</v>
      </c>
      <c r="EG16" s="7">
        <f t="shared" si="87"/>
        <v>749</v>
      </c>
      <c r="EH16" s="56">
        <v>749</v>
      </c>
      <c r="EI16" s="57"/>
      <c r="EJ16" s="20" t="s">
        <v>82</v>
      </c>
      <c r="EK16" s="7">
        <f t="shared" ref="EK16" si="102">EL16-EM16</f>
        <v>0</v>
      </c>
      <c r="EL16" s="56"/>
      <c r="EM16" s="57"/>
      <c r="EN16" s="23">
        <f t="shared" si="90"/>
        <v>0</v>
      </c>
    </row>
    <row r="17" spans="2:144" outlineLevel="1" x14ac:dyDescent="0.3">
      <c r="B17" s="26"/>
      <c r="C17" s="7"/>
      <c r="D17" s="56"/>
      <c r="E17" s="57"/>
      <c r="F17" s="21"/>
      <c r="G17" s="7"/>
      <c r="H17" s="56"/>
      <c r="I17" s="57"/>
      <c r="J17" s="21"/>
      <c r="K17" s="7"/>
      <c r="L17" s="56"/>
      <c r="M17" s="57"/>
      <c r="N17" s="84"/>
      <c r="O17" s="26"/>
      <c r="P17" s="7"/>
      <c r="Q17" s="56"/>
      <c r="R17" s="57"/>
      <c r="S17" s="21"/>
      <c r="T17" s="7"/>
      <c r="U17" s="56"/>
      <c r="V17" s="57"/>
      <c r="W17" s="21"/>
      <c r="X17" s="7"/>
      <c r="Y17" s="56"/>
      <c r="Z17" s="57"/>
      <c r="AA17" s="84"/>
      <c r="AB17" s="26"/>
      <c r="AC17" s="7"/>
      <c r="AD17" s="56"/>
      <c r="AE17" s="57"/>
      <c r="AF17" s="21"/>
      <c r="AG17" s="7"/>
      <c r="AH17" s="56"/>
      <c r="AI17" s="57"/>
      <c r="AJ17" s="21"/>
      <c r="AK17" s="7"/>
      <c r="AL17" s="56"/>
      <c r="AM17" s="57"/>
      <c r="AN17" s="84"/>
      <c r="AO17" s="26"/>
      <c r="AP17" s="7"/>
      <c r="AQ17" s="56"/>
      <c r="AR17" s="57"/>
      <c r="AS17" s="21"/>
      <c r="AT17" s="7"/>
      <c r="AU17" s="56"/>
      <c r="AV17" s="57"/>
      <c r="AW17" s="21"/>
      <c r="AX17" s="7"/>
      <c r="AY17" s="56"/>
      <c r="AZ17" s="57"/>
      <c r="BA17" s="84"/>
      <c r="BB17" s="26"/>
      <c r="BC17" s="7"/>
      <c r="BD17" s="56"/>
      <c r="BE17" s="57"/>
      <c r="BF17" s="21"/>
      <c r="BG17" s="7"/>
      <c r="BH17" s="56"/>
      <c r="BI17" s="57"/>
      <c r="BJ17" s="21"/>
      <c r="BK17" s="7"/>
      <c r="BL17" s="56"/>
      <c r="BM17" s="57"/>
      <c r="BN17" s="84"/>
      <c r="BO17" s="26"/>
      <c r="BP17" s="7"/>
      <c r="BQ17" s="56"/>
      <c r="BR17" s="57"/>
      <c r="BS17" s="21"/>
      <c r="BT17" s="7"/>
      <c r="BU17" s="56"/>
      <c r="BV17" s="57"/>
      <c r="BW17" s="21"/>
      <c r="BX17" s="7"/>
      <c r="BY17" s="56"/>
      <c r="BZ17" s="57"/>
      <c r="CA17" s="84"/>
      <c r="CB17" s="26"/>
      <c r="CC17" s="7"/>
      <c r="CD17" s="56"/>
      <c r="CE17" s="57"/>
      <c r="CF17" s="21"/>
      <c r="CG17" s="7"/>
      <c r="CH17" s="56"/>
      <c r="CI17" s="57"/>
      <c r="CJ17" s="21"/>
      <c r="CK17" s="7"/>
      <c r="CL17" s="56"/>
      <c r="CM17" s="57"/>
      <c r="CN17" s="84"/>
      <c r="CO17" s="26"/>
      <c r="CP17" s="7"/>
      <c r="CQ17" s="56"/>
      <c r="CR17" s="57"/>
      <c r="CS17" s="21"/>
      <c r="CT17" s="7"/>
      <c r="CU17" s="56"/>
      <c r="CV17" s="57"/>
      <c r="CW17" s="21"/>
      <c r="CX17" s="7"/>
      <c r="CY17" s="56"/>
      <c r="CZ17" s="57"/>
      <c r="DA17" s="84"/>
      <c r="DB17" s="26"/>
      <c r="DC17" s="7"/>
      <c r="DD17" s="56"/>
      <c r="DE17" s="57"/>
      <c r="DF17" s="21"/>
      <c r="DG17" s="7"/>
      <c r="DH17" s="56"/>
      <c r="DI17" s="57"/>
      <c r="DJ17" s="21"/>
      <c r="DK17" s="7"/>
      <c r="DL17" s="56"/>
      <c r="DM17" s="57"/>
      <c r="DN17" s="84"/>
      <c r="DO17" s="26"/>
      <c r="DP17" s="7"/>
      <c r="DQ17" s="56"/>
      <c r="DR17" s="57"/>
      <c r="DS17" s="21"/>
      <c r="DT17" s="7"/>
      <c r="DU17" s="56"/>
      <c r="DV17" s="57"/>
      <c r="DW17" s="21"/>
      <c r="DX17" s="7"/>
      <c r="DY17" s="56"/>
      <c r="DZ17" s="57"/>
      <c r="EA17" s="84"/>
      <c r="EB17" s="26"/>
      <c r="EC17" s="7"/>
      <c r="ED17" s="56"/>
      <c r="EE17" s="57"/>
      <c r="EF17" s="21"/>
      <c r="EG17" s="7"/>
      <c r="EH17" s="56"/>
      <c r="EI17" s="57"/>
      <c r="EJ17" s="21"/>
      <c r="EK17" s="7"/>
      <c r="EL17" s="56"/>
      <c r="EM17" s="57"/>
      <c r="EN17" s="84"/>
    </row>
    <row r="18" spans="2:144" outlineLevel="1" x14ac:dyDescent="0.3">
      <c r="B18" s="26" t="s">
        <v>56</v>
      </c>
      <c r="C18" s="7">
        <f t="shared" ref="C18:C22" si="103">D18-E18</f>
        <v>2109</v>
      </c>
      <c r="D18" s="56">
        <v>2109</v>
      </c>
      <c r="E18" s="57"/>
      <c r="F18" s="20">
        <f>IFERROR(C18/C36*100,"")</f>
        <v>63.219424460431654</v>
      </c>
      <c r="G18" s="7">
        <f t="shared" ref="G18:G22" si="104">H18-I18</f>
        <v>2199</v>
      </c>
      <c r="H18" s="56">
        <v>2199</v>
      </c>
      <c r="I18" s="57"/>
      <c r="J18" s="20">
        <f>IFERROR(G18/G36*100,"")</f>
        <v>81.474620229714716</v>
      </c>
      <c r="K18" s="7">
        <f t="shared" ref="K18:K22" si="105">L18-M18</f>
        <v>1999</v>
      </c>
      <c r="L18" s="56">
        <v>1999</v>
      </c>
      <c r="M18" s="57"/>
      <c r="N18" s="23">
        <f>IFERROR(K18/K36*100,"")</f>
        <v>57.841435185185183</v>
      </c>
      <c r="O18" s="26" t="s">
        <v>56</v>
      </c>
      <c r="P18" s="7">
        <f t="shared" ref="P18:P22" si="106">Q18-R18</f>
        <v>2109</v>
      </c>
      <c r="Q18" s="56">
        <v>2109</v>
      </c>
      <c r="R18" s="57"/>
      <c r="S18" s="20">
        <f>IFERROR(P18/P36*100,"")</f>
        <v>63.219424460431654</v>
      </c>
      <c r="T18" s="7">
        <f t="shared" ref="T18:T22" si="107">U18-V18</f>
        <v>2199</v>
      </c>
      <c r="U18" s="56">
        <v>2199</v>
      </c>
      <c r="V18" s="57"/>
      <c r="W18" s="20" t="str">
        <f>IFERROR(T18/T36*100,"")</f>
        <v/>
      </c>
      <c r="X18" s="7">
        <f t="shared" ref="X18:X22" si="108">Y18-Z18</f>
        <v>2186</v>
      </c>
      <c r="Y18" s="56">
        <v>2186</v>
      </c>
      <c r="Z18" s="57"/>
      <c r="AA18" s="23">
        <f>IFERROR(X18/X36*100,"")</f>
        <v>87.44</v>
      </c>
      <c r="AB18" s="26" t="s">
        <v>56</v>
      </c>
      <c r="AC18" s="7">
        <f t="shared" ref="AC18:AC22" si="109">AD18-AE18</f>
        <v>1969</v>
      </c>
      <c r="AD18" s="56">
        <v>1969</v>
      </c>
      <c r="AE18" s="57"/>
      <c r="AF18" s="20">
        <f>IFERROR(AC18/AC36*100,"")</f>
        <v>62.527786598920287</v>
      </c>
      <c r="AG18" s="7">
        <f t="shared" ref="AG18:AG22" si="110">AH18-AI18</f>
        <v>0</v>
      </c>
      <c r="AH18" s="56"/>
      <c r="AI18" s="57"/>
      <c r="AJ18" s="20">
        <f>IFERROR(AG18/AG36*100,"")</f>
        <v>0</v>
      </c>
      <c r="AK18" s="7">
        <f t="shared" ref="AK18:AK22" si="111">AL18-AM18</f>
        <v>2206</v>
      </c>
      <c r="AL18" s="56">
        <v>2206</v>
      </c>
      <c r="AM18" s="57"/>
      <c r="AN18" s="23" t="str">
        <f>IFERROR(AK18/AK36*100,"")</f>
        <v/>
      </c>
      <c r="AO18" s="26" t="s">
        <v>56</v>
      </c>
      <c r="AP18" s="7">
        <f t="shared" ref="AP18:AP22" si="112">AQ18-AR18</f>
        <v>1969</v>
      </c>
      <c r="AQ18" s="56">
        <v>1969</v>
      </c>
      <c r="AR18" s="57"/>
      <c r="AS18" s="20">
        <f>IFERROR(AP18/AP36*100,"")</f>
        <v>62.527786598920287</v>
      </c>
      <c r="AT18" s="7">
        <f t="shared" ref="AT18:AT22" si="113">AU18-AV18</f>
        <v>0</v>
      </c>
      <c r="AU18" s="56"/>
      <c r="AV18" s="57"/>
      <c r="AW18" s="20">
        <f>IFERROR(AT18/AT36*100,"")</f>
        <v>0</v>
      </c>
      <c r="AX18" s="7">
        <f t="shared" ref="AX18:AX22" si="114">AY18-AZ18</f>
        <v>1919</v>
      </c>
      <c r="AY18" s="56">
        <v>1919</v>
      </c>
      <c r="AZ18" s="57"/>
      <c r="BA18" s="23">
        <f>IFERROR(AX18/AX36*100,"")</f>
        <v>101.10642781875659</v>
      </c>
      <c r="BB18" s="26" t="s">
        <v>56</v>
      </c>
      <c r="BC18" s="7">
        <f t="shared" ref="BC18:BC22" si="115">BD18-BE18</f>
        <v>1999</v>
      </c>
      <c r="BD18" s="56">
        <v>1999</v>
      </c>
      <c r="BE18" s="57"/>
      <c r="BF18" s="20">
        <f>IFERROR(BC18/BC36*100,"")</f>
        <v>63.480469990473168</v>
      </c>
      <c r="BG18" s="7">
        <f t="shared" ref="BG18:BG22" si="116">BH18-BI18</f>
        <v>0</v>
      </c>
      <c r="BH18" s="56"/>
      <c r="BI18" s="57"/>
      <c r="BJ18" s="20">
        <f>IFERROR(BG18/BG36*100,"")</f>
        <v>0</v>
      </c>
      <c r="BK18" s="7">
        <f t="shared" ref="BK18:BK22" si="117">BL18-BM18</f>
        <v>1899</v>
      </c>
      <c r="BL18" s="56">
        <v>1899</v>
      </c>
      <c r="BM18" s="57"/>
      <c r="BN18" s="23">
        <f>IFERROR(BK18/BK36*100,"")</f>
        <v>100</v>
      </c>
      <c r="BO18" s="26" t="s">
        <v>56</v>
      </c>
      <c r="BP18" s="7">
        <f t="shared" ref="BP18:BP22" si="118">BQ18-BR18</f>
        <v>2549</v>
      </c>
      <c r="BQ18" s="56">
        <v>2549</v>
      </c>
      <c r="BR18" s="57"/>
      <c r="BS18" s="20">
        <f>IFERROR(BP18/BP36*100,"")</f>
        <v>80.946332168942519</v>
      </c>
      <c r="BT18" s="7">
        <f t="shared" ref="BT18:BT22" si="119">BU18-BV18</f>
        <v>0</v>
      </c>
      <c r="BU18" s="56"/>
      <c r="BV18" s="57"/>
      <c r="BW18" s="20">
        <f>IFERROR(BT18/BT36*100,"")</f>
        <v>0</v>
      </c>
      <c r="BX18" s="7">
        <f t="shared" ref="BX18:BX22" si="120">BY18-BZ18</f>
        <v>1970</v>
      </c>
      <c r="BY18" s="56">
        <v>1970</v>
      </c>
      <c r="BZ18" s="57"/>
      <c r="CA18" s="23">
        <f>IFERROR(BX18/BX36*100,"")</f>
        <v>48.037064130699832</v>
      </c>
      <c r="CB18" s="26" t="s">
        <v>56</v>
      </c>
      <c r="CC18" s="7">
        <f t="shared" ref="CC18:CC22" si="121">CD18-CE18</f>
        <v>1879</v>
      </c>
      <c r="CD18" s="56">
        <v>1879</v>
      </c>
      <c r="CE18" s="57"/>
      <c r="CF18" s="20">
        <f>IFERROR(CC18/CC36*100,"")</f>
        <v>59.669736424261664</v>
      </c>
      <c r="CG18" s="7">
        <f t="shared" ref="CG18:CG22" si="122">CH18-CI18</f>
        <v>0</v>
      </c>
      <c r="CH18" s="56"/>
      <c r="CI18" s="57"/>
      <c r="CJ18" s="20">
        <f>IFERROR(CG18/CG36*100,"")</f>
        <v>0</v>
      </c>
      <c r="CK18" s="7">
        <f t="shared" ref="CK18:CK22" si="123">CL18-CM18</f>
        <v>1899</v>
      </c>
      <c r="CL18" s="56">
        <v>1899</v>
      </c>
      <c r="CM18" s="57"/>
      <c r="CN18" s="23" t="str">
        <f>IFERROR(CK18/CK36*100,"")</f>
        <v/>
      </c>
      <c r="CO18" s="26" t="s">
        <v>56</v>
      </c>
      <c r="CP18" s="7">
        <f t="shared" ref="CP18:CP22" si="124">CQ18-CR18</f>
        <v>1879</v>
      </c>
      <c r="CQ18" s="56">
        <v>1879</v>
      </c>
      <c r="CR18" s="57"/>
      <c r="CS18" s="20">
        <f>IFERROR(CP18/CP36*100,"")</f>
        <v>59.669736424261664</v>
      </c>
      <c r="CT18" s="7">
        <f t="shared" ref="CT18:CT22" si="125">CU18-CV18</f>
        <v>0</v>
      </c>
      <c r="CU18" s="56"/>
      <c r="CV18" s="57"/>
      <c r="CW18" s="20">
        <f>IFERROR(CT18/CT36*100,"")</f>
        <v>0</v>
      </c>
      <c r="CX18" s="7">
        <f t="shared" ref="CX18:CX22" si="126">CY18-CZ18</f>
        <v>2212</v>
      </c>
      <c r="CY18" s="56">
        <v>2212</v>
      </c>
      <c r="CZ18" s="57"/>
      <c r="DA18" s="23">
        <f>IFERROR(CX18/CX36*100,"")</f>
        <v>122.95719844357977</v>
      </c>
      <c r="DB18" s="26" t="s">
        <v>56</v>
      </c>
      <c r="DC18" s="7">
        <f t="shared" ref="DC18:DC19" si="127">DD18-DE18</f>
        <v>1999</v>
      </c>
      <c r="DD18" s="56">
        <v>1999</v>
      </c>
      <c r="DE18" s="57"/>
      <c r="DF18" s="20" t="str">
        <f>IFERROR(DC18/DC36*100,"")</f>
        <v/>
      </c>
      <c r="DG18" s="7">
        <f t="shared" ref="DG18:DG22" si="128">DH18-DI18</f>
        <v>0</v>
      </c>
      <c r="DH18" s="56"/>
      <c r="DI18" s="57"/>
      <c r="DJ18" s="20">
        <f>IFERROR(DG18/DG36*100,"")</f>
        <v>0</v>
      </c>
      <c r="DK18" s="7">
        <f t="shared" ref="DK18:DK22" si="129">DL18-DM18</f>
        <v>1899</v>
      </c>
      <c r="DL18" s="56">
        <v>1899</v>
      </c>
      <c r="DM18" s="57"/>
      <c r="DN18" s="23" t="str">
        <f>IFERROR(DK18/DK36*100,"")</f>
        <v/>
      </c>
      <c r="DO18" s="26" t="s">
        <v>56</v>
      </c>
      <c r="DP18" s="7">
        <f t="shared" ref="DP18:DP19" si="130">DQ18-DR18</f>
        <v>1999</v>
      </c>
      <c r="DQ18" s="56">
        <v>1999</v>
      </c>
      <c r="DR18" s="57"/>
      <c r="DS18" s="20">
        <f>IFERROR(DP18/DP36*100,"")</f>
        <v>63.480469990473168</v>
      </c>
      <c r="DT18" s="7">
        <f t="shared" ref="DT18:DT22" si="131">DU18-DV18</f>
        <v>0</v>
      </c>
      <c r="DU18" s="56"/>
      <c r="DV18" s="57"/>
      <c r="DW18" s="20">
        <f>IFERROR(DT18/DT36*100,"")</f>
        <v>0</v>
      </c>
      <c r="DX18" s="7">
        <f t="shared" ref="DX18:DX22" si="132">DY18-DZ18</f>
        <v>2215</v>
      </c>
      <c r="DY18" s="56">
        <v>2215</v>
      </c>
      <c r="DZ18" s="57"/>
      <c r="EA18" s="23" t="str">
        <f>IFERROR(DX18/DX36*100,"")</f>
        <v/>
      </c>
      <c r="EB18" s="26" t="s">
        <v>56</v>
      </c>
      <c r="EC18" s="7">
        <f t="shared" ref="EC18:EC19" si="133">ED18-EE18</f>
        <v>1999</v>
      </c>
      <c r="ED18" s="56">
        <v>1999</v>
      </c>
      <c r="EE18" s="57"/>
      <c r="EF18" s="20">
        <f>IFERROR(EC18/EC36*100,"")</f>
        <v>63.480469990473168</v>
      </c>
      <c r="EG18" s="7">
        <f t="shared" ref="EG18:EG22" si="134">EH18-EI18</f>
        <v>0</v>
      </c>
      <c r="EH18" s="56"/>
      <c r="EI18" s="57"/>
      <c r="EJ18" s="20">
        <f>IFERROR(EG18/EG36*100,"")</f>
        <v>0</v>
      </c>
      <c r="EK18" s="7">
        <f t="shared" ref="EK18:EK22" si="135">EL18-EM18</f>
        <v>2215</v>
      </c>
      <c r="EL18" s="56">
        <v>2215</v>
      </c>
      <c r="EM18" s="57"/>
      <c r="EN18" s="23" t="str">
        <f>IFERROR(EK18/EK36*100,"")</f>
        <v/>
      </c>
    </row>
    <row r="19" spans="2:144" outlineLevel="1" x14ac:dyDescent="0.3">
      <c r="B19" s="26" t="s">
        <v>57</v>
      </c>
      <c r="C19" s="7">
        <f t="shared" si="103"/>
        <v>0</v>
      </c>
      <c r="D19" s="56"/>
      <c r="E19" s="57"/>
      <c r="F19" s="20">
        <f>IFERROR(C19/C37*100,"")</f>
        <v>0</v>
      </c>
      <c r="G19" s="7">
        <f t="shared" si="104"/>
        <v>1899</v>
      </c>
      <c r="H19" s="56">
        <v>1899</v>
      </c>
      <c r="I19" s="57"/>
      <c r="J19" s="20">
        <f>IFERROR(G19/G37*100,"")</f>
        <v>111.77163037080635</v>
      </c>
      <c r="K19" s="7">
        <f t="shared" si="105"/>
        <v>1900</v>
      </c>
      <c r="L19" s="56">
        <v>1900</v>
      </c>
      <c r="M19" s="57"/>
      <c r="N19" s="23">
        <f>IFERROR(K19/K37*100,"")</f>
        <v>103.54223433242507</v>
      </c>
      <c r="O19" s="26" t="s">
        <v>57</v>
      </c>
      <c r="P19" s="7">
        <f t="shared" si="106"/>
        <v>0</v>
      </c>
      <c r="Q19" s="56"/>
      <c r="R19" s="57"/>
      <c r="S19" s="20">
        <f>IFERROR(P19/P37*100,"")</f>
        <v>0</v>
      </c>
      <c r="T19" s="7">
        <f t="shared" si="107"/>
        <v>1799</v>
      </c>
      <c r="U19" s="56">
        <v>1799</v>
      </c>
      <c r="V19" s="57"/>
      <c r="W19" s="20" t="str">
        <f>IFERROR(T19/T37*100,"")</f>
        <v/>
      </c>
      <c r="X19" s="7">
        <f t="shared" si="108"/>
        <v>1800</v>
      </c>
      <c r="Y19" s="56">
        <v>1800</v>
      </c>
      <c r="Z19" s="57"/>
      <c r="AA19" s="23">
        <f>IFERROR(X19/X37*100,"")</f>
        <v>68.545316070068537</v>
      </c>
      <c r="AB19" s="26" t="s">
        <v>57</v>
      </c>
      <c r="AC19" s="7">
        <f t="shared" si="109"/>
        <v>0</v>
      </c>
      <c r="AD19" s="56"/>
      <c r="AE19" s="57"/>
      <c r="AF19" s="20">
        <f>IFERROR(AC19/AC37*100,"")</f>
        <v>0</v>
      </c>
      <c r="AG19" s="7">
        <f t="shared" si="110"/>
        <v>1799</v>
      </c>
      <c r="AH19" s="56">
        <v>1799</v>
      </c>
      <c r="AI19" s="57"/>
      <c r="AJ19" s="20" t="str">
        <f>IFERROR(AG19/AG37*100,"")</f>
        <v/>
      </c>
      <c r="AK19" s="7">
        <f t="shared" si="111"/>
        <v>1695</v>
      </c>
      <c r="AL19" s="56">
        <v>1695</v>
      </c>
      <c r="AM19" s="57"/>
      <c r="AN19" s="23" t="str">
        <f>IFERROR(AK19/AK37*100,"")</f>
        <v/>
      </c>
      <c r="AO19" s="26" t="s">
        <v>57</v>
      </c>
      <c r="AP19" s="7">
        <f t="shared" si="112"/>
        <v>0</v>
      </c>
      <c r="AQ19" s="56"/>
      <c r="AR19" s="57"/>
      <c r="AS19" s="20">
        <f>IFERROR(AP19/AP37*100,"")</f>
        <v>0</v>
      </c>
      <c r="AT19" s="7">
        <f t="shared" si="113"/>
        <v>1799</v>
      </c>
      <c r="AU19" s="56">
        <v>1799</v>
      </c>
      <c r="AV19" s="57"/>
      <c r="AW19" s="20" t="str">
        <f>IFERROR(AT19/AT37*100,"")</f>
        <v/>
      </c>
      <c r="AX19" s="7">
        <f t="shared" si="114"/>
        <v>1695</v>
      </c>
      <c r="AY19" s="56">
        <v>1695</v>
      </c>
      <c r="AZ19" s="57"/>
      <c r="BA19" s="23">
        <f>IFERROR(AX19/AX37*100,"")</f>
        <v>109.42543576500969</v>
      </c>
      <c r="BB19" s="26" t="s">
        <v>57</v>
      </c>
      <c r="BC19" s="7">
        <f t="shared" si="115"/>
        <v>0</v>
      </c>
      <c r="BD19" s="56"/>
      <c r="BE19" s="57"/>
      <c r="BF19" s="20">
        <f>IFERROR(BC19/BC37*100,"")</f>
        <v>0</v>
      </c>
      <c r="BG19" s="7">
        <f t="shared" si="116"/>
        <v>1799</v>
      </c>
      <c r="BH19" s="56">
        <v>1799</v>
      </c>
      <c r="BI19" s="57"/>
      <c r="BJ19" s="20" t="str">
        <f>IFERROR(BG19/BG37*100,"")</f>
        <v/>
      </c>
      <c r="BK19" s="7">
        <f t="shared" si="117"/>
        <v>1695</v>
      </c>
      <c r="BL19" s="56">
        <v>1695</v>
      </c>
      <c r="BM19" s="57"/>
      <c r="BN19" s="23">
        <f>IFERROR(BK19/BK37*100,"")</f>
        <v>109.42543576500969</v>
      </c>
      <c r="BO19" s="26" t="s">
        <v>57</v>
      </c>
      <c r="BP19" s="7">
        <f t="shared" si="118"/>
        <v>0</v>
      </c>
      <c r="BQ19" s="56"/>
      <c r="BR19" s="57"/>
      <c r="BS19" s="20">
        <f>IFERROR(BP19/BP37*100,"")</f>
        <v>0</v>
      </c>
      <c r="BT19" s="7">
        <f t="shared" si="119"/>
        <v>1799</v>
      </c>
      <c r="BU19" s="56">
        <v>1799</v>
      </c>
      <c r="BV19" s="57"/>
      <c r="BW19" s="20" t="str">
        <f>IFERROR(BT19/BT37*100,"")</f>
        <v/>
      </c>
      <c r="BX19" s="7">
        <f t="shared" si="120"/>
        <v>1434</v>
      </c>
      <c r="BY19" s="56">
        <v>1434</v>
      </c>
      <c r="BZ19" s="57"/>
      <c r="CA19" s="23">
        <f>IFERROR(BX19/BX37*100,"")</f>
        <v>63.395225464190986</v>
      </c>
      <c r="CB19" s="26" t="s">
        <v>57</v>
      </c>
      <c r="CC19" s="7">
        <f t="shared" si="121"/>
        <v>0</v>
      </c>
      <c r="CD19" s="56"/>
      <c r="CE19" s="57"/>
      <c r="CF19" s="20">
        <f>IFERROR(CC19/CC37*100,"")</f>
        <v>0</v>
      </c>
      <c r="CG19" s="7">
        <f t="shared" si="122"/>
        <v>1799</v>
      </c>
      <c r="CH19" s="56">
        <v>1799</v>
      </c>
      <c r="CI19" s="57"/>
      <c r="CJ19" s="20" t="str">
        <f>IFERROR(CG19/CG37*100,"")</f>
        <v/>
      </c>
      <c r="CK19" s="7">
        <f t="shared" si="123"/>
        <v>1695</v>
      </c>
      <c r="CL19" s="56">
        <v>1695</v>
      </c>
      <c r="CM19" s="57"/>
      <c r="CN19" s="23">
        <f>IFERROR(CK19/CK37*100,"")</f>
        <v>74.933687002652519</v>
      </c>
      <c r="CO19" s="26" t="s">
        <v>57</v>
      </c>
      <c r="CP19" s="7">
        <f t="shared" si="124"/>
        <v>0</v>
      </c>
      <c r="CQ19" s="56"/>
      <c r="CR19" s="57"/>
      <c r="CS19" s="20">
        <f>IFERROR(CP19/CP37*100,"")</f>
        <v>0</v>
      </c>
      <c r="CT19" s="7">
        <f t="shared" si="125"/>
        <v>1799</v>
      </c>
      <c r="CU19" s="56">
        <v>1799</v>
      </c>
      <c r="CV19" s="57"/>
      <c r="CW19" s="20" t="str">
        <f>IFERROR(CT19/CT37*100,"")</f>
        <v/>
      </c>
      <c r="CX19" s="7">
        <f t="shared" si="126"/>
        <v>1659</v>
      </c>
      <c r="CY19" s="56">
        <v>1659</v>
      </c>
      <c r="CZ19" s="57"/>
      <c r="DA19" s="23">
        <f>IFERROR(CX19/CX37*100,"")</f>
        <v>73.342175066313004</v>
      </c>
      <c r="DB19" s="26" t="s">
        <v>57</v>
      </c>
      <c r="DC19" s="7">
        <f t="shared" si="127"/>
        <v>0</v>
      </c>
      <c r="DD19" s="56"/>
      <c r="DE19" s="57"/>
      <c r="DF19" s="20" t="str">
        <f>IFERROR(DC19/DC37*100,"")</f>
        <v/>
      </c>
      <c r="DG19" s="7">
        <f t="shared" si="128"/>
        <v>1799</v>
      </c>
      <c r="DH19" s="56">
        <v>1799</v>
      </c>
      <c r="DI19" s="57"/>
      <c r="DJ19" s="20" t="str">
        <f>IFERROR(DG19/DG37*100,"")</f>
        <v/>
      </c>
      <c r="DK19" s="7">
        <f t="shared" si="129"/>
        <v>1800</v>
      </c>
      <c r="DL19" s="56">
        <v>1800</v>
      </c>
      <c r="DM19" s="57"/>
      <c r="DN19" s="23">
        <f>IFERROR(DK19/DK37*100,"")</f>
        <v>79.400088222320235</v>
      </c>
      <c r="DO19" s="26" t="s">
        <v>57</v>
      </c>
      <c r="DP19" s="7">
        <f t="shared" si="130"/>
        <v>0</v>
      </c>
      <c r="DQ19" s="56"/>
      <c r="DR19" s="57"/>
      <c r="DS19" s="20">
        <f>IFERROR(DP19/DP37*100,"")</f>
        <v>0</v>
      </c>
      <c r="DT19" s="7">
        <f t="shared" si="131"/>
        <v>1599</v>
      </c>
      <c r="DU19" s="56">
        <v>1599</v>
      </c>
      <c r="DV19" s="57"/>
      <c r="DW19" s="20" t="str">
        <f>IFERROR(DT19/DT37*100,"")</f>
        <v/>
      </c>
      <c r="DX19" s="7">
        <f t="shared" si="132"/>
        <v>1594</v>
      </c>
      <c r="DY19" s="56">
        <v>1594</v>
      </c>
      <c r="DZ19" s="57"/>
      <c r="EA19" s="23">
        <f>IFERROR(DX19/DX37*100,"")</f>
        <v>70.313189236876923</v>
      </c>
      <c r="EB19" s="26" t="s">
        <v>57</v>
      </c>
      <c r="EC19" s="7">
        <f t="shared" si="133"/>
        <v>0</v>
      </c>
      <c r="ED19" s="56"/>
      <c r="EE19" s="57"/>
      <c r="EF19" s="20">
        <f>IFERROR(EC19/EC37*100,"")</f>
        <v>0</v>
      </c>
      <c r="EG19" s="7">
        <f t="shared" si="134"/>
        <v>1599</v>
      </c>
      <c r="EH19" s="56">
        <v>1599</v>
      </c>
      <c r="EI19" s="57"/>
      <c r="EJ19" s="20" t="str">
        <f>IFERROR(EG19/EG37*100,"")</f>
        <v/>
      </c>
      <c r="EK19" s="7">
        <f t="shared" si="135"/>
        <v>1594</v>
      </c>
      <c r="EL19" s="56">
        <v>1594</v>
      </c>
      <c r="EM19" s="57"/>
      <c r="EN19" s="23">
        <f>IFERROR(EK19/EK37*100,"")</f>
        <v>70.313189236876923</v>
      </c>
    </row>
    <row r="20" spans="2:144" outlineLevel="1" x14ac:dyDescent="0.3">
      <c r="B20" s="26" t="s">
        <v>58</v>
      </c>
      <c r="C20" s="7">
        <f t="shared" si="103"/>
        <v>1199</v>
      </c>
      <c r="D20" s="56">
        <v>1199</v>
      </c>
      <c r="E20" s="57"/>
      <c r="F20" s="20">
        <f t="shared" ref="F20:F22" si="136">IFERROR(C20/C38*100,"")</f>
        <v>69.34644303065356</v>
      </c>
      <c r="G20" s="7">
        <f t="shared" si="104"/>
        <v>1199</v>
      </c>
      <c r="H20" s="56">
        <v>1199</v>
      </c>
      <c r="I20" s="57"/>
      <c r="J20" s="20">
        <f t="shared" ref="J20:J22" si="137">IFERROR(G20/G38*100,"")</f>
        <v>92.30177059276366</v>
      </c>
      <c r="K20" s="7">
        <f t="shared" si="105"/>
        <v>1199</v>
      </c>
      <c r="L20" s="56">
        <v>1199</v>
      </c>
      <c r="M20" s="57"/>
      <c r="N20" s="23">
        <f t="shared" ref="N20:N22" si="138">IFERROR(K20/K38*100,"")</f>
        <v>92.30177059276366</v>
      </c>
      <c r="O20" s="26" t="s">
        <v>58</v>
      </c>
      <c r="P20" s="7">
        <f t="shared" si="106"/>
        <v>1179</v>
      </c>
      <c r="Q20" s="56">
        <v>1179</v>
      </c>
      <c r="R20" s="57"/>
      <c r="S20" s="20">
        <f t="shared" ref="S20:S22" si="139">IFERROR(P20/P38*100,"")</f>
        <v>68.189705031810306</v>
      </c>
      <c r="T20" s="7">
        <f t="shared" si="107"/>
        <v>1099</v>
      </c>
      <c r="U20" s="56">
        <v>1099</v>
      </c>
      <c r="V20" s="57"/>
      <c r="W20" s="20" t="str">
        <f t="shared" ref="W20:W22" si="140">IFERROR(T20/T38*100,"")</f>
        <v/>
      </c>
      <c r="X20" s="7">
        <f t="shared" si="108"/>
        <v>1162</v>
      </c>
      <c r="Y20" s="56">
        <v>1162</v>
      </c>
      <c r="Z20" s="57"/>
      <c r="AA20" s="23">
        <f t="shared" ref="AA20:AA22" si="141">IFERROR(X20/X38*100,"")</f>
        <v>89.453425712086215</v>
      </c>
      <c r="AB20" s="26" t="s">
        <v>58</v>
      </c>
      <c r="AC20" s="7">
        <f t="shared" si="109"/>
        <v>1179</v>
      </c>
      <c r="AD20" s="56">
        <v>1179</v>
      </c>
      <c r="AE20" s="57"/>
      <c r="AF20" s="20">
        <f t="shared" ref="AF20:AF22" si="142">IFERROR(AC20/AC38*100,"")</f>
        <v>68.189705031810306</v>
      </c>
      <c r="AG20" s="7">
        <f t="shared" si="110"/>
        <v>1149</v>
      </c>
      <c r="AH20" s="56">
        <v>1149</v>
      </c>
      <c r="AI20" s="57"/>
      <c r="AJ20" s="20" t="str">
        <f t="shared" ref="AJ20:AJ22" si="143">IFERROR(AG20/AG38*100,"")</f>
        <v/>
      </c>
      <c r="AK20" s="7">
        <f t="shared" si="111"/>
        <v>1167</v>
      </c>
      <c r="AL20" s="56">
        <v>1167</v>
      </c>
      <c r="AM20" s="57"/>
      <c r="AN20" s="23">
        <f t="shared" ref="AN20:AN22" si="144">IFERROR(AK20/AK38*100,"")</f>
        <v>89.838337182448029</v>
      </c>
      <c r="AO20" s="26" t="s">
        <v>58</v>
      </c>
      <c r="AP20" s="7">
        <f t="shared" si="112"/>
        <v>1179</v>
      </c>
      <c r="AQ20" s="56">
        <v>1179</v>
      </c>
      <c r="AR20" s="57"/>
      <c r="AS20" s="20">
        <f t="shared" ref="AS20:AS22" si="145">IFERROR(AP20/AP38*100,"")</f>
        <v>68.189705031810306</v>
      </c>
      <c r="AT20" s="7">
        <f t="shared" si="113"/>
        <v>1149</v>
      </c>
      <c r="AU20" s="56">
        <v>1149</v>
      </c>
      <c r="AV20" s="57"/>
      <c r="AW20" s="20" t="str">
        <f t="shared" ref="AW20:AW22" si="146">IFERROR(AT20/AT38*100,"")</f>
        <v/>
      </c>
      <c r="AX20" s="7">
        <f t="shared" si="114"/>
        <v>1144</v>
      </c>
      <c r="AY20" s="56">
        <v>1144</v>
      </c>
      <c r="AZ20" s="57"/>
      <c r="BA20" s="23">
        <f t="shared" ref="BA20:BA22" si="147">IFERROR(AX20/AX38*100,"")</f>
        <v>91.593274619695748</v>
      </c>
      <c r="BB20" s="26" t="s">
        <v>58</v>
      </c>
      <c r="BC20" s="7">
        <f t="shared" si="115"/>
        <v>1189</v>
      </c>
      <c r="BD20" s="56">
        <v>1189</v>
      </c>
      <c r="BE20" s="57"/>
      <c r="BF20" s="20">
        <f t="shared" ref="BF20:BF22" si="148">IFERROR(BC20/BC38*100,"")</f>
        <v>68.768074031231933</v>
      </c>
      <c r="BG20" s="7">
        <f t="shared" si="116"/>
        <v>1199</v>
      </c>
      <c r="BH20" s="56">
        <v>1199</v>
      </c>
      <c r="BI20" s="57"/>
      <c r="BJ20" s="20" t="str">
        <f t="shared" ref="BJ20:BJ22" si="149">IFERROR(BG20/BG38*100,"")</f>
        <v/>
      </c>
      <c r="BK20" s="7">
        <f t="shared" si="117"/>
        <v>1111</v>
      </c>
      <c r="BL20" s="56">
        <v>1111</v>
      </c>
      <c r="BM20" s="57"/>
      <c r="BN20" s="23">
        <f t="shared" ref="BN20:BN22" si="150">IFERROR(BK20/BK38*100,"")</f>
        <v>85.527328714395694</v>
      </c>
      <c r="BO20" s="26" t="s">
        <v>58</v>
      </c>
      <c r="BP20" s="7">
        <f t="shared" si="118"/>
        <v>1099</v>
      </c>
      <c r="BQ20" s="56">
        <v>1099</v>
      </c>
      <c r="BR20" s="57"/>
      <c r="BS20" s="20">
        <f t="shared" ref="BS20:BS22" si="151">IFERROR(BP20/BP38*100,"")</f>
        <v>62.835906232132643</v>
      </c>
      <c r="BT20" s="7">
        <f t="shared" si="119"/>
        <v>1199</v>
      </c>
      <c r="BU20" s="56">
        <v>1199</v>
      </c>
      <c r="BV20" s="57"/>
      <c r="BW20" s="20" t="str">
        <f t="shared" ref="BW20:BW22" si="152">IFERROR(BT20/BT38*100,"")</f>
        <v/>
      </c>
      <c r="BX20" s="7">
        <f t="shared" si="120"/>
        <v>1111</v>
      </c>
      <c r="BY20" s="56">
        <v>1111</v>
      </c>
      <c r="BZ20" s="57"/>
      <c r="CA20" s="23">
        <f t="shared" ref="CA20:CA22" si="153">IFERROR(BX20/BX38*100,"")</f>
        <v>88.951160928742993</v>
      </c>
      <c r="CB20" s="26" t="s">
        <v>58</v>
      </c>
      <c r="CC20" s="7">
        <f t="shared" si="121"/>
        <v>1099</v>
      </c>
      <c r="CD20" s="56">
        <v>1099</v>
      </c>
      <c r="CE20" s="57"/>
      <c r="CF20" s="20">
        <f t="shared" ref="CF20:CF22" si="154">IFERROR(CC20/CC38*100,"")</f>
        <v>62.835906232132643</v>
      </c>
      <c r="CG20" s="7">
        <f t="shared" si="122"/>
        <v>1199</v>
      </c>
      <c r="CH20" s="56">
        <v>1199</v>
      </c>
      <c r="CI20" s="57"/>
      <c r="CJ20" s="20" t="str">
        <f t="shared" ref="CJ20:CJ22" si="155">IFERROR(CG20/CG38*100,"")</f>
        <v/>
      </c>
      <c r="CK20" s="7">
        <f t="shared" si="123"/>
        <v>1099</v>
      </c>
      <c r="CL20" s="56">
        <v>1099</v>
      </c>
      <c r="CM20" s="57"/>
      <c r="CN20" s="23">
        <f t="shared" ref="CN20:CN22" si="156">IFERROR(CK20/CK38*100,"")</f>
        <v>87.990392313851089</v>
      </c>
      <c r="CO20" s="26" t="s">
        <v>58</v>
      </c>
      <c r="CP20" s="7">
        <f>CQ20-CR20</f>
        <v>1199</v>
      </c>
      <c r="CQ20" s="56">
        <v>1199</v>
      </c>
      <c r="CR20" s="57"/>
      <c r="CS20" s="20">
        <f t="shared" ref="CS20:CS22" si="157">IFERROR(CP20/CP38*100,"")</f>
        <v>68.55345911949685</v>
      </c>
      <c r="CT20" s="7">
        <f t="shared" si="125"/>
        <v>1199</v>
      </c>
      <c r="CU20" s="56">
        <v>1199</v>
      </c>
      <c r="CV20" s="57"/>
      <c r="CW20" s="20" t="str">
        <f t="shared" ref="CW20:CW22" si="158">IFERROR(CT20/CT38*100,"")</f>
        <v/>
      </c>
      <c r="CX20" s="7">
        <f t="shared" si="126"/>
        <v>1199</v>
      </c>
      <c r="CY20" s="56">
        <v>1199</v>
      </c>
      <c r="CZ20" s="57"/>
      <c r="DA20" s="23">
        <f t="shared" ref="DA20:DA22" si="159">IFERROR(CX20/CX38*100,"")</f>
        <v>90.082644628099175</v>
      </c>
      <c r="DB20" s="26" t="s">
        <v>58</v>
      </c>
      <c r="DC20" s="7">
        <f>DD20-DE20</f>
        <v>1099</v>
      </c>
      <c r="DD20" s="56">
        <v>1099</v>
      </c>
      <c r="DE20" s="57"/>
      <c r="DF20" s="20" t="str">
        <f t="shared" ref="DF20:DF22" si="160">IFERROR(DC20/DC38*100,"")</f>
        <v/>
      </c>
      <c r="DG20" s="7">
        <f t="shared" si="128"/>
        <v>1199</v>
      </c>
      <c r="DH20" s="56">
        <v>1199</v>
      </c>
      <c r="DI20" s="57"/>
      <c r="DJ20" s="20" t="str">
        <f t="shared" ref="DJ20:DJ22" si="161">IFERROR(DG20/DG38*100,"")</f>
        <v/>
      </c>
      <c r="DK20" s="7">
        <f t="shared" si="129"/>
        <v>1099</v>
      </c>
      <c r="DL20" s="56">
        <v>1099</v>
      </c>
      <c r="DM20" s="57"/>
      <c r="DN20" s="23">
        <f t="shared" ref="DN20:DN22" si="162">IFERROR(DK20/DK38*100,"")</f>
        <v>82.569496619083395</v>
      </c>
      <c r="DO20" s="26" t="s">
        <v>58</v>
      </c>
      <c r="DP20" s="7">
        <f>DQ20-DR20</f>
        <v>1419</v>
      </c>
      <c r="DQ20" s="56">
        <v>1419</v>
      </c>
      <c r="DR20" s="57"/>
      <c r="DS20" s="20">
        <f t="shared" ref="DS20:DS22" si="163">IFERROR(DP20/DP38*100,"")</f>
        <v>81.132075471698116</v>
      </c>
      <c r="DT20" s="7">
        <f t="shared" si="131"/>
        <v>1199</v>
      </c>
      <c r="DU20" s="56">
        <v>1199</v>
      </c>
      <c r="DV20" s="57"/>
      <c r="DW20" s="20" t="str">
        <f t="shared" ref="DW20:DW22" si="164">IFERROR(DT20/DT38*100,"")</f>
        <v/>
      </c>
      <c r="DX20" s="7">
        <f t="shared" si="132"/>
        <v>1167</v>
      </c>
      <c r="DY20" s="56">
        <v>1167</v>
      </c>
      <c r="DZ20" s="57"/>
      <c r="EA20" s="23">
        <f t="shared" ref="EA20:EA22" si="165">IFERROR(DX20/DX38*100,"")</f>
        <v>93.43474779823859</v>
      </c>
      <c r="EB20" s="26" t="s">
        <v>58</v>
      </c>
      <c r="EC20" s="7">
        <f>ED20-EE20</f>
        <v>1419</v>
      </c>
      <c r="ED20" s="56">
        <v>1419</v>
      </c>
      <c r="EE20" s="57"/>
      <c r="EF20" s="20">
        <f t="shared" ref="EF20:EF22" si="166">IFERROR(EC20/EC38*100,"")</f>
        <v>81.132075471698116</v>
      </c>
      <c r="EG20" s="7">
        <f t="shared" si="134"/>
        <v>1199</v>
      </c>
      <c r="EH20" s="56">
        <v>1199</v>
      </c>
      <c r="EI20" s="57"/>
      <c r="EJ20" s="20" t="str">
        <f t="shared" ref="EJ20:EJ22" si="167">IFERROR(EG20/EG38*100,"")</f>
        <v/>
      </c>
      <c r="EK20" s="7">
        <f t="shared" si="135"/>
        <v>1167</v>
      </c>
      <c r="EL20" s="56">
        <v>1167</v>
      </c>
      <c r="EM20" s="57"/>
      <c r="EN20" s="23">
        <f t="shared" ref="EN20:EN22" si="168">IFERROR(EK20/EK38*100,"")</f>
        <v>93.43474779823859</v>
      </c>
    </row>
    <row r="21" spans="2:144" outlineLevel="1" x14ac:dyDescent="0.3">
      <c r="B21" s="26" t="s">
        <v>59</v>
      </c>
      <c r="C21" s="7">
        <f t="shared" si="103"/>
        <v>879</v>
      </c>
      <c r="D21" s="56">
        <v>879</v>
      </c>
      <c r="E21" s="57"/>
      <c r="F21" s="20">
        <f t="shared" si="136"/>
        <v>65.111111111111114</v>
      </c>
      <c r="G21" s="7">
        <f t="shared" si="104"/>
        <v>979</v>
      </c>
      <c r="H21" s="56">
        <v>979</v>
      </c>
      <c r="I21" s="57"/>
      <c r="J21" s="20">
        <f t="shared" si="137"/>
        <v>97.997997997997999</v>
      </c>
      <c r="K21" s="7">
        <f t="shared" si="105"/>
        <v>899</v>
      </c>
      <c r="L21" s="56">
        <v>899</v>
      </c>
      <c r="M21" s="57"/>
      <c r="N21" s="23">
        <f t="shared" si="138"/>
        <v>92.205128205128204</v>
      </c>
      <c r="O21" s="26" t="s">
        <v>59</v>
      </c>
      <c r="P21" s="7">
        <f t="shared" si="106"/>
        <v>899</v>
      </c>
      <c r="Q21" s="56">
        <v>899</v>
      </c>
      <c r="R21" s="57"/>
      <c r="S21" s="20">
        <f t="shared" si="139"/>
        <v>100</v>
      </c>
      <c r="T21" s="7">
        <f t="shared" si="107"/>
        <v>849</v>
      </c>
      <c r="U21" s="56">
        <v>849</v>
      </c>
      <c r="V21" s="57"/>
      <c r="W21" s="20">
        <f t="shared" si="140"/>
        <v>94.438264738598448</v>
      </c>
      <c r="X21" s="7">
        <f t="shared" si="108"/>
        <v>850</v>
      </c>
      <c r="Y21" s="56">
        <v>850</v>
      </c>
      <c r="Z21" s="57"/>
      <c r="AA21" s="23">
        <f t="shared" si="141"/>
        <v>78.630897317298803</v>
      </c>
      <c r="AB21" s="26" t="s">
        <v>59</v>
      </c>
      <c r="AC21" s="7">
        <f t="shared" si="109"/>
        <v>819</v>
      </c>
      <c r="AD21" s="56">
        <v>819</v>
      </c>
      <c r="AE21" s="57"/>
      <c r="AF21" s="20">
        <f t="shared" si="142"/>
        <v>64.488188976377955</v>
      </c>
      <c r="AG21" s="7">
        <f t="shared" si="110"/>
        <v>869</v>
      </c>
      <c r="AH21" s="56">
        <v>869</v>
      </c>
      <c r="AI21" s="57"/>
      <c r="AJ21" s="20">
        <f t="shared" si="143"/>
        <v>96.662958843159061</v>
      </c>
      <c r="AK21" s="7">
        <f t="shared" si="111"/>
        <v>899</v>
      </c>
      <c r="AL21" s="56">
        <v>899</v>
      </c>
      <c r="AM21" s="57"/>
      <c r="AN21" s="23">
        <f t="shared" si="144"/>
        <v>104.65657741559953</v>
      </c>
      <c r="AO21" s="26" t="s">
        <v>59</v>
      </c>
      <c r="AP21" s="7">
        <f t="shared" si="112"/>
        <v>819</v>
      </c>
      <c r="AQ21" s="56">
        <v>819</v>
      </c>
      <c r="AR21" s="57"/>
      <c r="AS21" s="20">
        <f t="shared" si="145"/>
        <v>64.488188976377955</v>
      </c>
      <c r="AT21" s="7">
        <f t="shared" si="113"/>
        <v>829</v>
      </c>
      <c r="AU21" s="56">
        <v>829</v>
      </c>
      <c r="AV21" s="57"/>
      <c r="AW21" s="20">
        <f t="shared" si="146"/>
        <v>92.213570634037822</v>
      </c>
      <c r="AX21" s="7">
        <f t="shared" si="114"/>
        <v>899</v>
      </c>
      <c r="AY21" s="56">
        <v>899</v>
      </c>
      <c r="AZ21" s="57"/>
      <c r="BA21" s="23">
        <f t="shared" si="147"/>
        <v>94.731296101159117</v>
      </c>
      <c r="BB21" s="26" t="s">
        <v>59</v>
      </c>
      <c r="BC21" s="7">
        <f t="shared" si="115"/>
        <v>789</v>
      </c>
      <c r="BD21" s="56">
        <v>789</v>
      </c>
      <c r="BE21" s="57"/>
      <c r="BF21" s="20">
        <f t="shared" si="148"/>
        <v>62.125984251968504</v>
      </c>
      <c r="BG21" s="7">
        <f t="shared" si="116"/>
        <v>849</v>
      </c>
      <c r="BH21" s="56">
        <v>849</v>
      </c>
      <c r="BI21" s="57"/>
      <c r="BJ21" s="20">
        <f t="shared" si="149"/>
        <v>80.934223069590089</v>
      </c>
      <c r="BK21" s="7">
        <f t="shared" si="117"/>
        <v>819</v>
      </c>
      <c r="BL21" s="56">
        <v>819</v>
      </c>
      <c r="BM21" s="57"/>
      <c r="BN21" s="23">
        <f t="shared" si="150"/>
        <v>86.301369863013704</v>
      </c>
      <c r="BO21" s="26" t="s">
        <v>59</v>
      </c>
      <c r="BP21" s="7">
        <f t="shared" si="118"/>
        <v>799</v>
      </c>
      <c r="BQ21" s="56">
        <v>799</v>
      </c>
      <c r="BR21" s="57"/>
      <c r="BS21" s="20">
        <f t="shared" si="151"/>
        <v>61.746522411128282</v>
      </c>
      <c r="BT21" s="7">
        <f t="shared" si="119"/>
        <v>819</v>
      </c>
      <c r="BU21" s="56">
        <v>819</v>
      </c>
      <c r="BV21" s="57"/>
      <c r="BW21" s="20">
        <f t="shared" si="152"/>
        <v>78.074356530028595</v>
      </c>
      <c r="BX21" s="7">
        <f t="shared" si="120"/>
        <v>839</v>
      </c>
      <c r="BY21" s="56">
        <v>839</v>
      </c>
      <c r="BZ21" s="57"/>
      <c r="CA21" s="23">
        <f t="shared" si="153"/>
        <v>88.408851422550043</v>
      </c>
      <c r="CB21" s="26" t="s">
        <v>59</v>
      </c>
      <c r="CC21" s="7">
        <f t="shared" si="121"/>
        <v>799</v>
      </c>
      <c r="CD21" s="56">
        <v>799</v>
      </c>
      <c r="CE21" s="57"/>
      <c r="CF21" s="20">
        <f t="shared" si="154"/>
        <v>61.038961038961034</v>
      </c>
      <c r="CG21" s="7">
        <f t="shared" si="122"/>
        <v>819</v>
      </c>
      <c r="CH21" s="56">
        <v>819</v>
      </c>
      <c r="CI21" s="57"/>
      <c r="CJ21" s="20">
        <f t="shared" si="155"/>
        <v>78.074356530028595</v>
      </c>
      <c r="CK21" s="7">
        <f t="shared" si="123"/>
        <v>799</v>
      </c>
      <c r="CL21" s="56">
        <v>799</v>
      </c>
      <c r="CM21" s="57"/>
      <c r="CN21" s="23" t="str">
        <f t="shared" si="156"/>
        <v/>
      </c>
      <c r="CO21" s="26" t="s">
        <v>59</v>
      </c>
      <c r="CP21" s="7">
        <f>CQ21-CR21</f>
        <v>1019</v>
      </c>
      <c r="CQ21" s="56">
        <v>1019</v>
      </c>
      <c r="CR21" s="57"/>
      <c r="CS21" s="20">
        <f t="shared" si="157"/>
        <v>53.659820958399166</v>
      </c>
      <c r="CT21" s="7">
        <f t="shared" si="125"/>
        <v>0</v>
      </c>
      <c r="CU21" s="56"/>
      <c r="CV21" s="57"/>
      <c r="CW21" s="20">
        <f t="shared" si="158"/>
        <v>0</v>
      </c>
      <c r="CX21" s="7">
        <f t="shared" si="126"/>
        <v>900</v>
      </c>
      <c r="CY21" s="56">
        <v>900</v>
      </c>
      <c r="CZ21" s="57"/>
      <c r="DA21" s="23">
        <f t="shared" si="159"/>
        <v>75.503355704697981</v>
      </c>
      <c r="DB21" s="26" t="s">
        <v>59</v>
      </c>
      <c r="DC21" s="7">
        <f>DD21-DE21</f>
        <v>815</v>
      </c>
      <c r="DD21" s="56">
        <v>815</v>
      </c>
      <c r="DE21" s="57"/>
      <c r="DF21" s="20" t="str">
        <f t="shared" si="160"/>
        <v/>
      </c>
      <c r="DG21" s="7">
        <f t="shared" si="128"/>
        <v>0</v>
      </c>
      <c r="DH21" s="56"/>
      <c r="DI21" s="57"/>
      <c r="DJ21" s="20">
        <f t="shared" si="161"/>
        <v>0</v>
      </c>
      <c r="DK21" s="7">
        <f t="shared" si="129"/>
        <v>799</v>
      </c>
      <c r="DL21" s="56">
        <v>799</v>
      </c>
      <c r="DM21" s="57"/>
      <c r="DN21" s="23">
        <f t="shared" si="162"/>
        <v>67.030201342281885</v>
      </c>
      <c r="DO21" s="26" t="s">
        <v>59</v>
      </c>
      <c r="DP21" s="7">
        <f>DQ21-DR21</f>
        <v>789</v>
      </c>
      <c r="DQ21" s="56">
        <v>789</v>
      </c>
      <c r="DR21" s="57"/>
      <c r="DS21" s="20">
        <f t="shared" si="163"/>
        <v>41.548183254344387</v>
      </c>
      <c r="DT21" s="7">
        <f t="shared" si="131"/>
        <v>0</v>
      </c>
      <c r="DU21" s="56"/>
      <c r="DV21" s="57"/>
      <c r="DW21" s="20">
        <f t="shared" si="164"/>
        <v>0</v>
      </c>
      <c r="DX21" s="7">
        <f t="shared" si="132"/>
        <v>844</v>
      </c>
      <c r="DY21" s="56">
        <v>844</v>
      </c>
      <c r="DZ21" s="57"/>
      <c r="EA21" s="23">
        <f t="shared" si="165"/>
        <v>78.584729981378018</v>
      </c>
      <c r="EB21" s="26" t="s">
        <v>59</v>
      </c>
      <c r="EC21" s="7">
        <f>ED21-EE21</f>
        <v>789</v>
      </c>
      <c r="ED21" s="56">
        <v>789</v>
      </c>
      <c r="EE21" s="57"/>
      <c r="EF21" s="20">
        <f t="shared" si="166"/>
        <v>41.548183254344387</v>
      </c>
      <c r="EG21" s="7">
        <f t="shared" si="134"/>
        <v>0</v>
      </c>
      <c r="EH21" s="56"/>
      <c r="EI21" s="57"/>
      <c r="EJ21" s="20">
        <f t="shared" si="167"/>
        <v>0</v>
      </c>
      <c r="EK21" s="7">
        <f t="shared" si="135"/>
        <v>844</v>
      </c>
      <c r="EL21" s="56">
        <v>844</v>
      </c>
      <c r="EM21" s="57"/>
      <c r="EN21" s="23">
        <f t="shared" si="168"/>
        <v>78.584729981378018</v>
      </c>
    </row>
    <row r="22" spans="2:144" outlineLevel="1" x14ac:dyDescent="0.3">
      <c r="B22" s="26" t="s">
        <v>60</v>
      </c>
      <c r="C22" s="7">
        <f t="shared" si="103"/>
        <v>749</v>
      </c>
      <c r="D22" s="56">
        <v>749</v>
      </c>
      <c r="E22" s="57"/>
      <c r="F22" s="20" t="str">
        <f t="shared" si="136"/>
        <v/>
      </c>
      <c r="G22" s="7">
        <f t="shared" si="104"/>
        <v>799</v>
      </c>
      <c r="H22" s="56">
        <v>799</v>
      </c>
      <c r="I22" s="57"/>
      <c r="J22" s="20" t="str">
        <f t="shared" si="137"/>
        <v/>
      </c>
      <c r="K22" s="7">
        <f t="shared" si="105"/>
        <v>750</v>
      </c>
      <c r="L22" s="56">
        <v>750</v>
      </c>
      <c r="M22" s="57"/>
      <c r="N22" s="83" t="str">
        <f t="shared" si="138"/>
        <v/>
      </c>
      <c r="O22" s="26" t="s">
        <v>60</v>
      </c>
      <c r="P22" s="7">
        <f t="shared" si="106"/>
        <v>749</v>
      </c>
      <c r="Q22" s="56">
        <v>749</v>
      </c>
      <c r="R22" s="57"/>
      <c r="S22" s="20" t="str">
        <f t="shared" si="139"/>
        <v/>
      </c>
      <c r="T22" s="7">
        <f t="shared" si="107"/>
        <v>799</v>
      </c>
      <c r="U22" s="56">
        <v>799</v>
      </c>
      <c r="V22" s="57"/>
      <c r="W22" s="20" t="str">
        <f t="shared" si="140"/>
        <v/>
      </c>
      <c r="X22" s="7">
        <f t="shared" si="108"/>
        <v>727</v>
      </c>
      <c r="Y22" s="56">
        <v>727</v>
      </c>
      <c r="Z22" s="57"/>
      <c r="AA22" s="83" t="str">
        <f t="shared" si="141"/>
        <v/>
      </c>
      <c r="AB22" s="26" t="s">
        <v>60</v>
      </c>
      <c r="AC22" s="7">
        <f t="shared" si="109"/>
        <v>749</v>
      </c>
      <c r="AD22" s="56">
        <v>749</v>
      </c>
      <c r="AE22" s="57"/>
      <c r="AF22" s="20" t="str">
        <f t="shared" si="142"/>
        <v/>
      </c>
      <c r="AG22" s="7">
        <f t="shared" si="110"/>
        <v>769</v>
      </c>
      <c r="AH22" s="56">
        <v>769</v>
      </c>
      <c r="AI22" s="57"/>
      <c r="AJ22" s="20" t="str">
        <f t="shared" si="143"/>
        <v/>
      </c>
      <c r="AK22" s="7">
        <f t="shared" si="111"/>
        <v>799</v>
      </c>
      <c r="AL22" s="56">
        <v>799</v>
      </c>
      <c r="AM22" s="57"/>
      <c r="AN22" s="83" t="str">
        <f t="shared" si="144"/>
        <v/>
      </c>
      <c r="AO22" s="26" t="s">
        <v>60</v>
      </c>
      <c r="AP22" s="7">
        <f t="shared" si="112"/>
        <v>749</v>
      </c>
      <c r="AQ22" s="56">
        <v>749</v>
      </c>
      <c r="AR22" s="57"/>
      <c r="AS22" s="20" t="str">
        <f t="shared" si="145"/>
        <v/>
      </c>
      <c r="AT22" s="7">
        <f t="shared" si="113"/>
        <v>769</v>
      </c>
      <c r="AU22" s="56">
        <v>769</v>
      </c>
      <c r="AV22" s="57"/>
      <c r="AW22" s="20" t="str">
        <f t="shared" si="146"/>
        <v/>
      </c>
      <c r="AX22" s="7">
        <f t="shared" si="114"/>
        <v>799</v>
      </c>
      <c r="AY22" s="56">
        <v>799</v>
      </c>
      <c r="AZ22" s="57"/>
      <c r="BA22" s="83" t="str">
        <f t="shared" si="147"/>
        <v/>
      </c>
      <c r="BB22" s="26" t="s">
        <v>60</v>
      </c>
      <c r="BC22" s="7">
        <f t="shared" si="115"/>
        <v>764</v>
      </c>
      <c r="BD22" s="56">
        <v>764</v>
      </c>
      <c r="BE22" s="57"/>
      <c r="BF22" s="20" t="str">
        <f t="shared" si="148"/>
        <v/>
      </c>
      <c r="BG22" s="7">
        <f t="shared" si="116"/>
        <v>749</v>
      </c>
      <c r="BH22" s="56">
        <v>749</v>
      </c>
      <c r="BI22" s="57"/>
      <c r="BJ22" s="20" t="str">
        <f t="shared" si="149"/>
        <v/>
      </c>
      <c r="BK22" s="7">
        <f t="shared" si="117"/>
        <v>749</v>
      </c>
      <c r="BL22" s="56">
        <v>749</v>
      </c>
      <c r="BM22" s="57"/>
      <c r="BN22" s="83" t="str">
        <f t="shared" si="150"/>
        <v/>
      </c>
      <c r="BO22" s="26" t="s">
        <v>60</v>
      </c>
      <c r="BP22" s="7">
        <f t="shared" si="118"/>
        <v>699</v>
      </c>
      <c r="BQ22" s="56">
        <v>699</v>
      </c>
      <c r="BR22" s="57"/>
      <c r="BS22" s="20" t="str">
        <f t="shared" si="151"/>
        <v/>
      </c>
      <c r="BT22" s="7">
        <f t="shared" si="119"/>
        <v>749</v>
      </c>
      <c r="BU22" s="56">
        <v>749</v>
      </c>
      <c r="BV22" s="57"/>
      <c r="BW22" s="20" t="str">
        <f t="shared" si="152"/>
        <v/>
      </c>
      <c r="BX22" s="7">
        <f t="shared" si="120"/>
        <v>677</v>
      </c>
      <c r="BY22" s="56">
        <v>677</v>
      </c>
      <c r="BZ22" s="57"/>
      <c r="CA22" s="83" t="str">
        <f t="shared" si="153"/>
        <v/>
      </c>
      <c r="CB22" s="26" t="s">
        <v>60</v>
      </c>
      <c r="CC22" s="7">
        <f t="shared" si="121"/>
        <v>699</v>
      </c>
      <c r="CD22" s="56">
        <v>699</v>
      </c>
      <c r="CE22" s="57"/>
      <c r="CF22" s="20" t="str">
        <f t="shared" si="154"/>
        <v/>
      </c>
      <c r="CG22" s="7">
        <f t="shared" si="122"/>
        <v>749</v>
      </c>
      <c r="CH22" s="56">
        <v>749</v>
      </c>
      <c r="CI22" s="57"/>
      <c r="CJ22" s="20" t="str">
        <f t="shared" si="155"/>
        <v/>
      </c>
      <c r="CK22" s="7">
        <f t="shared" si="123"/>
        <v>699</v>
      </c>
      <c r="CL22" s="56">
        <v>699</v>
      </c>
      <c r="CM22" s="57"/>
      <c r="CN22" s="83" t="str">
        <f t="shared" si="156"/>
        <v/>
      </c>
      <c r="CO22" s="26" t="s">
        <v>60</v>
      </c>
      <c r="CP22" s="7">
        <f t="shared" si="124"/>
        <v>764</v>
      </c>
      <c r="CQ22" s="56">
        <v>764</v>
      </c>
      <c r="CR22" s="57"/>
      <c r="CS22" s="20" t="str">
        <f t="shared" si="157"/>
        <v/>
      </c>
      <c r="CT22" s="7">
        <f t="shared" si="125"/>
        <v>749</v>
      </c>
      <c r="CU22" s="56">
        <v>749</v>
      </c>
      <c r="CV22" s="57"/>
      <c r="CW22" s="20" t="str">
        <f t="shared" si="158"/>
        <v/>
      </c>
      <c r="CX22" s="7">
        <f t="shared" si="126"/>
        <v>750</v>
      </c>
      <c r="CY22" s="56">
        <v>750</v>
      </c>
      <c r="CZ22" s="57"/>
      <c r="DA22" s="83" t="str">
        <f t="shared" si="159"/>
        <v/>
      </c>
      <c r="DB22" s="26" t="s">
        <v>60</v>
      </c>
      <c r="DC22" s="7">
        <f t="shared" ref="DC22" si="169">DD22-DE22</f>
        <v>713</v>
      </c>
      <c r="DD22" s="56">
        <v>713</v>
      </c>
      <c r="DE22" s="57"/>
      <c r="DF22" s="20" t="str">
        <f t="shared" si="160"/>
        <v/>
      </c>
      <c r="DG22" s="7">
        <f t="shared" si="128"/>
        <v>749</v>
      </c>
      <c r="DH22" s="56">
        <v>749</v>
      </c>
      <c r="DI22" s="57"/>
      <c r="DJ22" s="20" t="str">
        <f t="shared" si="161"/>
        <v/>
      </c>
      <c r="DK22" s="7">
        <f t="shared" si="129"/>
        <v>699</v>
      </c>
      <c r="DL22" s="56">
        <v>699</v>
      </c>
      <c r="DM22" s="57"/>
      <c r="DN22" s="83" t="str">
        <f t="shared" si="162"/>
        <v/>
      </c>
      <c r="DO22" s="26" t="s">
        <v>60</v>
      </c>
      <c r="DP22" s="7">
        <f t="shared" ref="DP22" si="170">DQ22-DR22</f>
        <v>713</v>
      </c>
      <c r="DQ22" s="56">
        <v>713</v>
      </c>
      <c r="DR22" s="57"/>
      <c r="DS22" s="20" t="str">
        <f t="shared" si="163"/>
        <v/>
      </c>
      <c r="DT22" s="7">
        <f t="shared" si="131"/>
        <v>749</v>
      </c>
      <c r="DU22" s="56">
        <v>749</v>
      </c>
      <c r="DV22" s="57"/>
      <c r="DW22" s="20" t="str">
        <f t="shared" si="164"/>
        <v/>
      </c>
      <c r="DX22" s="7">
        <f t="shared" si="132"/>
        <v>703</v>
      </c>
      <c r="DY22" s="56">
        <v>703</v>
      </c>
      <c r="DZ22" s="57"/>
      <c r="EA22" s="83" t="str">
        <f t="shared" si="165"/>
        <v/>
      </c>
      <c r="EB22" s="26" t="s">
        <v>60</v>
      </c>
      <c r="EC22" s="7">
        <f t="shared" ref="EC22" si="171">ED22-EE22</f>
        <v>713</v>
      </c>
      <c r="ED22" s="56">
        <v>713</v>
      </c>
      <c r="EE22" s="57"/>
      <c r="EF22" s="20" t="str">
        <f t="shared" si="166"/>
        <v/>
      </c>
      <c r="EG22" s="7">
        <f t="shared" si="134"/>
        <v>749</v>
      </c>
      <c r="EH22" s="56">
        <v>749</v>
      </c>
      <c r="EI22" s="57"/>
      <c r="EJ22" s="20" t="str">
        <f t="shared" si="167"/>
        <v/>
      </c>
      <c r="EK22" s="7">
        <f t="shared" si="135"/>
        <v>703</v>
      </c>
      <c r="EL22" s="56">
        <v>703</v>
      </c>
      <c r="EM22" s="57"/>
      <c r="EN22" s="83" t="str">
        <f t="shared" si="168"/>
        <v/>
      </c>
    </row>
    <row r="23" spans="2:144" outlineLevel="1" x14ac:dyDescent="0.3">
      <c r="B23" s="26"/>
      <c r="C23" s="7"/>
      <c r="D23" s="56"/>
      <c r="E23" s="57"/>
      <c r="F23" s="21"/>
      <c r="G23" s="7"/>
      <c r="H23" s="56"/>
      <c r="I23" s="57"/>
      <c r="J23" s="21"/>
      <c r="K23" s="7"/>
      <c r="L23" s="56"/>
      <c r="M23" s="57"/>
      <c r="N23" s="24"/>
      <c r="O23" s="26"/>
      <c r="P23" s="7"/>
      <c r="Q23" s="56"/>
      <c r="R23" s="57"/>
      <c r="S23" s="21"/>
      <c r="T23" s="7"/>
      <c r="U23" s="56"/>
      <c r="V23" s="57"/>
      <c r="W23" s="21"/>
      <c r="X23" s="7"/>
      <c r="Y23" s="56"/>
      <c r="Z23" s="57"/>
      <c r="AA23" s="24"/>
      <c r="AB23" s="26"/>
      <c r="AC23" s="7"/>
      <c r="AD23" s="56"/>
      <c r="AE23" s="57"/>
      <c r="AF23" s="21"/>
      <c r="AG23" s="7"/>
      <c r="AH23" s="56"/>
      <c r="AI23" s="57"/>
      <c r="AJ23" s="21"/>
      <c r="AK23" s="7"/>
      <c r="AL23" s="56"/>
      <c r="AM23" s="57"/>
      <c r="AN23" s="24"/>
      <c r="AO23" s="26"/>
      <c r="AP23" s="7"/>
      <c r="AQ23" s="56"/>
      <c r="AR23" s="57"/>
      <c r="AS23" s="21"/>
      <c r="AT23" s="7"/>
      <c r="AU23" s="56"/>
      <c r="AV23" s="57"/>
      <c r="AW23" s="21"/>
      <c r="AX23" s="7"/>
      <c r="AY23" s="56"/>
      <c r="AZ23" s="57"/>
      <c r="BA23" s="24"/>
      <c r="BB23" s="26"/>
      <c r="BC23" s="7"/>
      <c r="BD23" s="56"/>
      <c r="BE23" s="57"/>
      <c r="BF23" s="21"/>
      <c r="BG23" s="7"/>
      <c r="BH23" s="56"/>
      <c r="BI23" s="57"/>
      <c r="BJ23" s="21"/>
      <c r="BK23" s="7"/>
      <c r="BL23" s="56"/>
      <c r="BM23" s="57"/>
      <c r="BN23" s="24"/>
      <c r="BO23" s="26"/>
      <c r="BP23" s="7"/>
      <c r="BQ23" s="56"/>
      <c r="BR23" s="57"/>
      <c r="BS23" s="21"/>
      <c r="BT23" s="7"/>
      <c r="BU23" s="56"/>
      <c r="BV23" s="57"/>
      <c r="BW23" s="21"/>
      <c r="BX23" s="7"/>
      <c r="BY23" s="56"/>
      <c r="BZ23" s="57"/>
      <c r="CA23" s="24"/>
      <c r="CB23" s="26"/>
      <c r="CC23" s="7"/>
      <c r="CD23" s="56"/>
      <c r="CE23" s="57"/>
      <c r="CF23" s="21"/>
      <c r="CG23" s="7"/>
      <c r="CH23" s="56"/>
      <c r="CI23" s="57"/>
      <c r="CJ23" s="21"/>
      <c r="CK23" s="7"/>
      <c r="CL23" s="56"/>
      <c r="CM23" s="57"/>
      <c r="CN23" s="24"/>
      <c r="CO23" s="26"/>
      <c r="CP23" s="7"/>
      <c r="CQ23" s="56"/>
      <c r="CR23" s="57"/>
      <c r="CS23" s="21"/>
      <c r="CT23" s="7"/>
      <c r="CU23" s="56"/>
      <c r="CV23" s="57"/>
      <c r="CW23" s="21"/>
      <c r="CX23" s="7"/>
      <c r="CY23" s="56"/>
      <c r="CZ23" s="57"/>
      <c r="DA23" s="24"/>
      <c r="DB23" s="26"/>
      <c r="DC23" s="7"/>
      <c r="DD23" s="56"/>
      <c r="DE23" s="57"/>
      <c r="DF23" s="21"/>
      <c r="DG23" s="7"/>
      <c r="DH23" s="56"/>
      <c r="DI23" s="57"/>
      <c r="DJ23" s="21"/>
      <c r="DK23" s="7"/>
      <c r="DL23" s="56"/>
      <c r="DM23" s="57"/>
      <c r="DN23" s="24"/>
      <c r="DO23" s="26"/>
      <c r="DP23" s="7"/>
      <c r="DQ23" s="56"/>
      <c r="DR23" s="57"/>
      <c r="DS23" s="21"/>
      <c r="DT23" s="7"/>
      <c r="DU23" s="56"/>
      <c r="DV23" s="57"/>
      <c r="DW23" s="21"/>
      <c r="DX23" s="7"/>
      <c r="DY23" s="56"/>
      <c r="DZ23" s="57"/>
      <c r="EA23" s="24"/>
      <c r="EB23" s="26"/>
      <c r="EC23" s="7"/>
      <c r="ED23" s="56"/>
      <c r="EE23" s="57"/>
      <c r="EF23" s="21"/>
      <c r="EG23" s="7"/>
      <c r="EH23" s="56"/>
      <c r="EI23" s="57"/>
      <c r="EJ23" s="21"/>
      <c r="EK23" s="7"/>
      <c r="EL23" s="56"/>
      <c r="EM23" s="57"/>
      <c r="EN23" s="24"/>
    </row>
    <row r="24" spans="2:144" s="47" customFormat="1" outlineLevel="1" x14ac:dyDescent="0.3">
      <c r="B24" s="32" t="s">
        <v>3</v>
      </c>
      <c r="C24" s="37">
        <f t="shared" ref="C24:C27" si="172">D24-E24</f>
        <v>5859</v>
      </c>
      <c r="D24" s="60">
        <v>5859</v>
      </c>
      <c r="E24" s="61"/>
      <c r="F24" s="36"/>
      <c r="G24" s="37">
        <f t="shared" ref="G24:G27" si="173">H24-I24</f>
        <v>5899</v>
      </c>
      <c r="H24" s="60">
        <v>5899</v>
      </c>
      <c r="I24" s="61"/>
      <c r="J24" s="36"/>
      <c r="K24" s="37">
        <f t="shared" ref="K24:K27" si="174">L24-M24</f>
        <v>5187</v>
      </c>
      <c r="L24" s="60">
        <v>5187</v>
      </c>
      <c r="M24" s="61"/>
      <c r="N24" s="39"/>
      <c r="O24" s="32" t="s">
        <v>3</v>
      </c>
      <c r="P24" s="37">
        <f t="shared" ref="P24:P27" si="175">Q24-R24</f>
        <v>5659</v>
      </c>
      <c r="Q24" s="60">
        <v>5659</v>
      </c>
      <c r="R24" s="61"/>
      <c r="S24" s="36"/>
      <c r="T24" s="37">
        <f t="shared" ref="T24:T27" si="176">U24-V24</f>
        <v>5899</v>
      </c>
      <c r="U24" s="60">
        <v>5899</v>
      </c>
      <c r="V24" s="61"/>
      <c r="W24" s="36"/>
      <c r="X24" s="37">
        <f t="shared" ref="X24:X27" si="177">Y24-Z24</f>
        <v>5525</v>
      </c>
      <c r="Y24" s="60">
        <v>5525</v>
      </c>
      <c r="Z24" s="61"/>
      <c r="AA24" s="39"/>
      <c r="AB24" s="32" t="s">
        <v>3</v>
      </c>
      <c r="AC24" s="37">
        <f>AD24-AE24</f>
        <v>5649</v>
      </c>
      <c r="AD24" s="60">
        <v>5649</v>
      </c>
      <c r="AE24" s="61"/>
      <c r="AF24" s="36"/>
      <c r="AG24" s="37">
        <f t="shared" ref="AG24:AG27" si="178">AH24-AI24</f>
        <v>5899</v>
      </c>
      <c r="AH24" s="60">
        <v>5899</v>
      </c>
      <c r="AI24" s="61"/>
      <c r="AJ24" s="36"/>
      <c r="AK24" s="37">
        <f t="shared" ref="AK24:AK27" si="179">AL24-AM24</f>
        <v>5525</v>
      </c>
      <c r="AL24" s="60">
        <v>6125</v>
      </c>
      <c r="AM24" s="61">
        <v>600</v>
      </c>
      <c r="AN24" s="39"/>
      <c r="AO24" s="32" t="s">
        <v>3</v>
      </c>
      <c r="AP24" s="37">
        <f>AQ24-AR24</f>
        <v>5649</v>
      </c>
      <c r="AQ24" s="60">
        <v>5649</v>
      </c>
      <c r="AR24" s="61"/>
      <c r="AS24" s="36"/>
      <c r="AT24" s="37">
        <f t="shared" ref="AT24:AT27" si="180">AU24-AV24</f>
        <v>0</v>
      </c>
      <c r="AU24" s="60"/>
      <c r="AV24" s="61"/>
      <c r="AW24" s="36"/>
      <c r="AX24" s="37">
        <f t="shared" ref="AX24:AX27" si="181">AY24-AZ24</f>
        <v>5399</v>
      </c>
      <c r="AY24" s="60">
        <v>5999</v>
      </c>
      <c r="AZ24" s="61">
        <v>600</v>
      </c>
      <c r="BA24" s="39"/>
      <c r="BB24" s="32" t="s">
        <v>3</v>
      </c>
      <c r="BC24" s="37">
        <f>BD24-BE24</f>
        <v>5879</v>
      </c>
      <c r="BD24" s="60">
        <v>5879</v>
      </c>
      <c r="BE24" s="61"/>
      <c r="BF24" s="36"/>
      <c r="BG24" s="37">
        <f t="shared" ref="BG24:BG27" si="182">BH24-BI24</f>
        <v>0</v>
      </c>
      <c r="BH24" s="60"/>
      <c r="BI24" s="61"/>
      <c r="BJ24" s="36"/>
      <c r="BK24" s="37">
        <f t="shared" ref="BK24:BK27" si="183">BL24-BM24</f>
        <v>4989</v>
      </c>
      <c r="BL24" s="60">
        <v>4989</v>
      </c>
      <c r="BM24" s="61"/>
      <c r="BN24" s="39"/>
      <c r="BO24" s="32" t="s">
        <v>3</v>
      </c>
      <c r="BP24" s="37">
        <f>BQ24-BR24</f>
        <v>5999</v>
      </c>
      <c r="BQ24" s="60">
        <v>5999</v>
      </c>
      <c r="BR24" s="61"/>
      <c r="BS24" s="36"/>
      <c r="BT24" s="37">
        <f t="shared" ref="BT24:BT27" si="184">BU24-BV24</f>
        <v>0</v>
      </c>
      <c r="BU24" s="60"/>
      <c r="BV24" s="61"/>
      <c r="BW24" s="36"/>
      <c r="BX24" s="37">
        <f t="shared" ref="BX24:BX27" si="185">BY24-BZ24</f>
        <v>4999</v>
      </c>
      <c r="BY24" s="60">
        <v>4999</v>
      </c>
      <c r="BZ24" s="61"/>
      <c r="CA24" s="39"/>
      <c r="CB24" s="32" t="s">
        <v>3</v>
      </c>
      <c r="CC24" s="37">
        <f>CD24-CE24</f>
        <v>5879</v>
      </c>
      <c r="CD24" s="60">
        <v>5879</v>
      </c>
      <c r="CE24" s="61"/>
      <c r="CF24" s="36"/>
      <c r="CG24" s="37">
        <f t="shared" ref="CG24:CG27" si="186">CH24-CI24</f>
        <v>0</v>
      </c>
      <c r="CH24" s="60"/>
      <c r="CI24" s="61"/>
      <c r="CJ24" s="36"/>
      <c r="CK24" s="37">
        <f t="shared" ref="CK24:CK27" si="187">CL24-CM24</f>
        <v>4999</v>
      </c>
      <c r="CL24" s="60">
        <v>4999</v>
      </c>
      <c r="CM24" s="61"/>
      <c r="CN24" s="39"/>
      <c r="CO24" s="32" t="s">
        <v>3</v>
      </c>
      <c r="CP24" s="37">
        <f>CQ24-CR24</f>
        <v>4999</v>
      </c>
      <c r="CQ24" s="60">
        <v>4999</v>
      </c>
      <c r="CR24" s="61"/>
      <c r="CS24" s="36"/>
      <c r="CT24" s="37">
        <f t="shared" ref="CT24:CT27" si="188">CU24-CV24</f>
        <v>0</v>
      </c>
      <c r="CU24" s="60"/>
      <c r="CV24" s="61"/>
      <c r="CW24" s="36"/>
      <c r="CX24" s="37">
        <f t="shared" ref="CX24:CX27" si="189">CY24-CZ24</f>
        <v>4999</v>
      </c>
      <c r="CY24" s="60">
        <v>4999</v>
      </c>
      <c r="CZ24" s="61"/>
      <c r="DA24" s="39"/>
      <c r="DB24" s="32" t="s">
        <v>3</v>
      </c>
      <c r="DC24" s="37">
        <f>DD24-DE24</f>
        <v>4999</v>
      </c>
      <c r="DD24" s="60">
        <v>4999</v>
      </c>
      <c r="DE24" s="61"/>
      <c r="DF24" s="36"/>
      <c r="DG24" s="37">
        <f t="shared" ref="DG24:DG27" si="190">DH24-DI24</f>
        <v>0</v>
      </c>
      <c r="DH24" s="60"/>
      <c r="DI24" s="61"/>
      <c r="DJ24" s="36"/>
      <c r="DK24" s="37">
        <f t="shared" ref="DK24:DK27" si="191">DL24-DM24</f>
        <v>4999</v>
      </c>
      <c r="DL24" s="60">
        <v>4999</v>
      </c>
      <c r="DM24" s="61"/>
      <c r="DN24" s="39"/>
      <c r="DO24" s="32" t="s">
        <v>3</v>
      </c>
      <c r="DP24" s="37">
        <f>DQ24-DR24</f>
        <v>5699</v>
      </c>
      <c r="DQ24" s="60">
        <v>5699</v>
      </c>
      <c r="DR24" s="61"/>
      <c r="DS24" s="36"/>
      <c r="DT24" s="37">
        <f t="shared" ref="DT24:DT27" si="192">DU24-DV24</f>
        <v>0</v>
      </c>
      <c r="DU24" s="60"/>
      <c r="DV24" s="61"/>
      <c r="DW24" s="36"/>
      <c r="DX24" s="37">
        <f t="shared" ref="DX24:DX27" si="193">DY24-DZ24</f>
        <v>4799</v>
      </c>
      <c r="DY24" s="60">
        <v>4799</v>
      </c>
      <c r="DZ24" s="61"/>
      <c r="EA24" s="39"/>
      <c r="EB24" s="32" t="s">
        <v>3</v>
      </c>
      <c r="EC24" s="37">
        <f>ED24-EE24</f>
        <v>5699</v>
      </c>
      <c r="ED24" s="60">
        <v>5699</v>
      </c>
      <c r="EE24" s="61"/>
      <c r="EF24" s="36"/>
      <c r="EG24" s="37">
        <f t="shared" ref="EG24:EG27" si="194">EH24-EI24</f>
        <v>0</v>
      </c>
      <c r="EH24" s="60"/>
      <c r="EI24" s="61"/>
      <c r="EJ24" s="36"/>
      <c r="EK24" s="37">
        <f t="shared" ref="EK24:EK27" si="195">EL24-EM24</f>
        <v>4799</v>
      </c>
      <c r="EL24" s="60">
        <v>4799</v>
      </c>
      <c r="EM24" s="61"/>
      <c r="EN24" s="39"/>
    </row>
    <row r="25" spans="2:144" s="47" customFormat="1" outlineLevel="1" x14ac:dyDescent="0.3">
      <c r="B25" s="32" t="s">
        <v>2</v>
      </c>
      <c r="C25" s="37">
        <f t="shared" si="172"/>
        <v>4899</v>
      </c>
      <c r="D25" s="60">
        <v>4899</v>
      </c>
      <c r="E25" s="61"/>
      <c r="F25" s="36"/>
      <c r="G25" s="37">
        <f t="shared" si="173"/>
        <v>4999</v>
      </c>
      <c r="H25" s="60">
        <v>4999</v>
      </c>
      <c r="I25" s="61"/>
      <c r="J25" s="36"/>
      <c r="K25" s="37">
        <f t="shared" si="174"/>
        <v>4099</v>
      </c>
      <c r="L25" s="60">
        <v>4099</v>
      </c>
      <c r="M25" s="61"/>
      <c r="N25" s="39"/>
      <c r="O25" s="32" t="s">
        <v>2</v>
      </c>
      <c r="P25" s="37">
        <f t="shared" si="175"/>
        <v>4799</v>
      </c>
      <c r="Q25" s="60">
        <v>4799</v>
      </c>
      <c r="R25" s="61"/>
      <c r="S25" s="36"/>
      <c r="T25" s="37">
        <f t="shared" si="176"/>
        <v>0</v>
      </c>
      <c r="U25" s="60"/>
      <c r="V25" s="61"/>
      <c r="W25" s="36"/>
      <c r="X25" s="37">
        <f t="shared" si="177"/>
        <v>4189</v>
      </c>
      <c r="Y25" s="60">
        <v>4189</v>
      </c>
      <c r="Z25" s="61"/>
      <c r="AA25" s="39"/>
      <c r="AB25" s="32" t="s">
        <v>2</v>
      </c>
      <c r="AC25" s="37">
        <f t="shared" ref="AC25:AC27" si="196">AD25-AE25</f>
        <v>4799</v>
      </c>
      <c r="AD25" s="60">
        <v>4799</v>
      </c>
      <c r="AE25" s="61"/>
      <c r="AF25" s="36"/>
      <c r="AG25" s="37">
        <f t="shared" si="178"/>
        <v>4999</v>
      </c>
      <c r="AH25" s="60">
        <v>4999</v>
      </c>
      <c r="AI25" s="61"/>
      <c r="AJ25" s="36"/>
      <c r="AK25" s="37">
        <f t="shared" si="179"/>
        <v>4625</v>
      </c>
      <c r="AL25" s="60">
        <v>5025</v>
      </c>
      <c r="AM25" s="61">
        <v>400</v>
      </c>
      <c r="AN25" s="39"/>
      <c r="AO25" s="32" t="s">
        <v>2</v>
      </c>
      <c r="AP25" s="37">
        <f>AQ25-AR25</f>
        <v>4799</v>
      </c>
      <c r="AQ25" s="60">
        <v>4799</v>
      </c>
      <c r="AR25" s="61"/>
      <c r="AS25" s="36"/>
      <c r="AT25" s="37">
        <f t="shared" si="180"/>
        <v>4499</v>
      </c>
      <c r="AU25" s="60">
        <v>4499</v>
      </c>
      <c r="AV25" s="61"/>
      <c r="AW25" s="36"/>
      <c r="AX25" s="37">
        <f t="shared" si="181"/>
        <v>4499</v>
      </c>
      <c r="AY25" s="60">
        <v>4899</v>
      </c>
      <c r="AZ25" s="61">
        <v>400</v>
      </c>
      <c r="BA25" s="39"/>
      <c r="BB25" s="32" t="s">
        <v>2</v>
      </c>
      <c r="BC25" s="37">
        <f>BD25-BE25</f>
        <v>4979</v>
      </c>
      <c r="BD25" s="60">
        <v>4979</v>
      </c>
      <c r="BE25" s="61"/>
      <c r="BF25" s="36"/>
      <c r="BG25" s="37">
        <f t="shared" si="182"/>
        <v>4499</v>
      </c>
      <c r="BH25" s="60">
        <v>4499</v>
      </c>
      <c r="BI25" s="61"/>
      <c r="BJ25" s="36"/>
      <c r="BK25" s="37">
        <f t="shared" si="183"/>
        <v>4189</v>
      </c>
      <c r="BL25" s="60">
        <v>4189</v>
      </c>
      <c r="BM25" s="61"/>
      <c r="BN25" s="39"/>
      <c r="BO25" s="32" t="s">
        <v>2</v>
      </c>
      <c r="BP25" s="37">
        <f>BQ25-BR25</f>
        <v>5199</v>
      </c>
      <c r="BQ25" s="60">
        <v>5199</v>
      </c>
      <c r="BR25" s="61"/>
      <c r="BS25" s="36"/>
      <c r="BT25" s="37">
        <f t="shared" si="184"/>
        <v>4499</v>
      </c>
      <c r="BU25" s="60">
        <v>4499</v>
      </c>
      <c r="BV25" s="61"/>
      <c r="BW25" s="36"/>
      <c r="BX25" s="37">
        <f t="shared" si="185"/>
        <v>4189</v>
      </c>
      <c r="BY25" s="60">
        <v>4189</v>
      </c>
      <c r="BZ25" s="61"/>
      <c r="CA25" s="39"/>
      <c r="CB25" s="32" t="s">
        <v>2</v>
      </c>
      <c r="CC25" s="37">
        <f>CD25-CE25</f>
        <v>4979</v>
      </c>
      <c r="CD25" s="60">
        <v>4979</v>
      </c>
      <c r="CE25" s="61"/>
      <c r="CF25" s="36"/>
      <c r="CG25" s="37">
        <f t="shared" si="186"/>
        <v>4499</v>
      </c>
      <c r="CH25" s="60">
        <v>4499</v>
      </c>
      <c r="CI25" s="61"/>
      <c r="CJ25" s="36"/>
      <c r="CK25" s="37">
        <f t="shared" si="187"/>
        <v>4149</v>
      </c>
      <c r="CL25" s="60">
        <v>4149</v>
      </c>
      <c r="CM25" s="61"/>
      <c r="CN25" s="39"/>
      <c r="CO25" s="32" t="s">
        <v>2</v>
      </c>
      <c r="CP25" s="37">
        <f>CQ25-CR25</f>
        <v>4169</v>
      </c>
      <c r="CQ25" s="60">
        <v>4169</v>
      </c>
      <c r="CR25" s="61"/>
      <c r="CS25" s="36"/>
      <c r="CT25" s="37">
        <f t="shared" si="188"/>
        <v>4499</v>
      </c>
      <c r="CU25" s="60">
        <v>4499</v>
      </c>
      <c r="CV25" s="61"/>
      <c r="CW25" s="36"/>
      <c r="CX25" s="37">
        <f t="shared" si="189"/>
        <v>4169</v>
      </c>
      <c r="CY25" s="60">
        <v>4169</v>
      </c>
      <c r="CZ25" s="61"/>
      <c r="DA25" s="39"/>
      <c r="DB25" s="32" t="s">
        <v>2</v>
      </c>
      <c r="DC25" s="37">
        <f>DD25-DE25</f>
        <v>4249</v>
      </c>
      <c r="DD25" s="60">
        <v>4249</v>
      </c>
      <c r="DE25" s="61"/>
      <c r="DF25" s="36"/>
      <c r="DG25" s="37">
        <f t="shared" si="190"/>
        <v>4499</v>
      </c>
      <c r="DH25" s="60">
        <v>4499</v>
      </c>
      <c r="DI25" s="61"/>
      <c r="DJ25" s="36"/>
      <c r="DK25" s="37">
        <f t="shared" si="191"/>
        <v>4189</v>
      </c>
      <c r="DL25" s="60">
        <v>4189</v>
      </c>
      <c r="DM25" s="61"/>
      <c r="DN25" s="39"/>
      <c r="DO25" s="32" t="s">
        <v>2</v>
      </c>
      <c r="DP25" s="37">
        <f>DQ25-DR25</f>
        <v>4799</v>
      </c>
      <c r="DQ25" s="60">
        <v>4799</v>
      </c>
      <c r="DR25" s="61"/>
      <c r="DS25" s="36"/>
      <c r="DT25" s="37">
        <f t="shared" si="192"/>
        <v>0</v>
      </c>
      <c r="DU25" s="60"/>
      <c r="DV25" s="61"/>
      <c r="DW25" s="36"/>
      <c r="DX25" s="37">
        <f t="shared" si="193"/>
        <v>3799</v>
      </c>
      <c r="DY25" s="60">
        <v>3799</v>
      </c>
      <c r="DZ25" s="61"/>
      <c r="EA25" s="39"/>
      <c r="EB25" s="32" t="s">
        <v>2</v>
      </c>
      <c r="EC25" s="37">
        <f>ED25-EE25</f>
        <v>4799</v>
      </c>
      <c r="ED25" s="60">
        <v>4799</v>
      </c>
      <c r="EE25" s="61"/>
      <c r="EF25" s="36"/>
      <c r="EG25" s="37">
        <f t="shared" si="194"/>
        <v>0</v>
      </c>
      <c r="EH25" s="60"/>
      <c r="EI25" s="61"/>
      <c r="EJ25" s="36"/>
      <c r="EK25" s="37">
        <f t="shared" si="195"/>
        <v>3799</v>
      </c>
      <c r="EL25" s="60">
        <v>3799</v>
      </c>
      <c r="EM25" s="61"/>
      <c r="EN25" s="39"/>
    </row>
    <row r="26" spans="2:144" s="47" customFormat="1" outlineLevel="1" x14ac:dyDescent="0.3">
      <c r="B26" s="32" t="s">
        <v>0</v>
      </c>
      <c r="C26" s="37">
        <f t="shared" si="172"/>
        <v>3359</v>
      </c>
      <c r="D26" s="60">
        <v>3359</v>
      </c>
      <c r="E26" s="61"/>
      <c r="F26" s="36"/>
      <c r="G26" s="37">
        <f t="shared" si="173"/>
        <v>0</v>
      </c>
      <c r="H26" s="60"/>
      <c r="I26" s="61"/>
      <c r="J26" s="36"/>
      <c r="K26" s="37">
        <f t="shared" si="174"/>
        <v>3190</v>
      </c>
      <c r="L26" s="60">
        <v>3190</v>
      </c>
      <c r="M26" s="61"/>
      <c r="N26" s="39"/>
      <c r="O26" s="32" t="s">
        <v>0</v>
      </c>
      <c r="P26" s="37">
        <f t="shared" si="175"/>
        <v>3369</v>
      </c>
      <c r="Q26" s="60">
        <v>3369</v>
      </c>
      <c r="R26" s="61"/>
      <c r="S26" s="36"/>
      <c r="T26" s="37">
        <f t="shared" si="176"/>
        <v>0</v>
      </c>
      <c r="U26" s="60"/>
      <c r="V26" s="61"/>
      <c r="W26" s="36"/>
      <c r="X26" s="37">
        <f t="shared" si="177"/>
        <v>3275</v>
      </c>
      <c r="Y26" s="60">
        <v>3275</v>
      </c>
      <c r="Z26" s="61"/>
      <c r="AA26" s="39"/>
      <c r="AB26" s="32" t="s">
        <v>0</v>
      </c>
      <c r="AC26" s="37">
        <f t="shared" si="196"/>
        <v>3359</v>
      </c>
      <c r="AD26" s="60">
        <v>3359</v>
      </c>
      <c r="AE26" s="61"/>
      <c r="AF26" s="36"/>
      <c r="AG26" s="37">
        <f t="shared" si="178"/>
        <v>0</v>
      </c>
      <c r="AH26" s="60"/>
      <c r="AI26" s="61"/>
      <c r="AJ26" s="36"/>
      <c r="AK26" s="37">
        <f t="shared" si="179"/>
        <v>3275</v>
      </c>
      <c r="AL26" s="60">
        <v>3575</v>
      </c>
      <c r="AM26" s="61">
        <v>300</v>
      </c>
      <c r="AN26" s="39"/>
      <c r="AO26" s="32" t="s">
        <v>0</v>
      </c>
      <c r="AP26" s="37">
        <f>AQ26-AR26</f>
        <v>3359</v>
      </c>
      <c r="AQ26" s="60">
        <v>3359</v>
      </c>
      <c r="AR26" s="61"/>
      <c r="AS26" s="36"/>
      <c r="AT26" s="37">
        <f t="shared" si="180"/>
        <v>0</v>
      </c>
      <c r="AU26" s="60"/>
      <c r="AV26" s="61"/>
      <c r="AW26" s="36"/>
      <c r="AX26" s="37">
        <f t="shared" si="181"/>
        <v>3249</v>
      </c>
      <c r="AY26" s="60">
        <v>3549</v>
      </c>
      <c r="AZ26" s="61">
        <v>300</v>
      </c>
      <c r="BA26" s="39"/>
      <c r="BB26" s="32" t="s">
        <v>0</v>
      </c>
      <c r="BC26" s="37">
        <f>BD26-BE26</f>
        <v>3499</v>
      </c>
      <c r="BD26" s="60">
        <v>3499</v>
      </c>
      <c r="BE26" s="61"/>
      <c r="BF26" s="36"/>
      <c r="BG26" s="37">
        <f t="shared" si="182"/>
        <v>0</v>
      </c>
      <c r="BH26" s="60"/>
      <c r="BI26" s="61"/>
      <c r="BJ26" s="36"/>
      <c r="BK26" s="37">
        <f t="shared" si="183"/>
        <v>3190</v>
      </c>
      <c r="BL26" s="60">
        <v>3190</v>
      </c>
      <c r="BM26" s="61"/>
      <c r="BN26" s="39"/>
      <c r="BO26" s="32" t="s">
        <v>0</v>
      </c>
      <c r="BP26" s="37">
        <f>BQ26-BR26</f>
        <v>3699</v>
      </c>
      <c r="BQ26" s="60">
        <v>3699</v>
      </c>
      <c r="BR26" s="61"/>
      <c r="BS26" s="36"/>
      <c r="BT26" s="37">
        <f t="shared" si="184"/>
        <v>0</v>
      </c>
      <c r="BU26" s="60"/>
      <c r="BV26" s="61"/>
      <c r="BW26" s="36"/>
      <c r="BX26" s="37">
        <f t="shared" si="185"/>
        <v>3190</v>
      </c>
      <c r="BY26" s="60">
        <v>3190</v>
      </c>
      <c r="BZ26" s="61"/>
      <c r="CA26" s="39"/>
      <c r="CB26" s="32" t="s">
        <v>0</v>
      </c>
      <c r="CC26" s="37">
        <f>CD26-CE26</f>
        <v>3499</v>
      </c>
      <c r="CD26" s="60">
        <v>3499</v>
      </c>
      <c r="CE26" s="61"/>
      <c r="CF26" s="36"/>
      <c r="CG26" s="37">
        <f t="shared" si="186"/>
        <v>3299</v>
      </c>
      <c r="CH26" s="60">
        <v>3299</v>
      </c>
      <c r="CI26" s="61"/>
      <c r="CJ26" s="36"/>
      <c r="CK26" s="37">
        <f t="shared" si="187"/>
        <v>2975</v>
      </c>
      <c r="CL26" s="60">
        <v>2975</v>
      </c>
      <c r="CM26" s="61"/>
      <c r="CN26" s="39"/>
      <c r="CO26" s="32" t="s">
        <v>0</v>
      </c>
      <c r="CP26" s="37">
        <f>CQ26-CR26</f>
        <v>3369</v>
      </c>
      <c r="CQ26" s="60">
        <v>3369</v>
      </c>
      <c r="CR26" s="61"/>
      <c r="CS26" s="36"/>
      <c r="CT26" s="37">
        <f t="shared" si="188"/>
        <v>0</v>
      </c>
      <c r="CU26" s="60"/>
      <c r="CV26" s="61"/>
      <c r="CW26" s="36"/>
      <c r="CX26" s="37">
        <f t="shared" si="189"/>
        <v>2975</v>
      </c>
      <c r="CY26" s="60">
        <v>2975</v>
      </c>
      <c r="CZ26" s="61"/>
      <c r="DA26" s="39"/>
      <c r="DB26" s="32" t="s">
        <v>0</v>
      </c>
      <c r="DC26" s="37">
        <f>DD26-DE26</f>
        <v>3369</v>
      </c>
      <c r="DD26" s="60">
        <v>3369</v>
      </c>
      <c r="DE26" s="61"/>
      <c r="DF26" s="36"/>
      <c r="DG26" s="37">
        <f t="shared" si="190"/>
        <v>0</v>
      </c>
      <c r="DH26" s="60"/>
      <c r="DI26" s="61"/>
      <c r="DJ26" s="36"/>
      <c r="DK26" s="37">
        <f t="shared" si="191"/>
        <v>2975</v>
      </c>
      <c r="DL26" s="60">
        <v>2975</v>
      </c>
      <c r="DM26" s="61"/>
      <c r="DN26" s="39"/>
      <c r="DO26" s="32" t="s">
        <v>0</v>
      </c>
      <c r="DP26" s="37">
        <f>DQ26-DR26</f>
        <v>3369</v>
      </c>
      <c r="DQ26" s="60">
        <v>3369</v>
      </c>
      <c r="DR26" s="61"/>
      <c r="DS26" s="36"/>
      <c r="DT26" s="37">
        <f t="shared" si="192"/>
        <v>0</v>
      </c>
      <c r="DU26" s="60"/>
      <c r="DV26" s="61"/>
      <c r="DW26" s="36"/>
      <c r="DX26" s="37">
        <f t="shared" si="193"/>
        <v>2699</v>
      </c>
      <c r="DY26" s="60">
        <v>2699</v>
      </c>
      <c r="DZ26" s="61"/>
      <c r="EA26" s="39"/>
      <c r="EB26" s="32" t="s">
        <v>0</v>
      </c>
      <c r="EC26" s="37">
        <f>ED26-EE26</f>
        <v>3369</v>
      </c>
      <c r="ED26" s="60">
        <v>3369</v>
      </c>
      <c r="EE26" s="61"/>
      <c r="EF26" s="36"/>
      <c r="EG26" s="37">
        <f t="shared" si="194"/>
        <v>0</v>
      </c>
      <c r="EH26" s="60"/>
      <c r="EI26" s="61"/>
      <c r="EJ26" s="36"/>
      <c r="EK26" s="37">
        <f t="shared" si="195"/>
        <v>2699</v>
      </c>
      <c r="EL26" s="60">
        <v>2699</v>
      </c>
      <c r="EM26" s="61"/>
      <c r="EN26" s="39"/>
    </row>
    <row r="27" spans="2:144" s="47" customFormat="1" outlineLevel="1" x14ac:dyDescent="0.3">
      <c r="B27" s="32" t="s">
        <v>1</v>
      </c>
      <c r="C27" s="37">
        <f t="shared" si="172"/>
        <v>2586</v>
      </c>
      <c r="D27" s="60">
        <v>2586</v>
      </c>
      <c r="E27" s="61"/>
      <c r="F27" s="36"/>
      <c r="G27" s="37">
        <f t="shared" si="173"/>
        <v>0</v>
      </c>
      <c r="H27" s="60"/>
      <c r="I27" s="61"/>
      <c r="J27" s="36"/>
      <c r="K27" s="37">
        <f t="shared" si="174"/>
        <v>2429</v>
      </c>
      <c r="L27" s="60">
        <v>2429</v>
      </c>
      <c r="M27" s="61"/>
      <c r="N27" s="39"/>
      <c r="O27" s="32" t="s">
        <v>1</v>
      </c>
      <c r="P27" s="37">
        <f t="shared" si="175"/>
        <v>2591</v>
      </c>
      <c r="Q27" s="60">
        <v>2591</v>
      </c>
      <c r="R27" s="61"/>
      <c r="S27" s="36"/>
      <c r="T27" s="37">
        <f t="shared" si="176"/>
        <v>0</v>
      </c>
      <c r="U27" s="60"/>
      <c r="V27" s="61"/>
      <c r="W27" s="36"/>
      <c r="X27" s="37">
        <f t="shared" si="177"/>
        <v>2299</v>
      </c>
      <c r="Y27" s="60">
        <v>2299</v>
      </c>
      <c r="Z27" s="61"/>
      <c r="AA27" s="39"/>
      <c r="AB27" s="32" t="s">
        <v>1</v>
      </c>
      <c r="AC27" s="37">
        <f t="shared" si="196"/>
        <v>2598</v>
      </c>
      <c r="AD27" s="60">
        <v>2598</v>
      </c>
      <c r="AE27" s="61"/>
      <c r="AF27" s="36"/>
      <c r="AG27" s="37">
        <f t="shared" si="178"/>
        <v>0</v>
      </c>
      <c r="AH27" s="60"/>
      <c r="AI27" s="61"/>
      <c r="AJ27" s="36"/>
      <c r="AK27" s="37">
        <f t="shared" si="179"/>
        <v>2674</v>
      </c>
      <c r="AL27" s="60">
        <v>2874</v>
      </c>
      <c r="AM27" s="61">
        <v>200</v>
      </c>
      <c r="AN27" s="39"/>
      <c r="AO27" s="32" t="s">
        <v>1</v>
      </c>
      <c r="AP27" s="37">
        <f>AQ27-AR27</f>
        <v>2599</v>
      </c>
      <c r="AQ27" s="60">
        <v>2599</v>
      </c>
      <c r="AR27" s="61"/>
      <c r="AS27" s="36"/>
      <c r="AT27" s="37">
        <f t="shared" si="180"/>
        <v>0</v>
      </c>
      <c r="AU27" s="60"/>
      <c r="AV27" s="61"/>
      <c r="AW27" s="36"/>
      <c r="AX27" s="37">
        <f t="shared" si="181"/>
        <v>2672</v>
      </c>
      <c r="AY27" s="60">
        <v>2872</v>
      </c>
      <c r="AZ27" s="61">
        <v>200</v>
      </c>
      <c r="BA27" s="39"/>
      <c r="BB27" s="32" t="s">
        <v>1</v>
      </c>
      <c r="BC27" s="37">
        <f>BD27-BE27</f>
        <v>2649</v>
      </c>
      <c r="BD27" s="60">
        <v>2649</v>
      </c>
      <c r="BE27" s="61"/>
      <c r="BF27" s="36"/>
      <c r="BG27" s="37">
        <f t="shared" si="182"/>
        <v>0</v>
      </c>
      <c r="BH27" s="60"/>
      <c r="BI27" s="61"/>
      <c r="BJ27" s="36"/>
      <c r="BK27" s="37">
        <f t="shared" si="183"/>
        <v>2289</v>
      </c>
      <c r="BL27" s="60">
        <v>2289</v>
      </c>
      <c r="BM27" s="61"/>
      <c r="BN27" s="39"/>
      <c r="BO27" s="32" t="s">
        <v>1</v>
      </c>
      <c r="BP27" s="37">
        <f>BQ27-BR27</f>
        <v>2749</v>
      </c>
      <c r="BQ27" s="60">
        <v>2749</v>
      </c>
      <c r="BR27" s="61"/>
      <c r="BS27" s="36"/>
      <c r="BT27" s="37">
        <f t="shared" si="184"/>
        <v>0</v>
      </c>
      <c r="BU27" s="60"/>
      <c r="BV27" s="61"/>
      <c r="BW27" s="36"/>
      <c r="BX27" s="37">
        <f t="shared" si="185"/>
        <v>2289</v>
      </c>
      <c r="BY27" s="60">
        <v>2289</v>
      </c>
      <c r="BZ27" s="61"/>
      <c r="CA27" s="39"/>
      <c r="CB27" s="32" t="s">
        <v>1</v>
      </c>
      <c r="CC27" s="37">
        <f>CD27-CE27</f>
        <v>2649</v>
      </c>
      <c r="CD27" s="60">
        <v>2649</v>
      </c>
      <c r="CE27" s="61"/>
      <c r="CF27" s="36"/>
      <c r="CG27" s="37">
        <f t="shared" si="186"/>
        <v>0</v>
      </c>
      <c r="CH27" s="60"/>
      <c r="CI27" s="61"/>
      <c r="CJ27" s="36"/>
      <c r="CK27" s="37">
        <f t="shared" si="187"/>
        <v>2179</v>
      </c>
      <c r="CL27" s="60">
        <v>2179</v>
      </c>
      <c r="CM27" s="61"/>
      <c r="CN27" s="39"/>
      <c r="CO27" s="32" t="s">
        <v>1</v>
      </c>
      <c r="CP27" s="37">
        <f>CQ27-CR27</f>
        <v>2649</v>
      </c>
      <c r="CQ27" s="60">
        <v>2649</v>
      </c>
      <c r="CR27" s="61"/>
      <c r="CS27" s="36"/>
      <c r="CT27" s="37">
        <f t="shared" si="188"/>
        <v>0</v>
      </c>
      <c r="CU27" s="60"/>
      <c r="CV27" s="61"/>
      <c r="CW27" s="36"/>
      <c r="CX27" s="37">
        <f t="shared" si="189"/>
        <v>1999</v>
      </c>
      <c r="CY27" s="60">
        <v>1999</v>
      </c>
      <c r="CZ27" s="61"/>
      <c r="DA27" s="39"/>
      <c r="DB27" s="32" t="s">
        <v>1</v>
      </c>
      <c r="DC27" s="37">
        <f>DD27-DE27</f>
        <v>2649</v>
      </c>
      <c r="DD27" s="60">
        <v>2649</v>
      </c>
      <c r="DE27" s="61"/>
      <c r="DF27" s="36"/>
      <c r="DG27" s="37">
        <f t="shared" si="190"/>
        <v>0</v>
      </c>
      <c r="DH27" s="60"/>
      <c r="DI27" s="61"/>
      <c r="DJ27" s="36"/>
      <c r="DK27" s="37">
        <f t="shared" si="191"/>
        <v>2289</v>
      </c>
      <c r="DL27" s="60">
        <v>2289</v>
      </c>
      <c r="DM27" s="61"/>
      <c r="DN27" s="39"/>
      <c r="DO27" s="32" t="s">
        <v>1</v>
      </c>
      <c r="DP27" s="37">
        <f>DQ27-DR27</f>
        <v>2709</v>
      </c>
      <c r="DQ27" s="60">
        <v>2709</v>
      </c>
      <c r="DR27" s="61"/>
      <c r="DS27" s="36"/>
      <c r="DT27" s="37">
        <f t="shared" si="192"/>
        <v>0</v>
      </c>
      <c r="DU27" s="60"/>
      <c r="DV27" s="61"/>
      <c r="DW27" s="36"/>
      <c r="DX27" s="37">
        <f t="shared" si="193"/>
        <v>1999</v>
      </c>
      <c r="DY27" s="60">
        <v>1999</v>
      </c>
      <c r="DZ27" s="61"/>
      <c r="EA27" s="39"/>
      <c r="EB27" s="32" t="s">
        <v>1</v>
      </c>
      <c r="EC27" s="37">
        <f>ED27-EE27</f>
        <v>2709</v>
      </c>
      <c r="ED27" s="60">
        <v>2709</v>
      </c>
      <c r="EE27" s="61"/>
      <c r="EF27" s="36"/>
      <c r="EG27" s="37">
        <f t="shared" si="194"/>
        <v>0</v>
      </c>
      <c r="EH27" s="60"/>
      <c r="EI27" s="61"/>
      <c r="EJ27" s="36"/>
      <c r="EK27" s="37">
        <f t="shared" si="195"/>
        <v>1999</v>
      </c>
      <c r="EL27" s="60">
        <v>1999</v>
      </c>
      <c r="EM27" s="61"/>
      <c r="EN27" s="39"/>
    </row>
    <row r="28" spans="2:144" s="47" customFormat="1" outlineLevel="1" x14ac:dyDescent="0.3">
      <c r="B28" s="32"/>
      <c r="C28" s="37"/>
      <c r="D28" s="60"/>
      <c r="E28" s="61"/>
      <c r="F28" s="36"/>
      <c r="G28" s="37"/>
      <c r="H28" s="60"/>
      <c r="I28" s="61"/>
      <c r="J28" s="36"/>
      <c r="K28" s="37"/>
      <c r="L28" s="60"/>
      <c r="M28" s="61"/>
      <c r="N28" s="39"/>
      <c r="O28" s="32"/>
      <c r="P28" s="37"/>
      <c r="Q28" s="60"/>
      <c r="R28" s="61"/>
      <c r="S28" s="36"/>
      <c r="T28" s="37"/>
      <c r="U28" s="60"/>
      <c r="V28" s="61"/>
      <c r="W28" s="36"/>
      <c r="X28" s="37"/>
      <c r="Y28" s="60"/>
      <c r="Z28" s="61"/>
      <c r="AA28" s="39"/>
      <c r="AB28" s="32"/>
      <c r="AC28" s="37"/>
      <c r="AD28" s="60"/>
      <c r="AE28" s="61"/>
      <c r="AF28" s="36"/>
      <c r="AG28" s="37"/>
      <c r="AH28" s="60"/>
      <c r="AI28" s="61"/>
      <c r="AJ28" s="36"/>
      <c r="AK28" s="37"/>
      <c r="AL28" s="60"/>
      <c r="AM28" s="61"/>
      <c r="AN28" s="39"/>
      <c r="AO28" s="32"/>
      <c r="AP28" s="37"/>
      <c r="AQ28" s="60"/>
      <c r="AR28" s="61"/>
      <c r="AS28" s="36"/>
      <c r="AT28" s="37"/>
      <c r="AU28" s="60"/>
      <c r="AV28" s="61"/>
      <c r="AW28" s="36"/>
      <c r="AX28" s="37"/>
      <c r="AY28" s="60"/>
      <c r="AZ28" s="61"/>
      <c r="BA28" s="39"/>
      <c r="BB28" s="32"/>
      <c r="BC28" s="37"/>
      <c r="BD28" s="60"/>
      <c r="BE28" s="61"/>
      <c r="BF28" s="36"/>
      <c r="BG28" s="37"/>
      <c r="BH28" s="60"/>
      <c r="BI28" s="61"/>
      <c r="BJ28" s="36"/>
      <c r="BK28" s="37"/>
      <c r="BL28" s="60"/>
      <c r="BM28" s="61"/>
      <c r="BN28" s="39"/>
      <c r="BO28" s="32"/>
      <c r="BP28" s="37"/>
      <c r="BQ28" s="60"/>
      <c r="BR28" s="61"/>
      <c r="BS28" s="36"/>
      <c r="BT28" s="37"/>
      <c r="BU28" s="60"/>
      <c r="BV28" s="61"/>
      <c r="BW28" s="36"/>
      <c r="BX28" s="37"/>
      <c r="BY28" s="60"/>
      <c r="BZ28" s="61"/>
      <c r="CA28" s="39"/>
      <c r="CB28" s="32"/>
      <c r="CC28" s="37"/>
      <c r="CD28" s="60"/>
      <c r="CE28" s="61"/>
      <c r="CF28" s="36"/>
      <c r="CG28" s="37"/>
      <c r="CH28" s="60"/>
      <c r="CI28" s="61"/>
      <c r="CJ28" s="36"/>
      <c r="CK28" s="37"/>
      <c r="CL28" s="60"/>
      <c r="CM28" s="61"/>
      <c r="CN28" s="39"/>
      <c r="CO28" s="32"/>
      <c r="CP28" s="37"/>
      <c r="CQ28" s="60"/>
      <c r="CR28" s="61"/>
      <c r="CS28" s="36"/>
      <c r="CT28" s="37"/>
      <c r="CU28" s="60"/>
      <c r="CV28" s="61"/>
      <c r="CW28" s="36"/>
      <c r="CX28" s="37"/>
      <c r="CY28" s="60"/>
      <c r="CZ28" s="61"/>
      <c r="DA28" s="39"/>
      <c r="DB28" s="32"/>
      <c r="DC28" s="37"/>
      <c r="DD28" s="60"/>
      <c r="DE28" s="61"/>
      <c r="DF28" s="36"/>
      <c r="DG28" s="37"/>
      <c r="DH28" s="60"/>
      <c r="DI28" s="61"/>
      <c r="DJ28" s="36"/>
      <c r="DK28" s="37"/>
      <c r="DL28" s="60"/>
      <c r="DM28" s="61"/>
      <c r="DN28" s="39"/>
      <c r="DO28" s="32"/>
      <c r="DP28" s="37"/>
      <c r="DQ28" s="60"/>
      <c r="DR28" s="61"/>
      <c r="DS28" s="36"/>
      <c r="DT28" s="37"/>
      <c r="DU28" s="60"/>
      <c r="DV28" s="61"/>
      <c r="DW28" s="36"/>
      <c r="DX28" s="37"/>
      <c r="DY28" s="60"/>
      <c r="DZ28" s="61"/>
      <c r="EA28" s="39"/>
      <c r="EB28" s="32"/>
      <c r="EC28" s="37"/>
      <c r="ED28" s="60"/>
      <c r="EE28" s="61"/>
      <c r="EF28" s="36"/>
      <c r="EG28" s="37"/>
      <c r="EH28" s="60"/>
      <c r="EI28" s="61"/>
      <c r="EJ28" s="36"/>
      <c r="EK28" s="37"/>
      <c r="EL28" s="60"/>
      <c r="EM28" s="61"/>
      <c r="EN28" s="39"/>
    </row>
    <row r="29" spans="2:144" s="47" customFormat="1" outlineLevel="1" x14ac:dyDescent="0.3">
      <c r="B29" s="32" t="s">
        <v>9</v>
      </c>
      <c r="C29" s="37">
        <f t="shared" ref="C29:C34" si="197">D29-E29</f>
        <v>2529</v>
      </c>
      <c r="D29" s="60">
        <v>2529</v>
      </c>
      <c r="E29" s="61"/>
      <c r="F29" s="36"/>
      <c r="G29" s="37">
        <f t="shared" ref="G29:G34" si="198">H29-I29</f>
        <v>2799</v>
      </c>
      <c r="H29" s="60">
        <v>2799</v>
      </c>
      <c r="I29" s="61"/>
      <c r="J29" s="36"/>
      <c r="K29" s="37">
        <f t="shared" ref="K29:K34" si="199">L29-M29</f>
        <v>2399</v>
      </c>
      <c r="L29" s="60">
        <v>2399</v>
      </c>
      <c r="M29" s="61"/>
      <c r="N29" s="39"/>
      <c r="O29" s="32" t="s">
        <v>9</v>
      </c>
      <c r="P29" s="37">
        <f t="shared" ref="P29:P34" si="200">Q29-R29</f>
        <v>2529</v>
      </c>
      <c r="Q29" s="60">
        <v>2529</v>
      </c>
      <c r="R29" s="61"/>
      <c r="S29" s="36"/>
      <c r="T29" s="37">
        <f t="shared" ref="T29:T34" si="201">U29-V29</f>
        <v>0</v>
      </c>
      <c r="U29" s="60"/>
      <c r="V29" s="61"/>
      <c r="W29" s="36"/>
      <c r="X29" s="37">
        <f t="shared" ref="X29:X34" si="202">Y29-Z29</f>
        <v>2399</v>
      </c>
      <c r="Y29" s="60">
        <v>2399</v>
      </c>
      <c r="Z29" s="61"/>
      <c r="AA29" s="39"/>
      <c r="AB29" s="32" t="s">
        <v>9</v>
      </c>
      <c r="AC29" s="37">
        <f t="shared" ref="AC29:AC34" si="203">AD29-AE29</f>
        <v>2499</v>
      </c>
      <c r="AD29" s="60">
        <v>2499</v>
      </c>
      <c r="AE29" s="61"/>
      <c r="AF29" s="36"/>
      <c r="AG29" s="37">
        <f t="shared" ref="AG29:AG34" si="204">AH29-AI29</f>
        <v>0</v>
      </c>
      <c r="AH29" s="60"/>
      <c r="AI29" s="61"/>
      <c r="AJ29" s="36"/>
      <c r="AK29" s="37">
        <f t="shared" ref="AK29:AK32" si="205">AL29-AM29</f>
        <v>2399</v>
      </c>
      <c r="AL29" s="60">
        <v>2399</v>
      </c>
      <c r="AM29" s="61"/>
      <c r="AN29" s="39"/>
      <c r="AO29" s="32" t="s">
        <v>9</v>
      </c>
      <c r="AP29" s="37">
        <f t="shared" ref="AP29:AP34" si="206">AQ29-AR29</f>
        <v>2499</v>
      </c>
      <c r="AQ29" s="60">
        <v>2499</v>
      </c>
      <c r="AR29" s="61"/>
      <c r="AS29" s="36"/>
      <c r="AT29" s="37">
        <f t="shared" ref="AT29:AT34" si="207">AU29-AV29</f>
        <v>2399</v>
      </c>
      <c r="AU29" s="60">
        <v>2399</v>
      </c>
      <c r="AV29" s="61"/>
      <c r="AW29" s="36"/>
      <c r="AX29" s="37">
        <f t="shared" ref="AX29:AX32" si="208">AY29-AZ29</f>
        <v>2399</v>
      </c>
      <c r="AY29" s="60">
        <v>2399</v>
      </c>
      <c r="AZ29" s="61"/>
      <c r="BA29" s="39"/>
      <c r="BB29" s="32" t="s">
        <v>9</v>
      </c>
      <c r="BC29" s="37">
        <f t="shared" ref="BC29:BC34" si="209">BD29-BE29</f>
        <v>2549</v>
      </c>
      <c r="BD29" s="60">
        <v>2549</v>
      </c>
      <c r="BE29" s="61"/>
      <c r="BF29" s="36"/>
      <c r="BG29" s="37">
        <f t="shared" ref="BG29:BG34" si="210">BH29-BI29</f>
        <v>2499</v>
      </c>
      <c r="BH29" s="60">
        <v>2499</v>
      </c>
      <c r="BI29" s="61"/>
      <c r="BJ29" s="36"/>
      <c r="BK29" s="37">
        <f t="shared" ref="BK29:BK32" si="211">BL29-BM29</f>
        <v>2399</v>
      </c>
      <c r="BL29" s="60">
        <v>2399</v>
      </c>
      <c r="BM29" s="61"/>
      <c r="BN29" s="39"/>
      <c r="BO29" s="32" t="s">
        <v>9</v>
      </c>
      <c r="BP29" s="37">
        <f t="shared" ref="BP29:BP34" si="212">BQ29-BR29</f>
        <v>2549</v>
      </c>
      <c r="BQ29" s="60">
        <v>2549</v>
      </c>
      <c r="BR29" s="61"/>
      <c r="BS29" s="36"/>
      <c r="BT29" s="37">
        <f t="shared" ref="BT29:BT34" si="213">BU29-BV29</f>
        <v>2499</v>
      </c>
      <c r="BU29" s="60">
        <v>2499</v>
      </c>
      <c r="BV29" s="61"/>
      <c r="BW29" s="36"/>
      <c r="BX29" s="37">
        <f t="shared" ref="BX29:BX32" si="214">BY29-BZ29</f>
        <v>2399</v>
      </c>
      <c r="BY29" s="60">
        <v>2399</v>
      </c>
      <c r="BZ29" s="61"/>
      <c r="CA29" s="39"/>
      <c r="CB29" s="32" t="s">
        <v>9</v>
      </c>
      <c r="CC29" s="37">
        <f t="shared" ref="CC29:CC34" si="215">CD29-CE29</f>
        <v>2379</v>
      </c>
      <c r="CD29" s="60">
        <v>2379</v>
      </c>
      <c r="CE29" s="61"/>
      <c r="CF29" s="36"/>
      <c r="CG29" s="37">
        <f t="shared" ref="CG29:CG34" si="216">CH29-CI29</f>
        <v>2499</v>
      </c>
      <c r="CH29" s="60">
        <v>2499</v>
      </c>
      <c r="CI29" s="61"/>
      <c r="CJ29" s="36"/>
      <c r="CK29" s="37">
        <f t="shared" ref="CK29:CK32" si="217">CL29-CM29</f>
        <v>2399</v>
      </c>
      <c r="CL29" s="60">
        <v>2399</v>
      </c>
      <c r="CM29" s="61"/>
      <c r="CN29" s="39"/>
      <c r="CO29" s="32" t="s">
        <v>9</v>
      </c>
      <c r="CP29" s="37">
        <f t="shared" ref="CP29:CP34" si="218">CQ29-CR29</f>
        <v>2479</v>
      </c>
      <c r="CQ29" s="60">
        <v>2479</v>
      </c>
      <c r="CR29" s="61"/>
      <c r="CS29" s="36"/>
      <c r="CT29" s="37">
        <f t="shared" ref="CT29:CT34" si="219">CU29-CV29</f>
        <v>2299</v>
      </c>
      <c r="CU29" s="60">
        <v>2299</v>
      </c>
      <c r="CV29" s="61"/>
      <c r="CW29" s="36"/>
      <c r="CX29" s="37">
        <f t="shared" ref="CX29:CX32" si="220">CY29-CZ29</f>
        <v>2499</v>
      </c>
      <c r="CY29" s="60">
        <v>2499</v>
      </c>
      <c r="CZ29" s="61"/>
      <c r="DA29" s="39"/>
      <c r="DB29" s="32" t="s">
        <v>9</v>
      </c>
      <c r="DC29" s="37">
        <f t="shared" ref="DC29:DC34" si="221">DD29-DE29</f>
        <v>2479</v>
      </c>
      <c r="DD29" s="60">
        <v>2479</v>
      </c>
      <c r="DE29" s="61"/>
      <c r="DF29" s="36"/>
      <c r="DG29" s="37">
        <f t="shared" ref="DG29:DG34" si="222">DH29-DI29</f>
        <v>2299</v>
      </c>
      <c r="DH29" s="60">
        <v>2299</v>
      </c>
      <c r="DI29" s="61"/>
      <c r="DJ29" s="36"/>
      <c r="DK29" s="37">
        <f t="shared" ref="DK29:DK32" si="223">DL29-DM29</f>
        <v>2499</v>
      </c>
      <c r="DL29" s="60">
        <v>2499</v>
      </c>
      <c r="DM29" s="61"/>
      <c r="DN29" s="39"/>
      <c r="DO29" s="32" t="s">
        <v>9</v>
      </c>
      <c r="DP29" s="37">
        <f t="shared" ref="DP29:DP34" si="224">DQ29-DR29</f>
        <v>2479</v>
      </c>
      <c r="DQ29" s="60">
        <v>2479</v>
      </c>
      <c r="DR29" s="61"/>
      <c r="DS29" s="36"/>
      <c r="DT29" s="37">
        <f t="shared" ref="DT29:DT34" si="225">DU29-DV29</f>
        <v>2299</v>
      </c>
      <c r="DU29" s="60">
        <v>2299</v>
      </c>
      <c r="DV29" s="61"/>
      <c r="DW29" s="36"/>
      <c r="DX29" s="37">
        <f t="shared" ref="DX29:DX32" si="226">DY29-DZ29</f>
        <v>2299</v>
      </c>
      <c r="DY29" s="60">
        <v>2299</v>
      </c>
      <c r="DZ29" s="61"/>
      <c r="EA29" s="39"/>
      <c r="EB29" s="32" t="s">
        <v>9</v>
      </c>
      <c r="EC29" s="37">
        <f t="shared" ref="EC29:EC34" si="227">ED29-EE29</f>
        <v>2479</v>
      </c>
      <c r="ED29" s="60">
        <v>2479</v>
      </c>
      <c r="EE29" s="61"/>
      <c r="EF29" s="36"/>
      <c r="EG29" s="37">
        <f t="shared" ref="EG29:EG34" si="228">EH29-EI29</f>
        <v>2299</v>
      </c>
      <c r="EH29" s="60">
        <v>2299</v>
      </c>
      <c r="EI29" s="61"/>
      <c r="EJ29" s="36"/>
      <c r="EK29" s="37">
        <f t="shared" ref="EK29:EK32" si="229">EL29-EM29</f>
        <v>2299</v>
      </c>
      <c r="EL29" s="60">
        <v>2299</v>
      </c>
      <c r="EM29" s="61"/>
      <c r="EN29" s="39"/>
    </row>
    <row r="30" spans="2:144" s="47" customFormat="1" outlineLevel="1" x14ac:dyDescent="0.3">
      <c r="B30" s="32" t="s">
        <v>4</v>
      </c>
      <c r="C30" s="37">
        <f t="shared" si="197"/>
        <v>1999</v>
      </c>
      <c r="D30" s="60">
        <v>1999</v>
      </c>
      <c r="E30" s="61"/>
      <c r="F30" s="36"/>
      <c r="G30" s="37">
        <f t="shared" si="198"/>
        <v>2299</v>
      </c>
      <c r="H30" s="60">
        <v>2299</v>
      </c>
      <c r="I30" s="61"/>
      <c r="J30" s="36"/>
      <c r="K30" s="37">
        <f t="shared" si="199"/>
        <v>2236</v>
      </c>
      <c r="L30" s="60">
        <v>2236</v>
      </c>
      <c r="M30" s="61"/>
      <c r="N30" s="39"/>
      <c r="O30" s="32" t="s">
        <v>4</v>
      </c>
      <c r="P30" s="37">
        <f t="shared" si="200"/>
        <v>1879</v>
      </c>
      <c r="Q30" s="60">
        <v>1879</v>
      </c>
      <c r="R30" s="61"/>
      <c r="S30" s="36"/>
      <c r="T30" s="37">
        <f t="shared" si="201"/>
        <v>1949</v>
      </c>
      <c r="U30" s="60">
        <v>1949</v>
      </c>
      <c r="V30" s="61"/>
      <c r="W30" s="36"/>
      <c r="X30" s="37">
        <f t="shared" si="202"/>
        <v>1899</v>
      </c>
      <c r="Y30" s="60">
        <v>1899</v>
      </c>
      <c r="Z30" s="61"/>
      <c r="AA30" s="39"/>
      <c r="AB30" s="32" t="s">
        <v>4</v>
      </c>
      <c r="AC30" s="37">
        <f t="shared" si="203"/>
        <v>1879</v>
      </c>
      <c r="AD30" s="60">
        <v>1879</v>
      </c>
      <c r="AE30" s="61"/>
      <c r="AF30" s="36"/>
      <c r="AG30" s="37">
        <f t="shared" si="204"/>
        <v>1899</v>
      </c>
      <c r="AH30" s="60">
        <v>1899</v>
      </c>
      <c r="AI30" s="61"/>
      <c r="AJ30" s="36"/>
      <c r="AK30" s="37">
        <f t="shared" si="205"/>
        <v>1899</v>
      </c>
      <c r="AL30" s="60">
        <v>1899</v>
      </c>
      <c r="AM30" s="61"/>
      <c r="AN30" s="39"/>
      <c r="AO30" s="32" t="s">
        <v>4</v>
      </c>
      <c r="AP30" s="37">
        <f t="shared" si="206"/>
        <v>1879</v>
      </c>
      <c r="AQ30" s="60">
        <v>1879</v>
      </c>
      <c r="AR30" s="61"/>
      <c r="AS30" s="36"/>
      <c r="AT30" s="37">
        <f t="shared" si="207"/>
        <v>1899</v>
      </c>
      <c r="AU30" s="60">
        <v>1899</v>
      </c>
      <c r="AV30" s="61"/>
      <c r="AW30" s="36"/>
      <c r="AX30" s="37">
        <f t="shared" si="208"/>
        <v>1949</v>
      </c>
      <c r="AY30" s="60">
        <v>1949</v>
      </c>
      <c r="AZ30" s="61"/>
      <c r="BA30" s="39"/>
      <c r="BB30" s="32" t="s">
        <v>4</v>
      </c>
      <c r="BC30" s="37">
        <f t="shared" si="209"/>
        <v>1916</v>
      </c>
      <c r="BD30" s="60">
        <v>1916</v>
      </c>
      <c r="BE30" s="61"/>
      <c r="BF30" s="36"/>
      <c r="BG30" s="37">
        <f t="shared" si="210"/>
        <v>1879</v>
      </c>
      <c r="BH30" s="60">
        <v>1879</v>
      </c>
      <c r="BI30" s="61"/>
      <c r="BJ30" s="36"/>
      <c r="BK30" s="37">
        <f t="shared" si="211"/>
        <v>1879</v>
      </c>
      <c r="BL30" s="60">
        <v>1879</v>
      </c>
      <c r="BM30" s="61"/>
      <c r="BN30" s="39"/>
      <c r="BO30" s="32" t="s">
        <v>4</v>
      </c>
      <c r="BP30" s="37">
        <f t="shared" si="212"/>
        <v>1916</v>
      </c>
      <c r="BQ30" s="60">
        <v>1916</v>
      </c>
      <c r="BR30" s="61"/>
      <c r="BS30" s="36"/>
      <c r="BT30" s="37">
        <f t="shared" si="213"/>
        <v>1879</v>
      </c>
      <c r="BU30" s="60">
        <v>1879</v>
      </c>
      <c r="BV30" s="61"/>
      <c r="BW30" s="36"/>
      <c r="BX30" s="37">
        <f t="shared" si="214"/>
        <v>1879</v>
      </c>
      <c r="BY30" s="60">
        <v>1879</v>
      </c>
      <c r="BZ30" s="61"/>
      <c r="CA30" s="39"/>
      <c r="CB30" s="32" t="s">
        <v>4</v>
      </c>
      <c r="CC30" s="37">
        <f t="shared" si="215"/>
        <v>1869</v>
      </c>
      <c r="CD30" s="60">
        <v>1869</v>
      </c>
      <c r="CE30" s="61"/>
      <c r="CF30" s="36"/>
      <c r="CG30" s="37">
        <f t="shared" si="216"/>
        <v>1879</v>
      </c>
      <c r="CH30" s="60">
        <v>1879</v>
      </c>
      <c r="CI30" s="61"/>
      <c r="CJ30" s="36"/>
      <c r="CK30" s="37">
        <f t="shared" si="217"/>
        <v>1879</v>
      </c>
      <c r="CL30" s="60">
        <v>1879</v>
      </c>
      <c r="CM30" s="61"/>
      <c r="CN30" s="39"/>
      <c r="CO30" s="32" t="s">
        <v>4</v>
      </c>
      <c r="CP30" s="37">
        <f t="shared" si="218"/>
        <v>1869</v>
      </c>
      <c r="CQ30" s="60">
        <v>1869</v>
      </c>
      <c r="CR30" s="61"/>
      <c r="CS30" s="36"/>
      <c r="CT30" s="37">
        <f t="shared" si="219"/>
        <v>1899</v>
      </c>
      <c r="CU30" s="60">
        <v>1899</v>
      </c>
      <c r="CV30" s="61"/>
      <c r="CW30" s="36"/>
      <c r="CX30" s="37">
        <f t="shared" si="220"/>
        <v>1949</v>
      </c>
      <c r="CY30" s="60">
        <v>1949</v>
      </c>
      <c r="CZ30" s="61"/>
      <c r="DA30" s="39"/>
      <c r="DB30" s="32" t="s">
        <v>4</v>
      </c>
      <c r="DC30" s="37">
        <f t="shared" si="221"/>
        <v>1869</v>
      </c>
      <c r="DD30" s="60">
        <v>1869</v>
      </c>
      <c r="DE30" s="61"/>
      <c r="DF30" s="36"/>
      <c r="DG30" s="37">
        <f t="shared" si="222"/>
        <v>1899</v>
      </c>
      <c r="DH30" s="60">
        <v>1899</v>
      </c>
      <c r="DI30" s="61"/>
      <c r="DJ30" s="36"/>
      <c r="DK30" s="37">
        <f t="shared" si="223"/>
        <v>1949</v>
      </c>
      <c r="DL30" s="60">
        <v>1949</v>
      </c>
      <c r="DM30" s="61"/>
      <c r="DN30" s="39"/>
      <c r="DO30" s="32" t="s">
        <v>4</v>
      </c>
      <c r="DP30" s="37">
        <f t="shared" si="224"/>
        <v>1869</v>
      </c>
      <c r="DQ30" s="60">
        <v>1869</v>
      </c>
      <c r="DR30" s="61"/>
      <c r="DS30" s="36"/>
      <c r="DT30" s="37">
        <f t="shared" si="225"/>
        <v>1849</v>
      </c>
      <c r="DU30" s="60">
        <v>1849</v>
      </c>
      <c r="DV30" s="61"/>
      <c r="DW30" s="36"/>
      <c r="DX30" s="37">
        <f t="shared" si="226"/>
        <v>1899</v>
      </c>
      <c r="DY30" s="60">
        <v>1899</v>
      </c>
      <c r="DZ30" s="61"/>
      <c r="EA30" s="39"/>
      <c r="EB30" s="32" t="s">
        <v>4</v>
      </c>
      <c r="EC30" s="37">
        <f t="shared" si="227"/>
        <v>1869</v>
      </c>
      <c r="ED30" s="60">
        <v>1869</v>
      </c>
      <c r="EE30" s="61"/>
      <c r="EF30" s="36"/>
      <c r="EG30" s="37">
        <f t="shared" si="228"/>
        <v>1849</v>
      </c>
      <c r="EH30" s="60">
        <v>1849</v>
      </c>
      <c r="EI30" s="61"/>
      <c r="EJ30" s="36"/>
      <c r="EK30" s="37">
        <f t="shared" si="229"/>
        <v>1899</v>
      </c>
      <c r="EL30" s="60">
        <v>1899</v>
      </c>
      <c r="EM30" s="61"/>
      <c r="EN30" s="39"/>
    </row>
    <row r="31" spans="2:144" s="47" customFormat="1" outlineLevel="1" x14ac:dyDescent="0.3">
      <c r="B31" s="32" t="s">
        <v>33</v>
      </c>
      <c r="C31" s="37">
        <f t="shared" si="197"/>
        <v>1339</v>
      </c>
      <c r="D31" s="60">
        <v>1339</v>
      </c>
      <c r="E31" s="61"/>
      <c r="F31" s="36"/>
      <c r="G31" s="37">
        <f t="shared" si="198"/>
        <v>1499</v>
      </c>
      <c r="H31" s="60">
        <v>1499</v>
      </c>
      <c r="I31" s="61"/>
      <c r="J31" s="36"/>
      <c r="K31" s="37">
        <f t="shared" si="199"/>
        <v>1541</v>
      </c>
      <c r="L31" s="60">
        <v>1541</v>
      </c>
      <c r="M31" s="61"/>
      <c r="N31" s="39"/>
      <c r="O31" s="32" t="s">
        <v>33</v>
      </c>
      <c r="P31" s="37">
        <f t="shared" si="200"/>
        <v>1339</v>
      </c>
      <c r="Q31" s="60">
        <v>1339</v>
      </c>
      <c r="R31" s="61"/>
      <c r="S31" s="36"/>
      <c r="T31" s="37">
        <f t="shared" si="201"/>
        <v>1299</v>
      </c>
      <c r="U31" s="60">
        <v>1299</v>
      </c>
      <c r="V31" s="61"/>
      <c r="W31" s="36"/>
      <c r="X31" s="37">
        <f t="shared" si="202"/>
        <v>1537</v>
      </c>
      <c r="Y31" s="60">
        <v>1537</v>
      </c>
      <c r="Z31" s="61"/>
      <c r="AA31" s="39"/>
      <c r="AB31" s="32" t="s">
        <v>33</v>
      </c>
      <c r="AC31" s="37">
        <f t="shared" si="203"/>
        <v>1259</v>
      </c>
      <c r="AD31" s="60">
        <v>1259</v>
      </c>
      <c r="AE31" s="61"/>
      <c r="AF31" s="36"/>
      <c r="AG31" s="37">
        <f t="shared" si="204"/>
        <v>1279</v>
      </c>
      <c r="AH31" s="60">
        <v>1279</v>
      </c>
      <c r="AI31" s="61"/>
      <c r="AJ31" s="36"/>
      <c r="AK31" s="37">
        <f t="shared" si="205"/>
        <v>1259</v>
      </c>
      <c r="AL31" s="60">
        <v>1259</v>
      </c>
      <c r="AM31" s="61"/>
      <c r="AN31" s="39"/>
      <c r="AO31" s="32" t="s">
        <v>33</v>
      </c>
      <c r="AP31" s="37">
        <f t="shared" si="206"/>
        <v>1259</v>
      </c>
      <c r="AQ31" s="60">
        <v>1259</v>
      </c>
      <c r="AR31" s="61"/>
      <c r="AS31" s="36"/>
      <c r="AT31" s="37">
        <f t="shared" si="207"/>
        <v>1279</v>
      </c>
      <c r="AU31" s="60">
        <v>1279</v>
      </c>
      <c r="AV31" s="61"/>
      <c r="AW31" s="36"/>
      <c r="AX31" s="37">
        <f t="shared" si="208"/>
        <v>1329</v>
      </c>
      <c r="AY31" s="60">
        <v>1329</v>
      </c>
      <c r="AZ31" s="61"/>
      <c r="BA31" s="39"/>
      <c r="BB31" s="32" t="s">
        <v>33</v>
      </c>
      <c r="BC31" s="37">
        <f t="shared" si="209"/>
        <v>1269</v>
      </c>
      <c r="BD31" s="60">
        <v>1269</v>
      </c>
      <c r="BE31" s="61"/>
      <c r="BF31" s="36"/>
      <c r="BG31" s="37">
        <f t="shared" si="210"/>
        <v>1279</v>
      </c>
      <c r="BH31" s="60">
        <v>1279</v>
      </c>
      <c r="BI31" s="61"/>
      <c r="BJ31" s="36"/>
      <c r="BK31" s="37">
        <f t="shared" si="211"/>
        <v>1269</v>
      </c>
      <c r="BL31" s="60">
        <v>1269</v>
      </c>
      <c r="BM31" s="61"/>
      <c r="BN31" s="39"/>
      <c r="BO31" s="32" t="s">
        <v>33</v>
      </c>
      <c r="BP31" s="37">
        <f t="shared" si="212"/>
        <v>1269</v>
      </c>
      <c r="BQ31" s="60">
        <v>1269</v>
      </c>
      <c r="BR31" s="61"/>
      <c r="BS31" s="36"/>
      <c r="BT31" s="37">
        <f t="shared" si="213"/>
        <v>1279</v>
      </c>
      <c r="BU31" s="60">
        <v>1279</v>
      </c>
      <c r="BV31" s="61"/>
      <c r="BW31" s="36"/>
      <c r="BX31" s="37">
        <f t="shared" si="214"/>
        <v>1269</v>
      </c>
      <c r="BY31" s="60">
        <v>1269</v>
      </c>
      <c r="BZ31" s="61"/>
      <c r="CA31" s="39"/>
      <c r="CB31" s="32" t="s">
        <v>33</v>
      </c>
      <c r="CC31" s="37">
        <f t="shared" si="215"/>
        <v>1269</v>
      </c>
      <c r="CD31" s="60">
        <v>1269</v>
      </c>
      <c r="CE31" s="61"/>
      <c r="CF31" s="36"/>
      <c r="CG31" s="37">
        <f t="shared" si="216"/>
        <v>1279</v>
      </c>
      <c r="CH31" s="60">
        <v>1279</v>
      </c>
      <c r="CI31" s="61"/>
      <c r="CJ31" s="36"/>
      <c r="CK31" s="37">
        <f t="shared" si="217"/>
        <v>1299</v>
      </c>
      <c r="CL31" s="60">
        <v>1299</v>
      </c>
      <c r="CM31" s="61"/>
      <c r="CN31" s="39"/>
      <c r="CO31" s="32" t="s">
        <v>33</v>
      </c>
      <c r="CP31" s="37">
        <f t="shared" si="218"/>
        <v>1269</v>
      </c>
      <c r="CQ31" s="60">
        <v>1269</v>
      </c>
      <c r="CR31" s="61"/>
      <c r="CS31" s="36"/>
      <c r="CT31" s="37">
        <f t="shared" si="219"/>
        <v>1279</v>
      </c>
      <c r="CU31" s="60">
        <v>1279</v>
      </c>
      <c r="CV31" s="61"/>
      <c r="CW31" s="36"/>
      <c r="CX31" s="37">
        <f t="shared" si="220"/>
        <v>1299</v>
      </c>
      <c r="CY31" s="60">
        <v>1299</v>
      </c>
      <c r="CZ31" s="61"/>
      <c r="DA31" s="39"/>
      <c r="DB31" s="32" t="s">
        <v>33</v>
      </c>
      <c r="DC31" s="37">
        <f t="shared" si="221"/>
        <v>1269</v>
      </c>
      <c r="DD31" s="60">
        <v>1269</v>
      </c>
      <c r="DE31" s="61"/>
      <c r="DF31" s="36"/>
      <c r="DG31" s="37">
        <f t="shared" si="222"/>
        <v>1279</v>
      </c>
      <c r="DH31" s="60">
        <v>1279</v>
      </c>
      <c r="DI31" s="61"/>
      <c r="DJ31" s="36"/>
      <c r="DK31" s="37">
        <f t="shared" si="223"/>
        <v>1299</v>
      </c>
      <c r="DL31" s="60">
        <v>1299</v>
      </c>
      <c r="DM31" s="61"/>
      <c r="DN31" s="39"/>
      <c r="DO31" s="32" t="s">
        <v>33</v>
      </c>
      <c r="DP31" s="37">
        <f t="shared" si="224"/>
        <v>1304</v>
      </c>
      <c r="DQ31" s="60">
        <v>1304</v>
      </c>
      <c r="DR31" s="61"/>
      <c r="DS31" s="36"/>
      <c r="DT31" s="37">
        <f t="shared" si="225"/>
        <v>1249</v>
      </c>
      <c r="DU31" s="60">
        <v>1249</v>
      </c>
      <c r="DV31" s="61"/>
      <c r="DW31" s="36"/>
      <c r="DX31" s="37">
        <f t="shared" si="226"/>
        <v>1279</v>
      </c>
      <c r="DY31" s="60">
        <v>1279</v>
      </c>
      <c r="DZ31" s="61"/>
      <c r="EA31" s="39"/>
      <c r="EB31" s="32" t="s">
        <v>33</v>
      </c>
      <c r="EC31" s="37">
        <f t="shared" si="227"/>
        <v>1304</v>
      </c>
      <c r="ED31" s="60">
        <v>1304</v>
      </c>
      <c r="EE31" s="61"/>
      <c r="EF31" s="36"/>
      <c r="EG31" s="37">
        <f t="shared" si="228"/>
        <v>1249</v>
      </c>
      <c r="EH31" s="60">
        <v>1249</v>
      </c>
      <c r="EI31" s="61"/>
      <c r="EJ31" s="36"/>
      <c r="EK31" s="37">
        <f t="shared" si="229"/>
        <v>1279</v>
      </c>
      <c r="EL31" s="60">
        <v>1279</v>
      </c>
      <c r="EM31" s="61"/>
      <c r="EN31" s="39"/>
    </row>
    <row r="32" spans="2:144" s="47" customFormat="1" outlineLevel="1" x14ac:dyDescent="0.3">
      <c r="B32" s="32" t="s">
        <v>34</v>
      </c>
      <c r="C32" s="37">
        <f t="shared" si="197"/>
        <v>969</v>
      </c>
      <c r="D32" s="60">
        <v>969</v>
      </c>
      <c r="E32" s="61"/>
      <c r="F32" s="36"/>
      <c r="G32" s="37">
        <f t="shared" si="198"/>
        <v>999</v>
      </c>
      <c r="H32" s="60">
        <v>999</v>
      </c>
      <c r="I32" s="61"/>
      <c r="J32" s="36"/>
      <c r="K32" s="37">
        <f t="shared" si="199"/>
        <v>1155</v>
      </c>
      <c r="L32" s="60">
        <v>1155</v>
      </c>
      <c r="M32" s="61"/>
      <c r="N32" s="39"/>
      <c r="O32" s="32" t="s">
        <v>34</v>
      </c>
      <c r="P32" s="37">
        <f t="shared" si="200"/>
        <v>969</v>
      </c>
      <c r="Q32" s="60">
        <v>969</v>
      </c>
      <c r="R32" s="61"/>
      <c r="S32" s="36"/>
      <c r="T32" s="37">
        <f t="shared" si="201"/>
        <v>969</v>
      </c>
      <c r="U32" s="60">
        <v>969</v>
      </c>
      <c r="V32" s="61"/>
      <c r="W32" s="36"/>
      <c r="X32" s="37">
        <f t="shared" si="202"/>
        <v>969</v>
      </c>
      <c r="Y32" s="60">
        <v>969</v>
      </c>
      <c r="Z32" s="61"/>
      <c r="AA32" s="39"/>
      <c r="AB32" s="32" t="s">
        <v>34</v>
      </c>
      <c r="AC32" s="37">
        <f t="shared" si="203"/>
        <v>1200</v>
      </c>
      <c r="AD32" s="60">
        <v>1200</v>
      </c>
      <c r="AE32" s="61"/>
      <c r="AF32" s="36"/>
      <c r="AG32" s="37">
        <f t="shared" si="204"/>
        <v>899</v>
      </c>
      <c r="AH32" s="60">
        <v>899</v>
      </c>
      <c r="AI32" s="61"/>
      <c r="AJ32" s="36"/>
      <c r="AK32" s="37">
        <f t="shared" si="205"/>
        <v>899</v>
      </c>
      <c r="AL32" s="60">
        <v>899</v>
      </c>
      <c r="AM32" s="61"/>
      <c r="AN32" s="39"/>
      <c r="AO32" s="32" t="s">
        <v>34</v>
      </c>
      <c r="AP32" s="37">
        <f t="shared" si="206"/>
        <v>929</v>
      </c>
      <c r="AQ32" s="60">
        <v>929</v>
      </c>
      <c r="AR32" s="61"/>
      <c r="AS32" s="36"/>
      <c r="AT32" s="37">
        <f t="shared" si="207"/>
        <v>899</v>
      </c>
      <c r="AU32" s="60">
        <v>899</v>
      </c>
      <c r="AV32" s="61"/>
      <c r="AW32" s="36"/>
      <c r="AX32" s="37">
        <f t="shared" si="208"/>
        <v>979</v>
      </c>
      <c r="AY32" s="60">
        <v>979</v>
      </c>
      <c r="AZ32" s="61"/>
      <c r="BA32" s="39"/>
      <c r="BB32" s="32" t="s">
        <v>34</v>
      </c>
      <c r="BC32" s="37">
        <f t="shared" si="209"/>
        <v>899</v>
      </c>
      <c r="BD32" s="60">
        <v>899</v>
      </c>
      <c r="BE32" s="61"/>
      <c r="BF32" s="36"/>
      <c r="BG32" s="37">
        <f t="shared" si="210"/>
        <v>979</v>
      </c>
      <c r="BH32" s="60">
        <v>979</v>
      </c>
      <c r="BI32" s="61"/>
      <c r="BJ32" s="36"/>
      <c r="BK32" s="37">
        <f t="shared" si="211"/>
        <v>949</v>
      </c>
      <c r="BL32" s="60">
        <v>949</v>
      </c>
      <c r="BM32" s="61"/>
      <c r="BN32" s="39"/>
      <c r="BO32" s="32" t="s">
        <v>34</v>
      </c>
      <c r="BP32" s="37">
        <f t="shared" si="212"/>
        <v>899</v>
      </c>
      <c r="BQ32" s="60">
        <v>899</v>
      </c>
      <c r="BR32" s="61"/>
      <c r="BS32" s="36"/>
      <c r="BT32" s="37">
        <f t="shared" si="213"/>
        <v>999</v>
      </c>
      <c r="BU32" s="60">
        <v>999</v>
      </c>
      <c r="BV32" s="61"/>
      <c r="BW32" s="36"/>
      <c r="BX32" s="37">
        <f t="shared" si="214"/>
        <v>949</v>
      </c>
      <c r="BY32" s="60">
        <v>949</v>
      </c>
      <c r="BZ32" s="61"/>
      <c r="CA32" s="39"/>
      <c r="CB32" s="32" t="s">
        <v>34</v>
      </c>
      <c r="CC32" s="37">
        <f t="shared" si="215"/>
        <v>879</v>
      </c>
      <c r="CD32" s="60">
        <v>879</v>
      </c>
      <c r="CE32" s="61"/>
      <c r="CF32" s="36"/>
      <c r="CG32" s="37">
        <f t="shared" si="216"/>
        <v>899</v>
      </c>
      <c r="CH32" s="60">
        <v>899</v>
      </c>
      <c r="CI32" s="61"/>
      <c r="CJ32" s="36"/>
      <c r="CK32" s="37">
        <f t="shared" si="217"/>
        <v>899</v>
      </c>
      <c r="CL32" s="60">
        <v>899</v>
      </c>
      <c r="CM32" s="61"/>
      <c r="CN32" s="39"/>
      <c r="CO32" s="32" t="s">
        <v>34</v>
      </c>
      <c r="CP32" s="37">
        <f t="shared" si="218"/>
        <v>879</v>
      </c>
      <c r="CQ32" s="60">
        <v>879</v>
      </c>
      <c r="CR32" s="61"/>
      <c r="CS32" s="36"/>
      <c r="CT32" s="37">
        <f t="shared" si="219"/>
        <v>979</v>
      </c>
      <c r="CU32" s="60">
        <v>979</v>
      </c>
      <c r="CV32" s="61"/>
      <c r="CW32" s="36"/>
      <c r="CX32" s="37">
        <f t="shared" si="220"/>
        <v>899</v>
      </c>
      <c r="CY32" s="60">
        <v>899</v>
      </c>
      <c r="CZ32" s="61"/>
      <c r="DA32" s="39"/>
      <c r="DB32" s="32" t="s">
        <v>34</v>
      </c>
      <c r="DC32" s="37">
        <f t="shared" si="221"/>
        <v>1099</v>
      </c>
      <c r="DD32" s="60">
        <v>1099</v>
      </c>
      <c r="DE32" s="61"/>
      <c r="DF32" s="36"/>
      <c r="DG32" s="37">
        <f t="shared" si="222"/>
        <v>979</v>
      </c>
      <c r="DH32" s="60">
        <v>979</v>
      </c>
      <c r="DI32" s="61"/>
      <c r="DJ32" s="36"/>
      <c r="DK32" s="37">
        <f t="shared" si="223"/>
        <v>1032</v>
      </c>
      <c r="DL32" s="60">
        <v>1032</v>
      </c>
      <c r="DM32" s="61"/>
      <c r="DN32" s="39"/>
      <c r="DO32" s="32" t="s">
        <v>34</v>
      </c>
      <c r="DP32" s="37">
        <f t="shared" si="224"/>
        <v>899</v>
      </c>
      <c r="DQ32" s="60">
        <v>899</v>
      </c>
      <c r="DR32" s="61"/>
      <c r="DS32" s="36"/>
      <c r="DT32" s="37">
        <f t="shared" si="225"/>
        <v>899</v>
      </c>
      <c r="DU32" s="60">
        <v>899</v>
      </c>
      <c r="DV32" s="61"/>
      <c r="DW32" s="36"/>
      <c r="DX32" s="37">
        <f t="shared" si="226"/>
        <v>922</v>
      </c>
      <c r="DY32" s="60">
        <v>922</v>
      </c>
      <c r="DZ32" s="61"/>
      <c r="EA32" s="39"/>
      <c r="EB32" s="32" t="s">
        <v>34</v>
      </c>
      <c r="EC32" s="37">
        <f t="shared" si="227"/>
        <v>899</v>
      </c>
      <c r="ED32" s="60">
        <v>899</v>
      </c>
      <c r="EE32" s="61"/>
      <c r="EF32" s="36"/>
      <c r="EG32" s="37">
        <f t="shared" si="228"/>
        <v>899</v>
      </c>
      <c r="EH32" s="60">
        <v>899</v>
      </c>
      <c r="EI32" s="61"/>
      <c r="EJ32" s="36"/>
      <c r="EK32" s="37">
        <f t="shared" si="229"/>
        <v>922</v>
      </c>
      <c r="EL32" s="60">
        <v>922</v>
      </c>
      <c r="EM32" s="61"/>
      <c r="EN32" s="39"/>
    </row>
    <row r="33" spans="2:144" s="47" customFormat="1" outlineLevel="1" x14ac:dyDescent="0.3">
      <c r="B33" s="32" t="s">
        <v>35</v>
      </c>
      <c r="C33" s="37">
        <f t="shared" si="197"/>
        <v>899</v>
      </c>
      <c r="D33" s="60">
        <v>899</v>
      </c>
      <c r="E33" s="61"/>
      <c r="F33" s="36"/>
      <c r="G33" s="37">
        <f t="shared" si="198"/>
        <v>899</v>
      </c>
      <c r="H33" s="60">
        <v>899</v>
      </c>
      <c r="I33" s="61"/>
      <c r="J33" s="36"/>
      <c r="K33" s="37">
        <f t="shared" si="199"/>
        <v>1007</v>
      </c>
      <c r="L33" s="60">
        <v>1007</v>
      </c>
      <c r="M33" s="61"/>
      <c r="N33" s="39"/>
      <c r="O33" s="32" t="s">
        <v>35</v>
      </c>
      <c r="P33" s="37">
        <f t="shared" si="200"/>
        <v>869</v>
      </c>
      <c r="Q33" s="60">
        <v>869</v>
      </c>
      <c r="R33" s="61"/>
      <c r="S33" s="36"/>
      <c r="T33" s="37">
        <f t="shared" si="201"/>
        <v>899</v>
      </c>
      <c r="U33" s="60">
        <v>899</v>
      </c>
      <c r="V33" s="61"/>
      <c r="W33" s="36"/>
      <c r="X33" s="37">
        <f t="shared" si="202"/>
        <v>879</v>
      </c>
      <c r="Y33" s="60">
        <v>879</v>
      </c>
      <c r="Z33" s="61"/>
      <c r="AA33" s="39"/>
      <c r="AB33" s="32" t="s">
        <v>35</v>
      </c>
      <c r="AC33" s="37">
        <f t="shared" si="203"/>
        <v>869</v>
      </c>
      <c r="AD33" s="60">
        <v>869</v>
      </c>
      <c r="AE33" s="61"/>
      <c r="AF33" s="36"/>
      <c r="AG33" s="37">
        <f t="shared" si="204"/>
        <v>899</v>
      </c>
      <c r="AH33" s="60">
        <v>899</v>
      </c>
      <c r="AI33" s="61"/>
      <c r="AJ33" s="36"/>
      <c r="AK33" s="37">
        <f>AL33-AM33</f>
        <v>869</v>
      </c>
      <c r="AL33" s="60">
        <v>869</v>
      </c>
      <c r="AM33" s="61"/>
      <c r="AN33" s="39"/>
      <c r="AO33" s="32" t="s">
        <v>35</v>
      </c>
      <c r="AP33" s="37">
        <f t="shared" si="206"/>
        <v>869</v>
      </c>
      <c r="AQ33" s="60">
        <v>869</v>
      </c>
      <c r="AR33" s="61"/>
      <c r="AS33" s="36"/>
      <c r="AT33" s="37">
        <f t="shared" si="207"/>
        <v>899</v>
      </c>
      <c r="AU33" s="60">
        <v>899</v>
      </c>
      <c r="AV33" s="61"/>
      <c r="AW33" s="36"/>
      <c r="AX33" s="37">
        <f>AY33-AZ33</f>
        <v>899</v>
      </c>
      <c r="AY33" s="60">
        <v>899</v>
      </c>
      <c r="AZ33" s="61"/>
      <c r="BA33" s="39"/>
      <c r="BB33" s="32" t="s">
        <v>35</v>
      </c>
      <c r="BC33" s="37">
        <f t="shared" si="209"/>
        <v>886</v>
      </c>
      <c r="BD33" s="60">
        <v>886</v>
      </c>
      <c r="BE33" s="61"/>
      <c r="BF33" s="36"/>
      <c r="BG33" s="37">
        <f t="shared" si="210"/>
        <v>899</v>
      </c>
      <c r="BH33" s="60">
        <v>899</v>
      </c>
      <c r="BI33" s="61"/>
      <c r="BJ33" s="36"/>
      <c r="BK33" s="37">
        <f>BL33-BM33</f>
        <v>869</v>
      </c>
      <c r="BL33" s="60">
        <v>869</v>
      </c>
      <c r="BM33" s="61"/>
      <c r="BN33" s="39"/>
      <c r="BO33" s="32" t="s">
        <v>35</v>
      </c>
      <c r="BP33" s="37">
        <f t="shared" si="212"/>
        <v>880</v>
      </c>
      <c r="BQ33" s="60">
        <v>880</v>
      </c>
      <c r="BR33" s="61"/>
      <c r="BS33" s="36"/>
      <c r="BT33" s="37">
        <f t="shared" si="213"/>
        <v>899</v>
      </c>
      <c r="BU33" s="60">
        <v>899</v>
      </c>
      <c r="BV33" s="61"/>
      <c r="BW33" s="36"/>
      <c r="BX33" s="37">
        <f>BY33-BZ33</f>
        <v>869</v>
      </c>
      <c r="BY33" s="60">
        <v>869</v>
      </c>
      <c r="BZ33" s="61"/>
      <c r="CA33" s="39"/>
      <c r="CB33" s="32" t="s">
        <v>35</v>
      </c>
      <c r="CC33" s="37">
        <f t="shared" si="215"/>
        <v>886</v>
      </c>
      <c r="CD33" s="60">
        <v>886</v>
      </c>
      <c r="CE33" s="61"/>
      <c r="CF33" s="36"/>
      <c r="CG33" s="37">
        <f t="shared" si="216"/>
        <v>899</v>
      </c>
      <c r="CH33" s="60">
        <v>899</v>
      </c>
      <c r="CI33" s="61"/>
      <c r="CJ33" s="36"/>
      <c r="CK33" s="37">
        <f>CL33-CM33</f>
        <v>869</v>
      </c>
      <c r="CL33" s="60">
        <v>869</v>
      </c>
      <c r="CM33" s="61"/>
      <c r="CN33" s="39"/>
      <c r="CO33" s="32" t="s">
        <v>35</v>
      </c>
      <c r="CP33" s="37">
        <f t="shared" si="218"/>
        <v>886</v>
      </c>
      <c r="CQ33" s="60">
        <v>886</v>
      </c>
      <c r="CR33" s="61"/>
      <c r="CS33" s="36"/>
      <c r="CT33" s="37">
        <f t="shared" si="219"/>
        <v>899</v>
      </c>
      <c r="CU33" s="60">
        <v>899</v>
      </c>
      <c r="CV33" s="61"/>
      <c r="CW33" s="36"/>
      <c r="CX33" s="37">
        <f>CY33-CZ33</f>
        <v>869</v>
      </c>
      <c r="CY33" s="60">
        <v>869</v>
      </c>
      <c r="CZ33" s="61"/>
      <c r="DA33" s="39"/>
      <c r="DB33" s="32" t="s">
        <v>35</v>
      </c>
      <c r="DC33" s="37">
        <f t="shared" si="221"/>
        <v>849</v>
      </c>
      <c r="DD33" s="60">
        <v>849</v>
      </c>
      <c r="DE33" s="61"/>
      <c r="DF33" s="36"/>
      <c r="DG33" s="37">
        <f t="shared" si="222"/>
        <v>899</v>
      </c>
      <c r="DH33" s="60">
        <v>899</v>
      </c>
      <c r="DI33" s="61"/>
      <c r="DJ33" s="36"/>
      <c r="DK33" s="37">
        <f>DL33-DM33</f>
        <v>869</v>
      </c>
      <c r="DL33" s="60">
        <v>869</v>
      </c>
      <c r="DM33" s="61"/>
      <c r="DN33" s="39"/>
      <c r="DO33" s="32" t="s">
        <v>35</v>
      </c>
      <c r="DP33" s="37">
        <f t="shared" si="224"/>
        <v>886</v>
      </c>
      <c r="DQ33" s="60">
        <v>886</v>
      </c>
      <c r="DR33" s="61"/>
      <c r="DS33" s="36"/>
      <c r="DT33" s="37">
        <f t="shared" si="225"/>
        <v>849</v>
      </c>
      <c r="DU33" s="60">
        <v>849</v>
      </c>
      <c r="DV33" s="61"/>
      <c r="DW33" s="36"/>
      <c r="DX33" s="37">
        <f>DY33-DZ33</f>
        <v>869</v>
      </c>
      <c r="DY33" s="60">
        <v>869</v>
      </c>
      <c r="DZ33" s="61"/>
      <c r="EA33" s="39"/>
      <c r="EB33" s="32" t="s">
        <v>35</v>
      </c>
      <c r="EC33" s="37">
        <f t="shared" si="227"/>
        <v>886</v>
      </c>
      <c r="ED33" s="60">
        <v>886</v>
      </c>
      <c r="EE33" s="61"/>
      <c r="EF33" s="36"/>
      <c r="EG33" s="37">
        <f t="shared" si="228"/>
        <v>849</v>
      </c>
      <c r="EH33" s="60">
        <v>849</v>
      </c>
      <c r="EI33" s="61"/>
      <c r="EJ33" s="36"/>
      <c r="EK33" s="37">
        <f>EL33-EM33</f>
        <v>869</v>
      </c>
      <c r="EL33" s="60">
        <v>869</v>
      </c>
      <c r="EM33" s="61"/>
      <c r="EN33" s="39"/>
    </row>
    <row r="34" spans="2:144" s="47" customFormat="1" outlineLevel="1" x14ac:dyDescent="0.3">
      <c r="B34" s="32" t="s">
        <v>36</v>
      </c>
      <c r="C34" s="37">
        <f t="shared" si="197"/>
        <v>799</v>
      </c>
      <c r="D34" s="60">
        <v>799</v>
      </c>
      <c r="E34" s="61"/>
      <c r="F34" s="36"/>
      <c r="G34" s="37">
        <f t="shared" si="198"/>
        <v>799</v>
      </c>
      <c r="H34" s="60">
        <v>799</v>
      </c>
      <c r="I34" s="61"/>
      <c r="J34" s="36"/>
      <c r="K34" s="37">
        <f t="shared" si="199"/>
        <v>922</v>
      </c>
      <c r="L34" s="60">
        <v>922</v>
      </c>
      <c r="M34" s="61"/>
      <c r="N34" s="39"/>
      <c r="O34" s="32" t="s">
        <v>36</v>
      </c>
      <c r="P34" s="37">
        <f t="shared" si="200"/>
        <v>779</v>
      </c>
      <c r="Q34" s="60">
        <v>779</v>
      </c>
      <c r="R34" s="61"/>
      <c r="S34" s="36"/>
      <c r="T34" s="37">
        <f t="shared" si="201"/>
        <v>749</v>
      </c>
      <c r="U34" s="60">
        <v>749</v>
      </c>
      <c r="V34" s="61"/>
      <c r="W34" s="36"/>
      <c r="X34" s="37">
        <f t="shared" si="202"/>
        <v>739</v>
      </c>
      <c r="Y34" s="60">
        <v>739</v>
      </c>
      <c r="Z34" s="61"/>
      <c r="AA34" s="39"/>
      <c r="AB34" s="32" t="s">
        <v>36</v>
      </c>
      <c r="AC34" s="37">
        <f t="shared" si="203"/>
        <v>739</v>
      </c>
      <c r="AD34" s="60">
        <v>739</v>
      </c>
      <c r="AE34" s="61"/>
      <c r="AF34" s="36"/>
      <c r="AG34" s="37">
        <f t="shared" si="204"/>
        <v>769</v>
      </c>
      <c r="AH34" s="60">
        <v>769</v>
      </c>
      <c r="AI34" s="61"/>
      <c r="AJ34" s="36"/>
      <c r="AK34" s="37">
        <f>AL34-AM34</f>
        <v>729</v>
      </c>
      <c r="AL34" s="60">
        <v>729</v>
      </c>
      <c r="AM34" s="61"/>
      <c r="AN34" s="39"/>
      <c r="AO34" s="32" t="s">
        <v>36</v>
      </c>
      <c r="AP34" s="37">
        <f t="shared" si="206"/>
        <v>739</v>
      </c>
      <c r="AQ34" s="60">
        <v>739</v>
      </c>
      <c r="AR34" s="61"/>
      <c r="AS34" s="36"/>
      <c r="AT34" s="37">
        <f t="shared" si="207"/>
        <v>769</v>
      </c>
      <c r="AU34" s="60">
        <v>769</v>
      </c>
      <c r="AV34" s="61"/>
      <c r="AW34" s="36"/>
      <c r="AX34" s="37">
        <f>AY34-AZ34</f>
        <v>799</v>
      </c>
      <c r="AY34" s="60">
        <v>799</v>
      </c>
      <c r="AZ34" s="61"/>
      <c r="BA34" s="39"/>
      <c r="BB34" s="32" t="s">
        <v>36</v>
      </c>
      <c r="BC34" s="37">
        <f t="shared" si="209"/>
        <v>849</v>
      </c>
      <c r="BD34" s="60">
        <v>849</v>
      </c>
      <c r="BE34" s="61"/>
      <c r="BF34" s="36"/>
      <c r="BG34" s="37">
        <f t="shared" si="210"/>
        <v>729</v>
      </c>
      <c r="BH34" s="60">
        <v>729</v>
      </c>
      <c r="BI34" s="61"/>
      <c r="BJ34" s="36"/>
      <c r="BK34" s="37">
        <f>BL34-BM34</f>
        <v>729</v>
      </c>
      <c r="BL34" s="60">
        <v>729</v>
      </c>
      <c r="BM34" s="61"/>
      <c r="BN34" s="39"/>
      <c r="BO34" s="32" t="s">
        <v>36</v>
      </c>
      <c r="BP34" s="37">
        <f t="shared" si="212"/>
        <v>729</v>
      </c>
      <c r="BQ34" s="60">
        <v>729</v>
      </c>
      <c r="BR34" s="61"/>
      <c r="BS34" s="36"/>
      <c r="BT34" s="37">
        <f t="shared" si="213"/>
        <v>729</v>
      </c>
      <c r="BU34" s="60">
        <v>729</v>
      </c>
      <c r="BV34" s="61"/>
      <c r="BW34" s="36"/>
      <c r="BX34" s="37">
        <f>BY34-BZ34</f>
        <v>729</v>
      </c>
      <c r="BY34" s="60">
        <v>729</v>
      </c>
      <c r="BZ34" s="61"/>
      <c r="CA34" s="39"/>
      <c r="CB34" s="32" t="s">
        <v>36</v>
      </c>
      <c r="CC34" s="37">
        <f t="shared" si="215"/>
        <v>729</v>
      </c>
      <c r="CD34" s="60">
        <v>729</v>
      </c>
      <c r="CE34" s="61"/>
      <c r="CF34" s="36"/>
      <c r="CG34" s="37">
        <f t="shared" si="216"/>
        <v>729</v>
      </c>
      <c r="CH34" s="60">
        <v>729</v>
      </c>
      <c r="CI34" s="61"/>
      <c r="CJ34" s="36"/>
      <c r="CK34" s="37">
        <f>CL34-CM34</f>
        <v>749</v>
      </c>
      <c r="CL34" s="60">
        <v>749</v>
      </c>
      <c r="CM34" s="61"/>
      <c r="CN34" s="39"/>
      <c r="CO34" s="32" t="s">
        <v>36</v>
      </c>
      <c r="CP34" s="37">
        <f t="shared" si="218"/>
        <v>799</v>
      </c>
      <c r="CQ34" s="60">
        <v>799</v>
      </c>
      <c r="CR34" s="61"/>
      <c r="CS34" s="36"/>
      <c r="CT34" s="37">
        <f t="shared" si="219"/>
        <v>729</v>
      </c>
      <c r="CU34" s="60">
        <v>729</v>
      </c>
      <c r="CV34" s="61"/>
      <c r="CW34" s="36"/>
      <c r="CX34" s="37">
        <f>CY34-CZ34</f>
        <v>749</v>
      </c>
      <c r="CY34" s="60">
        <v>749</v>
      </c>
      <c r="CZ34" s="61"/>
      <c r="DA34" s="39"/>
      <c r="DB34" s="32" t="s">
        <v>36</v>
      </c>
      <c r="DC34" s="37">
        <f t="shared" si="221"/>
        <v>799</v>
      </c>
      <c r="DD34" s="60">
        <v>799</v>
      </c>
      <c r="DE34" s="61"/>
      <c r="DF34" s="36"/>
      <c r="DG34" s="37">
        <f t="shared" si="222"/>
        <v>729</v>
      </c>
      <c r="DH34" s="60">
        <v>729</v>
      </c>
      <c r="DI34" s="61"/>
      <c r="DJ34" s="36"/>
      <c r="DK34" s="37">
        <f>DL34-DM34</f>
        <v>749</v>
      </c>
      <c r="DL34" s="60">
        <v>749</v>
      </c>
      <c r="DM34" s="61"/>
      <c r="DN34" s="39"/>
      <c r="DO34" s="32" t="s">
        <v>36</v>
      </c>
      <c r="DP34" s="37">
        <f t="shared" si="224"/>
        <v>739</v>
      </c>
      <c r="DQ34" s="60">
        <v>739</v>
      </c>
      <c r="DR34" s="61"/>
      <c r="DS34" s="36"/>
      <c r="DT34" s="37">
        <f t="shared" si="225"/>
        <v>729</v>
      </c>
      <c r="DU34" s="60">
        <v>729</v>
      </c>
      <c r="DV34" s="61"/>
      <c r="DW34" s="36"/>
      <c r="DX34" s="37">
        <f>DY34-DZ34</f>
        <v>729</v>
      </c>
      <c r="DY34" s="60">
        <v>729</v>
      </c>
      <c r="DZ34" s="61"/>
      <c r="EA34" s="39"/>
      <c r="EB34" s="32" t="s">
        <v>36</v>
      </c>
      <c r="EC34" s="37">
        <f t="shared" si="227"/>
        <v>739</v>
      </c>
      <c r="ED34" s="60">
        <v>739</v>
      </c>
      <c r="EE34" s="61"/>
      <c r="EF34" s="36"/>
      <c r="EG34" s="37">
        <f t="shared" si="228"/>
        <v>729</v>
      </c>
      <c r="EH34" s="60">
        <v>729</v>
      </c>
      <c r="EI34" s="61"/>
      <c r="EJ34" s="36"/>
      <c r="EK34" s="37">
        <f>EL34-EM34</f>
        <v>729</v>
      </c>
      <c r="EL34" s="60">
        <v>729</v>
      </c>
      <c r="EM34" s="61"/>
      <c r="EN34" s="39"/>
    </row>
    <row r="35" spans="2:144" s="47" customFormat="1" outlineLevel="1" x14ac:dyDescent="0.3">
      <c r="B35" s="32"/>
      <c r="C35" s="37"/>
      <c r="D35" s="60"/>
      <c r="E35" s="61"/>
      <c r="F35" s="36"/>
      <c r="G35" s="37"/>
      <c r="H35" s="60"/>
      <c r="I35" s="61"/>
      <c r="J35" s="36"/>
      <c r="K35" s="37"/>
      <c r="L35" s="60"/>
      <c r="M35" s="61"/>
      <c r="N35" s="39"/>
      <c r="O35" s="32"/>
      <c r="P35" s="37"/>
      <c r="Q35" s="60"/>
      <c r="R35" s="61"/>
      <c r="S35" s="36"/>
      <c r="T35" s="37"/>
      <c r="U35" s="60"/>
      <c r="V35" s="61"/>
      <c r="W35" s="36"/>
      <c r="X35" s="37"/>
      <c r="Y35" s="60"/>
      <c r="Z35" s="61"/>
      <c r="AA35" s="39"/>
      <c r="AB35" s="32"/>
      <c r="AC35" s="37"/>
      <c r="AD35" s="60"/>
      <c r="AE35" s="61"/>
      <c r="AF35" s="36"/>
      <c r="AG35" s="37"/>
      <c r="AH35" s="60"/>
      <c r="AI35" s="61"/>
      <c r="AJ35" s="36"/>
      <c r="AK35" s="37"/>
      <c r="AL35" s="60"/>
      <c r="AM35" s="61"/>
      <c r="AN35" s="39"/>
      <c r="AO35" s="32"/>
      <c r="AP35" s="37"/>
      <c r="AQ35" s="60"/>
      <c r="AR35" s="61"/>
      <c r="AS35" s="36"/>
      <c r="AT35" s="37"/>
      <c r="AU35" s="60"/>
      <c r="AV35" s="61"/>
      <c r="AW35" s="36"/>
      <c r="AX35" s="37"/>
      <c r="AY35" s="60"/>
      <c r="AZ35" s="61"/>
      <c r="BA35" s="39"/>
      <c r="BB35" s="32"/>
      <c r="BC35" s="37"/>
      <c r="BD35" s="60"/>
      <c r="BE35" s="61"/>
      <c r="BF35" s="36"/>
      <c r="BG35" s="37"/>
      <c r="BH35" s="60"/>
      <c r="BI35" s="61"/>
      <c r="BJ35" s="36"/>
      <c r="BK35" s="37"/>
      <c r="BL35" s="60"/>
      <c r="BM35" s="61"/>
      <c r="BN35" s="39"/>
      <c r="BO35" s="32"/>
      <c r="BP35" s="37"/>
      <c r="BQ35" s="60"/>
      <c r="BR35" s="61"/>
      <c r="BS35" s="36"/>
      <c r="BT35" s="37"/>
      <c r="BU35" s="60"/>
      <c r="BV35" s="61"/>
      <c r="BW35" s="36"/>
      <c r="BX35" s="37"/>
      <c r="BY35" s="60"/>
      <c r="BZ35" s="61"/>
      <c r="CA35" s="39"/>
      <c r="CB35" s="32"/>
      <c r="CC35" s="37"/>
      <c r="CD35" s="60"/>
      <c r="CE35" s="61"/>
      <c r="CF35" s="36"/>
      <c r="CG35" s="37"/>
      <c r="CH35" s="60"/>
      <c r="CI35" s="61"/>
      <c r="CJ35" s="36"/>
      <c r="CK35" s="37"/>
      <c r="CL35" s="60"/>
      <c r="CM35" s="61"/>
      <c r="CN35" s="39"/>
      <c r="CO35" s="32"/>
      <c r="CP35" s="37"/>
      <c r="CQ35" s="60"/>
      <c r="CR35" s="61"/>
      <c r="CS35" s="36"/>
      <c r="CT35" s="37"/>
      <c r="CU35" s="60"/>
      <c r="CV35" s="61"/>
      <c r="CW35" s="36"/>
      <c r="CX35" s="37"/>
      <c r="CY35" s="60"/>
      <c r="CZ35" s="61"/>
      <c r="DA35" s="39"/>
      <c r="DB35" s="32"/>
      <c r="DC35" s="37"/>
      <c r="DD35" s="60"/>
      <c r="DE35" s="61"/>
      <c r="DF35" s="36"/>
      <c r="DG35" s="37"/>
      <c r="DH35" s="60"/>
      <c r="DI35" s="61"/>
      <c r="DJ35" s="36"/>
      <c r="DK35" s="37"/>
      <c r="DL35" s="60"/>
      <c r="DM35" s="61"/>
      <c r="DN35" s="39"/>
      <c r="DO35" s="32"/>
      <c r="DP35" s="37"/>
      <c r="DQ35" s="60"/>
      <c r="DR35" s="61"/>
      <c r="DS35" s="36"/>
      <c r="DT35" s="37"/>
      <c r="DU35" s="60"/>
      <c r="DV35" s="61"/>
      <c r="DW35" s="36"/>
      <c r="DX35" s="37"/>
      <c r="DY35" s="60"/>
      <c r="DZ35" s="61"/>
      <c r="EA35" s="39"/>
      <c r="EB35" s="32"/>
      <c r="EC35" s="37"/>
      <c r="ED35" s="60"/>
      <c r="EE35" s="61"/>
      <c r="EF35" s="36"/>
      <c r="EG35" s="37"/>
      <c r="EH35" s="60"/>
      <c r="EI35" s="61"/>
      <c r="EJ35" s="36"/>
      <c r="EK35" s="37"/>
      <c r="EL35" s="60"/>
      <c r="EM35" s="61"/>
      <c r="EN35" s="39"/>
    </row>
    <row r="36" spans="2:144" s="47" customFormat="1" outlineLevel="1" x14ac:dyDescent="0.3">
      <c r="B36" s="32" t="s">
        <v>30</v>
      </c>
      <c r="C36" s="37">
        <f t="shared" ref="C36:C39" si="230">D36-E36</f>
        <v>3336</v>
      </c>
      <c r="D36" s="60">
        <v>3336</v>
      </c>
      <c r="E36" s="61"/>
      <c r="F36" s="36"/>
      <c r="G36" s="37">
        <f t="shared" ref="G36:G39" si="231">H36-I36</f>
        <v>2699</v>
      </c>
      <c r="H36" s="60">
        <v>2699</v>
      </c>
      <c r="I36" s="61"/>
      <c r="J36" s="36"/>
      <c r="K36" s="37">
        <f t="shared" ref="K36:K39" si="232">L36-M36</f>
        <v>3456</v>
      </c>
      <c r="L36" s="60">
        <v>3456</v>
      </c>
      <c r="M36" s="61"/>
      <c r="N36" s="39"/>
      <c r="O36" s="32" t="s">
        <v>30</v>
      </c>
      <c r="P36" s="37">
        <f t="shared" ref="P36:P39" si="233">Q36-R36</f>
        <v>3336</v>
      </c>
      <c r="Q36" s="60">
        <v>3336</v>
      </c>
      <c r="R36" s="61"/>
      <c r="S36" s="36"/>
      <c r="T36" s="37">
        <f t="shared" ref="T36:T39" si="234">U36-V36</f>
        <v>0</v>
      </c>
      <c r="U36" s="60"/>
      <c r="V36" s="61"/>
      <c r="W36" s="36"/>
      <c r="X36" s="37">
        <f t="shared" ref="X36:X39" si="235">Y36-Z36</f>
        <v>2500</v>
      </c>
      <c r="Y36" s="60">
        <v>2500</v>
      </c>
      <c r="Z36" s="61"/>
      <c r="AA36" s="39"/>
      <c r="AB36" s="32" t="s">
        <v>30</v>
      </c>
      <c r="AC36" s="37">
        <f t="shared" ref="AC36:AC39" si="236">AD36-AE36</f>
        <v>3149</v>
      </c>
      <c r="AD36" s="60">
        <v>3149</v>
      </c>
      <c r="AE36" s="61"/>
      <c r="AF36" s="36"/>
      <c r="AG36" s="37">
        <f t="shared" ref="AG36:AG39" si="237">AH36-AI36</f>
        <v>2049</v>
      </c>
      <c r="AH36" s="60">
        <v>2049</v>
      </c>
      <c r="AI36" s="61"/>
      <c r="AJ36" s="36"/>
      <c r="AK36" s="37">
        <f t="shared" ref="AK36:AK39" si="238">AL36-AM36</f>
        <v>0</v>
      </c>
      <c r="AL36" s="60"/>
      <c r="AM36" s="61"/>
      <c r="AN36" s="39"/>
      <c r="AO36" s="32" t="s">
        <v>30</v>
      </c>
      <c r="AP36" s="37">
        <f t="shared" ref="AP36:AP39" si="239">AQ36-AR36</f>
        <v>3149</v>
      </c>
      <c r="AQ36" s="60">
        <v>3149</v>
      </c>
      <c r="AR36" s="61"/>
      <c r="AS36" s="36"/>
      <c r="AT36" s="37">
        <f t="shared" ref="AT36:AT39" si="240">AU36-AV36</f>
        <v>1899</v>
      </c>
      <c r="AU36" s="60">
        <v>1899</v>
      </c>
      <c r="AV36" s="61"/>
      <c r="AW36" s="36"/>
      <c r="AX36" s="37">
        <f t="shared" ref="AX36:AX39" si="241">AY36-AZ36</f>
        <v>1898</v>
      </c>
      <c r="AY36" s="60">
        <v>1898</v>
      </c>
      <c r="AZ36" s="61"/>
      <c r="BA36" s="39"/>
      <c r="BB36" s="32" t="s">
        <v>30</v>
      </c>
      <c r="BC36" s="37">
        <f t="shared" ref="BC36:BC39" si="242">BD36-BE36</f>
        <v>3149</v>
      </c>
      <c r="BD36" s="60">
        <v>3149</v>
      </c>
      <c r="BE36" s="61"/>
      <c r="BF36" s="36"/>
      <c r="BG36" s="37">
        <f t="shared" ref="BG36:BG39" si="243">BH36-BI36</f>
        <v>2399</v>
      </c>
      <c r="BH36" s="60">
        <v>2399</v>
      </c>
      <c r="BI36" s="61"/>
      <c r="BJ36" s="36"/>
      <c r="BK36" s="37">
        <f t="shared" ref="BK36:BK39" si="244">BL36-BM36</f>
        <v>1899</v>
      </c>
      <c r="BL36" s="60">
        <v>1899</v>
      </c>
      <c r="BM36" s="61"/>
      <c r="BN36" s="39"/>
      <c r="BO36" s="32" t="s">
        <v>30</v>
      </c>
      <c r="BP36" s="37">
        <f t="shared" ref="BP36:BP39" si="245">BQ36-BR36</f>
        <v>3149</v>
      </c>
      <c r="BQ36" s="60">
        <v>3149</v>
      </c>
      <c r="BR36" s="61"/>
      <c r="BS36" s="36"/>
      <c r="BT36" s="37">
        <f t="shared" ref="BT36:BT39" si="246">BU36-BV36</f>
        <v>1999</v>
      </c>
      <c r="BU36" s="60">
        <v>1999</v>
      </c>
      <c r="BV36" s="61"/>
      <c r="BW36" s="36"/>
      <c r="BX36" s="37">
        <f t="shared" ref="BX36:BX39" si="247">BY36-BZ36</f>
        <v>4101</v>
      </c>
      <c r="BY36" s="60">
        <v>4101</v>
      </c>
      <c r="BZ36" s="61"/>
      <c r="CA36" s="39"/>
      <c r="CB36" s="32" t="s">
        <v>30</v>
      </c>
      <c r="CC36" s="37">
        <f t="shared" ref="CC36:CC39" si="248">CD36-CE36</f>
        <v>3149</v>
      </c>
      <c r="CD36" s="60">
        <v>3149</v>
      </c>
      <c r="CE36" s="61"/>
      <c r="CF36" s="36"/>
      <c r="CG36" s="37">
        <f t="shared" ref="CG36:CG39" si="249">CH36-CI36</f>
        <v>1999</v>
      </c>
      <c r="CH36" s="60">
        <v>1999</v>
      </c>
      <c r="CI36" s="61"/>
      <c r="CJ36" s="36"/>
      <c r="CK36" s="37">
        <f t="shared" ref="CK36:CK39" si="250">CL36-CM36</f>
        <v>0</v>
      </c>
      <c r="CL36" s="60"/>
      <c r="CM36" s="61"/>
      <c r="CN36" s="39"/>
      <c r="CO36" s="32" t="s">
        <v>30</v>
      </c>
      <c r="CP36" s="37">
        <f t="shared" ref="CP36:CP39" si="251">CQ36-CR36</f>
        <v>3149</v>
      </c>
      <c r="CQ36" s="60">
        <v>3149</v>
      </c>
      <c r="CR36" s="61"/>
      <c r="CS36" s="36"/>
      <c r="CT36" s="37">
        <f t="shared" ref="CT36:CT39" si="252">CU36-CV36</f>
        <v>1999</v>
      </c>
      <c r="CU36" s="60">
        <v>1999</v>
      </c>
      <c r="CV36" s="61"/>
      <c r="CW36" s="36"/>
      <c r="CX36" s="37">
        <f t="shared" ref="CX36:CX39" si="253">CY36-CZ36</f>
        <v>1799</v>
      </c>
      <c r="CY36" s="60">
        <v>1799</v>
      </c>
      <c r="CZ36" s="61"/>
      <c r="DA36" s="39"/>
      <c r="DB36" s="32" t="s">
        <v>30</v>
      </c>
      <c r="DC36" s="37">
        <f t="shared" ref="DC36:DC39" si="254">DD36-DE36</f>
        <v>0</v>
      </c>
      <c r="DD36" s="60"/>
      <c r="DE36" s="61"/>
      <c r="DF36" s="36"/>
      <c r="DG36" s="37">
        <f t="shared" ref="DG36:DG39" si="255">DH36-DI36</f>
        <v>1999</v>
      </c>
      <c r="DH36" s="60">
        <v>1999</v>
      </c>
      <c r="DI36" s="61"/>
      <c r="DJ36" s="36"/>
      <c r="DK36" s="37">
        <f t="shared" ref="DK36:DK39" si="256">DL36-DM36</f>
        <v>0</v>
      </c>
      <c r="DL36" s="60"/>
      <c r="DM36" s="61"/>
      <c r="DN36" s="39"/>
      <c r="DO36" s="32" t="s">
        <v>30</v>
      </c>
      <c r="DP36" s="37">
        <f t="shared" ref="DP36:DP39" si="257">DQ36-DR36</f>
        <v>3149</v>
      </c>
      <c r="DQ36" s="60">
        <v>3149</v>
      </c>
      <c r="DR36" s="61"/>
      <c r="DS36" s="36"/>
      <c r="DT36" s="37">
        <f t="shared" ref="DT36:DT39" si="258">DU36-DV36</f>
        <v>1999</v>
      </c>
      <c r="DU36" s="60">
        <v>1999</v>
      </c>
      <c r="DV36" s="61"/>
      <c r="DW36" s="36"/>
      <c r="DX36" s="37">
        <f t="shared" ref="DX36:DX39" si="259">DY36-DZ36</f>
        <v>0</v>
      </c>
      <c r="DY36" s="60"/>
      <c r="DZ36" s="61"/>
      <c r="EA36" s="39"/>
      <c r="EB36" s="32" t="s">
        <v>30</v>
      </c>
      <c r="EC36" s="37">
        <f t="shared" ref="EC36:EC39" si="260">ED36-EE36</f>
        <v>3149</v>
      </c>
      <c r="ED36" s="60">
        <v>3149</v>
      </c>
      <c r="EE36" s="61"/>
      <c r="EF36" s="36"/>
      <c r="EG36" s="37">
        <f t="shared" ref="EG36:EG39" si="261">EH36-EI36</f>
        <v>1999</v>
      </c>
      <c r="EH36" s="60">
        <v>1999</v>
      </c>
      <c r="EI36" s="61"/>
      <c r="EJ36" s="36"/>
      <c r="EK36" s="37">
        <f t="shared" ref="EK36:EK39" si="262">EL36-EM36</f>
        <v>0</v>
      </c>
      <c r="EL36" s="60"/>
      <c r="EM36" s="61"/>
      <c r="EN36" s="39"/>
    </row>
    <row r="37" spans="2:144" s="47" customFormat="1" outlineLevel="1" x14ac:dyDescent="0.3">
      <c r="B37" s="32" t="s">
        <v>5</v>
      </c>
      <c r="C37" s="37">
        <f t="shared" si="230"/>
        <v>2298</v>
      </c>
      <c r="D37" s="60">
        <v>2298</v>
      </c>
      <c r="E37" s="61"/>
      <c r="F37" s="36"/>
      <c r="G37" s="37">
        <f t="shared" si="231"/>
        <v>1699</v>
      </c>
      <c r="H37" s="60">
        <v>1699</v>
      </c>
      <c r="I37" s="61"/>
      <c r="J37" s="36"/>
      <c r="K37" s="37">
        <f t="shared" si="232"/>
        <v>1835</v>
      </c>
      <c r="L37" s="60">
        <v>1835</v>
      </c>
      <c r="M37" s="61"/>
      <c r="N37" s="39"/>
      <c r="O37" s="32" t="s">
        <v>5</v>
      </c>
      <c r="P37" s="37">
        <f t="shared" si="233"/>
        <v>2519</v>
      </c>
      <c r="Q37" s="60">
        <v>2519</v>
      </c>
      <c r="R37" s="61"/>
      <c r="S37" s="36"/>
      <c r="T37" s="37">
        <f t="shared" si="234"/>
        <v>0</v>
      </c>
      <c r="U37" s="60"/>
      <c r="V37" s="61"/>
      <c r="W37" s="36"/>
      <c r="X37" s="37">
        <f t="shared" si="235"/>
        <v>2626</v>
      </c>
      <c r="Y37" s="60">
        <v>2626</v>
      </c>
      <c r="Z37" s="61"/>
      <c r="AA37" s="39"/>
      <c r="AB37" s="32" t="s">
        <v>5</v>
      </c>
      <c r="AC37" s="37">
        <f t="shared" si="236"/>
        <v>2298</v>
      </c>
      <c r="AD37" s="60">
        <v>2298</v>
      </c>
      <c r="AE37" s="61"/>
      <c r="AF37" s="36"/>
      <c r="AG37" s="37">
        <f t="shared" si="237"/>
        <v>0</v>
      </c>
      <c r="AH37" s="60"/>
      <c r="AI37" s="61"/>
      <c r="AJ37" s="36"/>
      <c r="AK37" s="37">
        <f t="shared" si="238"/>
        <v>0</v>
      </c>
      <c r="AL37" s="60"/>
      <c r="AM37" s="61"/>
      <c r="AN37" s="39"/>
      <c r="AO37" s="32" t="s">
        <v>5</v>
      </c>
      <c r="AP37" s="37">
        <f t="shared" si="239"/>
        <v>2298</v>
      </c>
      <c r="AQ37" s="60">
        <v>2298</v>
      </c>
      <c r="AR37" s="61"/>
      <c r="AS37" s="36"/>
      <c r="AT37" s="37">
        <f t="shared" si="240"/>
        <v>0</v>
      </c>
      <c r="AU37" s="60"/>
      <c r="AV37" s="61"/>
      <c r="AW37" s="36"/>
      <c r="AX37" s="37">
        <f t="shared" si="241"/>
        <v>1549</v>
      </c>
      <c r="AY37" s="60">
        <v>1549</v>
      </c>
      <c r="AZ37" s="61"/>
      <c r="BA37" s="39"/>
      <c r="BB37" s="32" t="s">
        <v>5</v>
      </c>
      <c r="BC37" s="37">
        <f t="shared" si="242"/>
        <v>3809</v>
      </c>
      <c r="BD37" s="60">
        <v>3809</v>
      </c>
      <c r="BE37" s="61"/>
      <c r="BF37" s="36"/>
      <c r="BG37" s="37">
        <f t="shared" si="243"/>
        <v>0</v>
      </c>
      <c r="BH37" s="60"/>
      <c r="BI37" s="61"/>
      <c r="BJ37" s="36"/>
      <c r="BK37" s="37">
        <f t="shared" si="244"/>
        <v>1549</v>
      </c>
      <c r="BL37" s="60">
        <v>1549</v>
      </c>
      <c r="BM37" s="61"/>
      <c r="BN37" s="39"/>
      <c r="BO37" s="32" t="s">
        <v>5</v>
      </c>
      <c r="BP37" s="37">
        <f t="shared" si="245"/>
        <v>3809</v>
      </c>
      <c r="BQ37" s="60">
        <v>3809</v>
      </c>
      <c r="BR37" s="61"/>
      <c r="BS37" s="36"/>
      <c r="BT37" s="37">
        <f t="shared" si="246"/>
        <v>0</v>
      </c>
      <c r="BU37" s="60"/>
      <c r="BV37" s="61"/>
      <c r="BW37" s="36"/>
      <c r="BX37" s="37">
        <f t="shared" si="247"/>
        <v>2262</v>
      </c>
      <c r="BY37" s="60">
        <v>2262</v>
      </c>
      <c r="BZ37" s="61"/>
      <c r="CA37" s="39"/>
      <c r="CB37" s="32" t="s">
        <v>5</v>
      </c>
      <c r="CC37" s="37">
        <f t="shared" si="248"/>
        <v>3809</v>
      </c>
      <c r="CD37" s="60">
        <v>3809</v>
      </c>
      <c r="CE37" s="61"/>
      <c r="CF37" s="36"/>
      <c r="CG37" s="37">
        <f t="shared" si="249"/>
        <v>0</v>
      </c>
      <c r="CH37" s="60"/>
      <c r="CI37" s="61"/>
      <c r="CJ37" s="36"/>
      <c r="CK37" s="37">
        <f t="shared" si="250"/>
        <v>2262</v>
      </c>
      <c r="CL37" s="60">
        <v>2262</v>
      </c>
      <c r="CM37" s="61"/>
      <c r="CN37" s="39"/>
      <c r="CO37" s="32" t="s">
        <v>5</v>
      </c>
      <c r="CP37" s="37">
        <f t="shared" si="251"/>
        <v>3809</v>
      </c>
      <c r="CQ37" s="60">
        <v>3809</v>
      </c>
      <c r="CR37" s="61"/>
      <c r="CS37" s="36"/>
      <c r="CT37" s="37">
        <f t="shared" si="252"/>
        <v>0</v>
      </c>
      <c r="CU37" s="60"/>
      <c r="CV37" s="61"/>
      <c r="CW37" s="36"/>
      <c r="CX37" s="37">
        <f t="shared" si="253"/>
        <v>2262</v>
      </c>
      <c r="CY37" s="60">
        <v>2262</v>
      </c>
      <c r="CZ37" s="61"/>
      <c r="DA37" s="39"/>
      <c r="DB37" s="32" t="s">
        <v>5</v>
      </c>
      <c r="DC37" s="37">
        <f t="shared" si="254"/>
        <v>0</v>
      </c>
      <c r="DD37" s="60"/>
      <c r="DE37" s="61"/>
      <c r="DF37" s="36"/>
      <c r="DG37" s="37">
        <f t="shared" si="255"/>
        <v>0</v>
      </c>
      <c r="DH37" s="60"/>
      <c r="DI37" s="61"/>
      <c r="DJ37" s="36"/>
      <c r="DK37" s="37">
        <f t="shared" si="256"/>
        <v>2267</v>
      </c>
      <c r="DL37" s="60">
        <v>2267</v>
      </c>
      <c r="DM37" s="61"/>
      <c r="DN37" s="39"/>
      <c r="DO37" s="32" t="s">
        <v>5</v>
      </c>
      <c r="DP37" s="37">
        <f t="shared" si="257"/>
        <v>3809</v>
      </c>
      <c r="DQ37" s="60">
        <v>3809</v>
      </c>
      <c r="DR37" s="61"/>
      <c r="DS37" s="36"/>
      <c r="DT37" s="37">
        <f t="shared" si="258"/>
        <v>0</v>
      </c>
      <c r="DU37" s="60"/>
      <c r="DV37" s="61"/>
      <c r="DW37" s="36"/>
      <c r="DX37" s="37">
        <f t="shared" si="259"/>
        <v>2267</v>
      </c>
      <c r="DY37" s="60">
        <v>2267</v>
      </c>
      <c r="DZ37" s="61"/>
      <c r="EA37" s="39"/>
      <c r="EB37" s="32" t="s">
        <v>5</v>
      </c>
      <c r="EC37" s="37">
        <f t="shared" si="260"/>
        <v>3809</v>
      </c>
      <c r="ED37" s="60">
        <v>3809</v>
      </c>
      <c r="EE37" s="61"/>
      <c r="EF37" s="36"/>
      <c r="EG37" s="37">
        <f t="shared" si="261"/>
        <v>0</v>
      </c>
      <c r="EH37" s="60"/>
      <c r="EI37" s="61"/>
      <c r="EJ37" s="36"/>
      <c r="EK37" s="37">
        <f t="shared" si="262"/>
        <v>2267</v>
      </c>
      <c r="EL37" s="60">
        <v>2267</v>
      </c>
      <c r="EM37" s="61"/>
      <c r="EN37" s="39"/>
    </row>
    <row r="38" spans="2:144" s="47" customFormat="1" outlineLevel="1" x14ac:dyDescent="0.3">
      <c r="B38" s="32" t="s">
        <v>31</v>
      </c>
      <c r="C38" s="37">
        <f t="shared" si="230"/>
        <v>1729</v>
      </c>
      <c r="D38" s="60">
        <v>1729</v>
      </c>
      <c r="E38" s="61"/>
      <c r="F38" s="36"/>
      <c r="G38" s="37">
        <f t="shared" si="231"/>
        <v>1299</v>
      </c>
      <c r="H38" s="60">
        <v>1299</v>
      </c>
      <c r="I38" s="61"/>
      <c r="J38" s="36"/>
      <c r="K38" s="37">
        <f t="shared" si="232"/>
        <v>1299</v>
      </c>
      <c r="L38" s="60">
        <v>1299</v>
      </c>
      <c r="M38" s="61"/>
      <c r="N38" s="39"/>
      <c r="O38" s="32" t="s">
        <v>31</v>
      </c>
      <c r="P38" s="37">
        <f t="shared" si="233"/>
        <v>1729</v>
      </c>
      <c r="Q38" s="60">
        <v>1729</v>
      </c>
      <c r="R38" s="61"/>
      <c r="S38" s="36"/>
      <c r="T38" s="37">
        <f t="shared" si="234"/>
        <v>0</v>
      </c>
      <c r="U38" s="60"/>
      <c r="V38" s="61"/>
      <c r="W38" s="36"/>
      <c r="X38" s="37">
        <f t="shared" si="235"/>
        <v>1299</v>
      </c>
      <c r="Y38" s="60">
        <v>1299</v>
      </c>
      <c r="Z38" s="61"/>
      <c r="AA38" s="39"/>
      <c r="AB38" s="32" t="s">
        <v>31</v>
      </c>
      <c r="AC38" s="37">
        <f t="shared" si="236"/>
        <v>1729</v>
      </c>
      <c r="AD38" s="60">
        <v>1729</v>
      </c>
      <c r="AE38" s="61"/>
      <c r="AF38" s="36"/>
      <c r="AG38" s="37">
        <f t="shared" si="237"/>
        <v>0</v>
      </c>
      <c r="AH38" s="60"/>
      <c r="AI38" s="61"/>
      <c r="AJ38" s="36"/>
      <c r="AK38" s="37">
        <f t="shared" si="238"/>
        <v>1299</v>
      </c>
      <c r="AL38" s="60">
        <v>1299</v>
      </c>
      <c r="AM38" s="61"/>
      <c r="AN38" s="39"/>
      <c r="AO38" s="32" t="s">
        <v>31</v>
      </c>
      <c r="AP38" s="37">
        <f t="shared" si="239"/>
        <v>1729</v>
      </c>
      <c r="AQ38" s="60">
        <v>1729</v>
      </c>
      <c r="AR38" s="61"/>
      <c r="AS38" s="36"/>
      <c r="AT38" s="37">
        <f t="shared" si="240"/>
        <v>0</v>
      </c>
      <c r="AU38" s="60"/>
      <c r="AV38" s="61"/>
      <c r="AW38" s="36"/>
      <c r="AX38" s="37">
        <f t="shared" si="241"/>
        <v>1249</v>
      </c>
      <c r="AY38" s="60">
        <v>1249</v>
      </c>
      <c r="AZ38" s="61"/>
      <c r="BA38" s="39"/>
      <c r="BB38" s="32" t="s">
        <v>31</v>
      </c>
      <c r="BC38" s="37">
        <f t="shared" si="242"/>
        <v>1729</v>
      </c>
      <c r="BD38" s="60">
        <v>1729</v>
      </c>
      <c r="BE38" s="61"/>
      <c r="BF38" s="36"/>
      <c r="BG38" s="37">
        <f t="shared" si="243"/>
        <v>0</v>
      </c>
      <c r="BH38" s="60"/>
      <c r="BI38" s="61"/>
      <c r="BJ38" s="36"/>
      <c r="BK38" s="37">
        <f t="shared" si="244"/>
        <v>1299</v>
      </c>
      <c r="BL38" s="60">
        <v>1299</v>
      </c>
      <c r="BM38" s="61"/>
      <c r="BN38" s="39"/>
      <c r="BO38" s="32" t="s">
        <v>31</v>
      </c>
      <c r="BP38" s="37">
        <f t="shared" si="245"/>
        <v>1749</v>
      </c>
      <c r="BQ38" s="60">
        <v>1749</v>
      </c>
      <c r="BR38" s="61"/>
      <c r="BS38" s="36"/>
      <c r="BT38" s="37">
        <f t="shared" si="246"/>
        <v>0</v>
      </c>
      <c r="BU38" s="60"/>
      <c r="BV38" s="61"/>
      <c r="BW38" s="36"/>
      <c r="BX38" s="37">
        <f t="shared" si="247"/>
        <v>1249</v>
      </c>
      <c r="BY38" s="60">
        <v>1249</v>
      </c>
      <c r="BZ38" s="61"/>
      <c r="CA38" s="39"/>
      <c r="CB38" s="32" t="s">
        <v>31</v>
      </c>
      <c r="CC38" s="37">
        <f t="shared" si="248"/>
        <v>1749</v>
      </c>
      <c r="CD38" s="60">
        <v>1749</v>
      </c>
      <c r="CE38" s="61"/>
      <c r="CF38" s="36"/>
      <c r="CG38" s="37">
        <f t="shared" si="249"/>
        <v>0</v>
      </c>
      <c r="CH38" s="60"/>
      <c r="CI38" s="61"/>
      <c r="CJ38" s="36"/>
      <c r="CK38" s="37">
        <f t="shared" si="250"/>
        <v>1249</v>
      </c>
      <c r="CL38" s="60">
        <v>1249</v>
      </c>
      <c r="CM38" s="61"/>
      <c r="CN38" s="39"/>
      <c r="CO38" s="32" t="s">
        <v>31</v>
      </c>
      <c r="CP38" s="37">
        <f t="shared" si="251"/>
        <v>1749</v>
      </c>
      <c r="CQ38" s="60">
        <v>1749</v>
      </c>
      <c r="CR38" s="61"/>
      <c r="CS38" s="36"/>
      <c r="CT38" s="37">
        <f t="shared" si="252"/>
        <v>0</v>
      </c>
      <c r="CU38" s="60"/>
      <c r="CV38" s="61"/>
      <c r="CW38" s="36"/>
      <c r="CX38" s="37">
        <f t="shared" si="253"/>
        <v>1331</v>
      </c>
      <c r="CY38" s="60">
        <v>1331</v>
      </c>
      <c r="CZ38" s="61"/>
      <c r="DA38" s="39"/>
      <c r="DB38" s="32" t="s">
        <v>31</v>
      </c>
      <c r="DC38" s="37">
        <f t="shared" si="254"/>
        <v>0</v>
      </c>
      <c r="DD38" s="60"/>
      <c r="DE38" s="61"/>
      <c r="DF38" s="36"/>
      <c r="DG38" s="37">
        <f t="shared" si="255"/>
        <v>0</v>
      </c>
      <c r="DH38" s="60"/>
      <c r="DI38" s="61"/>
      <c r="DJ38" s="36"/>
      <c r="DK38" s="37">
        <f t="shared" si="256"/>
        <v>1331</v>
      </c>
      <c r="DL38" s="60">
        <v>1331</v>
      </c>
      <c r="DM38" s="61"/>
      <c r="DN38" s="39"/>
      <c r="DO38" s="32" t="s">
        <v>31</v>
      </c>
      <c r="DP38" s="37">
        <f t="shared" si="257"/>
        <v>1749</v>
      </c>
      <c r="DQ38" s="60">
        <v>1749</v>
      </c>
      <c r="DR38" s="61"/>
      <c r="DS38" s="36"/>
      <c r="DT38" s="37">
        <f t="shared" si="258"/>
        <v>0</v>
      </c>
      <c r="DU38" s="60"/>
      <c r="DV38" s="61"/>
      <c r="DW38" s="36"/>
      <c r="DX38" s="37">
        <f t="shared" si="259"/>
        <v>1249</v>
      </c>
      <c r="DY38" s="60">
        <v>1249</v>
      </c>
      <c r="DZ38" s="61"/>
      <c r="EA38" s="39"/>
      <c r="EB38" s="32" t="s">
        <v>31</v>
      </c>
      <c r="EC38" s="37">
        <f t="shared" si="260"/>
        <v>1749</v>
      </c>
      <c r="ED38" s="60">
        <v>1749</v>
      </c>
      <c r="EE38" s="61"/>
      <c r="EF38" s="36"/>
      <c r="EG38" s="37">
        <f t="shared" si="261"/>
        <v>0</v>
      </c>
      <c r="EH38" s="60"/>
      <c r="EI38" s="61"/>
      <c r="EJ38" s="36"/>
      <c r="EK38" s="37">
        <f t="shared" si="262"/>
        <v>1249</v>
      </c>
      <c r="EL38" s="60">
        <v>1249</v>
      </c>
      <c r="EM38" s="61"/>
      <c r="EN38" s="39"/>
    </row>
    <row r="39" spans="2:144" s="47" customFormat="1" outlineLevel="1" x14ac:dyDescent="0.3">
      <c r="B39" s="32" t="s">
        <v>32</v>
      </c>
      <c r="C39" s="37">
        <f t="shared" si="230"/>
        <v>1350</v>
      </c>
      <c r="D39" s="60">
        <v>1350</v>
      </c>
      <c r="E39" s="61"/>
      <c r="F39" s="41"/>
      <c r="G39" s="37">
        <f t="shared" si="231"/>
        <v>999</v>
      </c>
      <c r="H39" s="60">
        <v>999</v>
      </c>
      <c r="I39" s="61"/>
      <c r="J39" s="36"/>
      <c r="K39" s="37">
        <f t="shared" si="232"/>
        <v>975</v>
      </c>
      <c r="L39" s="60">
        <v>975</v>
      </c>
      <c r="M39" s="61"/>
      <c r="N39" s="39"/>
      <c r="O39" s="32" t="s">
        <v>32</v>
      </c>
      <c r="P39" s="37">
        <f t="shared" si="233"/>
        <v>899</v>
      </c>
      <c r="Q39" s="60">
        <v>899</v>
      </c>
      <c r="R39" s="61"/>
      <c r="S39" s="41"/>
      <c r="T39" s="37">
        <f t="shared" si="234"/>
        <v>899</v>
      </c>
      <c r="U39" s="60">
        <v>899</v>
      </c>
      <c r="V39" s="61"/>
      <c r="W39" s="36"/>
      <c r="X39" s="37">
        <f t="shared" si="235"/>
        <v>1081</v>
      </c>
      <c r="Y39" s="60">
        <v>1081</v>
      </c>
      <c r="Z39" s="61"/>
      <c r="AA39" s="39"/>
      <c r="AB39" s="32" t="s">
        <v>32</v>
      </c>
      <c r="AC39" s="37">
        <f t="shared" si="236"/>
        <v>1270</v>
      </c>
      <c r="AD39" s="60">
        <v>1270</v>
      </c>
      <c r="AE39" s="61"/>
      <c r="AF39" s="41"/>
      <c r="AG39" s="37">
        <f t="shared" si="237"/>
        <v>899</v>
      </c>
      <c r="AH39" s="60">
        <v>899</v>
      </c>
      <c r="AI39" s="61"/>
      <c r="AJ39" s="36"/>
      <c r="AK39" s="37">
        <f t="shared" si="238"/>
        <v>859</v>
      </c>
      <c r="AL39" s="60">
        <v>859</v>
      </c>
      <c r="AM39" s="61"/>
      <c r="AN39" s="39"/>
      <c r="AO39" s="32" t="s">
        <v>32</v>
      </c>
      <c r="AP39" s="37">
        <f t="shared" si="239"/>
        <v>1270</v>
      </c>
      <c r="AQ39" s="60">
        <v>1270</v>
      </c>
      <c r="AR39" s="61"/>
      <c r="AS39" s="41"/>
      <c r="AT39" s="37">
        <f t="shared" si="240"/>
        <v>899</v>
      </c>
      <c r="AU39" s="60">
        <v>899</v>
      </c>
      <c r="AV39" s="61"/>
      <c r="AW39" s="36"/>
      <c r="AX39" s="37">
        <f t="shared" si="241"/>
        <v>949</v>
      </c>
      <c r="AY39" s="60">
        <v>949</v>
      </c>
      <c r="AZ39" s="61"/>
      <c r="BA39" s="39"/>
      <c r="BB39" s="32" t="s">
        <v>32</v>
      </c>
      <c r="BC39" s="37">
        <f t="shared" si="242"/>
        <v>1270</v>
      </c>
      <c r="BD39" s="60">
        <v>1270</v>
      </c>
      <c r="BE39" s="61"/>
      <c r="BF39" s="41"/>
      <c r="BG39" s="37">
        <f t="shared" si="243"/>
        <v>1049</v>
      </c>
      <c r="BH39" s="60">
        <v>1049</v>
      </c>
      <c r="BI39" s="61"/>
      <c r="BJ39" s="36"/>
      <c r="BK39" s="37">
        <f t="shared" si="244"/>
        <v>949</v>
      </c>
      <c r="BL39" s="60">
        <v>949</v>
      </c>
      <c r="BM39" s="61"/>
      <c r="BN39" s="39"/>
      <c r="BO39" s="32" t="s">
        <v>32</v>
      </c>
      <c r="BP39" s="37">
        <f t="shared" si="245"/>
        <v>1294</v>
      </c>
      <c r="BQ39" s="60">
        <v>1294</v>
      </c>
      <c r="BR39" s="61"/>
      <c r="BS39" s="41"/>
      <c r="BT39" s="37">
        <f t="shared" si="246"/>
        <v>1049</v>
      </c>
      <c r="BU39" s="60">
        <v>1049</v>
      </c>
      <c r="BV39" s="61"/>
      <c r="BW39" s="36"/>
      <c r="BX39" s="37">
        <f t="shared" si="247"/>
        <v>949</v>
      </c>
      <c r="BY39" s="60">
        <v>949</v>
      </c>
      <c r="BZ39" s="61"/>
      <c r="CA39" s="39"/>
      <c r="CB39" s="32" t="s">
        <v>32</v>
      </c>
      <c r="CC39" s="37">
        <f t="shared" si="248"/>
        <v>1309</v>
      </c>
      <c r="CD39" s="60">
        <v>1309</v>
      </c>
      <c r="CE39" s="61"/>
      <c r="CF39" s="41"/>
      <c r="CG39" s="37">
        <f t="shared" si="249"/>
        <v>1049</v>
      </c>
      <c r="CH39" s="60">
        <v>1049</v>
      </c>
      <c r="CI39" s="61"/>
      <c r="CJ39" s="36"/>
      <c r="CK39" s="37">
        <f t="shared" si="250"/>
        <v>0</v>
      </c>
      <c r="CL39" s="60"/>
      <c r="CM39" s="61"/>
      <c r="CN39" s="39"/>
      <c r="CO39" s="32" t="s">
        <v>32</v>
      </c>
      <c r="CP39" s="37">
        <f t="shared" si="251"/>
        <v>1899</v>
      </c>
      <c r="CQ39" s="60">
        <v>1899</v>
      </c>
      <c r="CR39" s="61"/>
      <c r="CS39" s="41"/>
      <c r="CT39" s="37">
        <f t="shared" si="252"/>
        <v>1049</v>
      </c>
      <c r="CU39" s="60">
        <v>1049</v>
      </c>
      <c r="CV39" s="61"/>
      <c r="CW39" s="36"/>
      <c r="CX39" s="37">
        <f t="shared" si="253"/>
        <v>1192</v>
      </c>
      <c r="CY39" s="60">
        <v>1192</v>
      </c>
      <c r="CZ39" s="61"/>
      <c r="DA39" s="39"/>
      <c r="DB39" s="32" t="s">
        <v>32</v>
      </c>
      <c r="DC39" s="37">
        <f t="shared" si="254"/>
        <v>0</v>
      </c>
      <c r="DD39" s="60"/>
      <c r="DE39" s="61"/>
      <c r="DF39" s="41"/>
      <c r="DG39" s="37">
        <f t="shared" si="255"/>
        <v>1049</v>
      </c>
      <c r="DH39" s="60">
        <v>1049</v>
      </c>
      <c r="DI39" s="61"/>
      <c r="DJ39" s="36"/>
      <c r="DK39" s="37">
        <f t="shared" si="256"/>
        <v>1192</v>
      </c>
      <c r="DL39" s="60">
        <v>1192</v>
      </c>
      <c r="DM39" s="61"/>
      <c r="DN39" s="39"/>
      <c r="DO39" s="32" t="s">
        <v>32</v>
      </c>
      <c r="DP39" s="37">
        <f t="shared" si="257"/>
        <v>1899</v>
      </c>
      <c r="DQ39" s="60">
        <v>1899</v>
      </c>
      <c r="DR39" s="61"/>
      <c r="DS39" s="41"/>
      <c r="DT39" s="37">
        <f t="shared" si="258"/>
        <v>1049</v>
      </c>
      <c r="DU39" s="60">
        <v>1049</v>
      </c>
      <c r="DV39" s="61"/>
      <c r="DW39" s="36"/>
      <c r="DX39" s="37">
        <f t="shared" si="259"/>
        <v>1074</v>
      </c>
      <c r="DY39" s="60">
        <v>1074</v>
      </c>
      <c r="DZ39" s="61"/>
      <c r="EA39" s="39"/>
      <c r="EB39" s="32" t="s">
        <v>32</v>
      </c>
      <c r="EC39" s="37">
        <f t="shared" si="260"/>
        <v>1899</v>
      </c>
      <c r="ED39" s="60">
        <v>1899</v>
      </c>
      <c r="EE39" s="61"/>
      <c r="EF39" s="41"/>
      <c r="EG39" s="37">
        <f t="shared" si="261"/>
        <v>1049</v>
      </c>
      <c r="EH39" s="60">
        <v>1049</v>
      </c>
      <c r="EI39" s="61"/>
      <c r="EJ39" s="36"/>
      <c r="EK39" s="37">
        <f t="shared" si="262"/>
        <v>1074</v>
      </c>
      <c r="EL39" s="60">
        <v>1074</v>
      </c>
      <c r="EM39" s="61"/>
      <c r="EN39" s="39"/>
    </row>
    <row r="40" spans="2:144" s="47" customFormat="1" outlineLevel="1" x14ac:dyDescent="0.3">
      <c r="B40" s="32"/>
      <c r="C40" s="50"/>
      <c r="D40" s="62"/>
      <c r="E40" s="63"/>
      <c r="F40" s="41"/>
      <c r="G40" s="48"/>
      <c r="H40" s="69"/>
      <c r="I40" s="70"/>
      <c r="J40" s="49"/>
      <c r="K40" s="48"/>
      <c r="L40" s="69"/>
      <c r="M40" s="70"/>
      <c r="N40" s="51"/>
      <c r="O40" s="32"/>
      <c r="P40" s="50"/>
      <c r="Q40" s="62"/>
      <c r="R40" s="63"/>
      <c r="S40" s="41"/>
      <c r="T40" s="48"/>
      <c r="U40" s="69"/>
      <c r="V40" s="70"/>
      <c r="W40" s="49"/>
      <c r="X40" s="48"/>
      <c r="Y40" s="69"/>
      <c r="Z40" s="70"/>
      <c r="AA40" s="51"/>
      <c r="AB40" s="32"/>
      <c r="AC40" s="50"/>
      <c r="AD40" s="62"/>
      <c r="AE40" s="63"/>
      <c r="AF40" s="41"/>
      <c r="AG40" s="48"/>
      <c r="AH40" s="69"/>
      <c r="AI40" s="70"/>
      <c r="AJ40" s="49"/>
      <c r="AK40" s="48"/>
      <c r="AL40" s="69"/>
      <c r="AM40" s="70"/>
      <c r="AN40" s="51"/>
      <c r="AO40" s="32"/>
      <c r="AP40" s="50"/>
      <c r="AQ40" s="62"/>
      <c r="AR40" s="63"/>
      <c r="AS40" s="41"/>
      <c r="AT40" s="48"/>
      <c r="AU40" s="69"/>
      <c r="AV40" s="70"/>
      <c r="AW40" s="49"/>
      <c r="AX40" s="48"/>
      <c r="AY40" s="69"/>
      <c r="AZ40" s="70"/>
      <c r="BA40" s="51"/>
      <c r="BB40" s="32"/>
      <c r="BC40" s="50"/>
      <c r="BD40" s="62"/>
      <c r="BE40" s="63"/>
      <c r="BF40" s="41"/>
      <c r="BG40" s="48"/>
      <c r="BH40" s="69"/>
      <c r="BI40" s="70"/>
      <c r="BJ40" s="49"/>
      <c r="BK40" s="48"/>
      <c r="BL40" s="69"/>
      <c r="BM40" s="70"/>
      <c r="BN40" s="51"/>
      <c r="BO40" s="32"/>
      <c r="BP40" s="50"/>
      <c r="BQ40" s="62"/>
      <c r="BR40" s="63"/>
      <c r="BS40" s="41"/>
      <c r="BT40" s="48"/>
      <c r="BU40" s="69"/>
      <c r="BV40" s="70"/>
      <c r="BW40" s="49"/>
      <c r="BX40" s="48"/>
      <c r="BY40" s="69"/>
      <c r="BZ40" s="70"/>
      <c r="CA40" s="51"/>
      <c r="CB40" s="32"/>
      <c r="CC40" s="50"/>
      <c r="CD40" s="62"/>
      <c r="CE40" s="63"/>
      <c r="CF40" s="41"/>
      <c r="CG40" s="48"/>
      <c r="CH40" s="69"/>
      <c r="CI40" s="70"/>
      <c r="CJ40" s="49"/>
      <c r="CK40" s="48"/>
      <c r="CL40" s="69"/>
      <c r="CM40" s="70"/>
      <c r="CN40" s="51"/>
      <c r="CO40" s="32"/>
      <c r="CP40" s="50"/>
      <c r="CQ40" s="62"/>
      <c r="CR40" s="63"/>
      <c r="CS40" s="41"/>
      <c r="CT40" s="48"/>
      <c r="CU40" s="69"/>
      <c r="CV40" s="70"/>
      <c r="CW40" s="49"/>
      <c r="CX40" s="48"/>
      <c r="CY40" s="69"/>
      <c r="CZ40" s="70"/>
      <c r="DA40" s="51"/>
      <c r="DB40" s="32"/>
      <c r="DC40" s="50"/>
      <c r="DD40" s="62"/>
      <c r="DE40" s="63"/>
      <c r="DF40" s="41"/>
      <c r="DG40" s="48"/>
      <c r="DH40" s="69"/>
      <c r="DI40" s="70"/>
      <c r="DJ40" s="49"/>
      <c r="DK40" s="48"/>
      <c r="DL40" s="69"/>
      <c r="DM40" s="70"/>
      <c r="DN40" s="51"/>
      <c r="DO40" s="32"/>
      <c r="DP40" s="50"/>
      <c r="DQ40" s="62"/>
      <c r="DR40" s="63"/>
      <c r="DS40" s="41"/>
      <c r="DT40" s="48"/>
      <c r="DU40" s="69"/>
      <c r="DV40" s="70"/>
      <c r="DW40" s="49"/>
      <c r="DX40" s="48"/>
      <c r="DY40" s="69"/>
      <c r="DZ40" s="70"/>
      <c r="EA40" s="51"/>
      <c r="EB40" s="32"/>
      <c r="EC40" s="50"/>
      <c r="ED40" s="62"/>
      <c r="EE40" s="63"/>
      <c r="EF40" s="41"/>
      <c r="EG40" s="48"/>
      <c r="EH40" s="69"/>
      <c r="EI40" s="70"/>
      <c r="EJ40" s="49"/>
      <c r="EK40" s="48"/>
      <c r="EL40" s="69"/>
      <c r="EM40" s="70"/>
      <c r="EN40" s="51"/>
    </row>
    <row r="41" spans="2:144" outlineLevel="1" x14ac:dyDescent="0.3">
      <c r="B41" s="27" t="s">
        <v>61</v>
      </c>
      <c r="C41" s="6">
        <f t="shared" ref="C41:C46" si="263">D41-E41</f>
        <v>0</v>
      </c>
      <c r="D41" s="54"/>
      <c r="E41" s="55"/>
      <c r="F41" s="19">
        <f t="shared" ref="F41:F46" si="264">IFERROR(C41/C61*100,"")</f>
        <v>0</v>
      </c>
      <c r="G41" s="6">
        <f t="shared" ref="G41:G46" si="265">H41-I41</f>
        <v>1299</v>
      </c>
      <c r="H41" s="54">
        <v>1299</v>
      </c>
      <c r="I41" s="55"/>
      <c r="J41" s="19">
        <f t="shared" ref="J41:J46" si="266">IFERROR(G41/G61*100,"")</f>
        <v>72.773109243697476</v>
      </c>
      <c r="K41" s="7">
        <f t="shared" ref="K41:K46" si="267">L41-M41</f>
        <v>1299</v>
      </c>
      <c r="L41" s="56">
        <v>1299</v>
      </c>
      <c r="M41" s="57"/>
      <c r="N41" s="82">
        <f t="shared" ref="N41:N46" si="268">IFERROR(K41/K61*100,"")</f>
        <v>100</v>
      </c>
      <c r="O41" s="27" t="s">
        <v>61</v>
      </c>
      <c r="P41" s="6">
        <f t="shared" ref="P41:P46" si="269">Q41-R41</f>
        <v>1633</v>
      </c>
      <c r="Q41" s="54">
        <v>1633</v>
      </c>
      <c r="R41" s="55"/>
      <c r="S41" s="19">
        <f t="shared" ref="S41:S46" si="270">IFERROR(P41/P61*100,"")</f>
        <v>92.83683911313247</v>
      </c>
      <c r="T41" s="6">
        <f t="shared" ref="T41:T46" si="271">U41-V41</f>
        <v>1299</v>
      </c>
      <c r="U41" s="54">
        <v>1299</v>
      </c>
      <c r="V41" s="55"/>
      <c r="W41" s="19" t="str">
        <f t="shared" ref="W41:W46" si="272">IFERROR(T41/T61*100,"")</f>
        <v/>
      </c>
      <c r="X41" s="7">
        <f t="shared" ref="X41:X46" si="273">Y41-Z41</f>
        <v>1300</v>
      </c>
      <c r="Y41" s="56">
        <v>1300</v>
      </c>
      <c r="Z41" s="57"/>
      <c r="AA41" s="82">
        <f t="shared" ref="AA41:AA46" si="274">IFERROR(X41/X61*100,"")</f>
        <v>100.07698229407237</v>
      </c>
      <c r="AB41" s="27" t="s">
        <v>61</v>
      </c>
      <c r="AC41" s="6">
        <f t="shared" ref="AC41:AC46" si="275">AD41-AE41</f>
        <v>0</v>
      </c>
      <c r="AD41" s="54"/>
      <c r="AE41" s="55"/>
      <c r="AF41" s="19" t="str">
        <f t="shared" ref="AF41:AF46" si="276">IFERROR(AC41/AC61*100,"")</f>
        <v/>
      </c>
      <c r="AG41" s="6">
        <f t="shared" ref="AG41:AG46" si="277">AH41-AI41</f>
        <v>0</v>
      </c>
      <c r="AH41" s="54"/>
      <c r="AI41" s="55"/>
      <c r="AJ41" s="19" t="str">
        <f t="shared" ref="AJ41:AJ46" si="278">IFERROR(AG41/AG61*100,"")</f>
        <v/>
      </c>
      <c r="AK41" s="7">
        <f t="shared" ref="AK41:AK46" si="279">AL41-AM41</f>
        <v>0</v>
      </c>
      <c r="AL41" s="56"/>
      <c r="AM41" s="57"/>
      <c r="AN41" s="82" t="str">
        <f t="shared" ref="AN41:AN46" si="280">IFERROR(AK41/AK61*100,"")</f>
        <v/>
      </c>
      <c r="AO41" s="27" t="s">
        <v>61</v>
      </c>
      <c r="AP41" s="6">
        <f t="shared" ref="AP41:AP46" si="281">AQ41-AR41</f>
        <v>0</v>
      </c>
      <c r="AQ41" s="54"/>
      <c r="AR41" s="55"/>
      <c r="AS41" s="19">
        <f t="shared" ref="AS41:AS46" si="282">IFERROR(AP41/AP61*100,"")</f>
        <v>0</v>
      </c>
      <c r="AT41" s="6">
        <f t="shared" ref="AT41:AT46" si="283">AU41-AV41</f>
        <v>1279</v>
      </c>
      <c r="AU41" s="54">
        <v>1279</v>
      </c>
      <c r="AV41" s="55"/>
      <c r="AW41" s="19">
        <f t="shared" ref="AW41:AW46" si="284">IFERROR(AT41/AT61*100,"")</f>
        <v>98.460354118552729</v>
      </c>
      <c r="AX41" s="7">
        <f t="shared" ref="AX41:AX46" si="285">AY41-AZ41</f>
        <v>0</v>
      </c>
      <c r="AY41" s="56"/>
      <c r="AZ41" s="57"/>
      <c r="BA41" s="82" t="str">
        <f t="shared" ref="BA41:BA46" si="286">IFERROR(AX41/AX61*100,"")</f>
        <v/>
      </c>
      <c r="BB41" s="27" t="s">
        <v>61</v>
      </c>
      <c r="BC41" s="6">
        <f t="shared" ref="BC41:BC46" si="287">BD41-BE41</f>
        <v>0</v>
      </c>
      <c r="BD41" s="54"/>
      <c r="BE41" s="55"/>
      <c r="BF41" s="19">
        <f t="shared" ref="BF41:BF46" si="288">IFERROR(BC41/BC61*100,"")</f>
        <v>0</v>
      </c>
      <c r="BG41" s="6">
        <f t="shared" ref="BG41:BG46" si="289">BH41-BI41</f>
        <v>1279</v>
      </c>
      <c r="BH41" s="54">
        <v>1279</v>
      </c>
      <c r="BI41" s="55"/>
      <c r="BJ41" s="19">
        <f t="shared" ref="BJ41:BJ46" si="290">IFERROR(BG41/BG61*100,"")</f>
        <v>98.460354118552729</v>
      </c>
      <c r="BK41" s="7">
        <f t="shared" ref="BK41:BK46" si="291">BL41-BM41</f>
        <v>0</v>
      </c>
      <c r="BL41" s="56"/>
      <c r="BM41" s="57"/>
      <c r="BN41" s="82" t="str">
        <f t="shared" ref="BN41:BN46" si="292">IFERROR(BK41/BK61*100,"")</f>
        <v/>
      </c>
      <c r="BO41" s="27" t="s">
        <v>61</v>
      </c>
      <c r="BP41" s="6">
        <f t="shared" ref="BP41:BP46" si="293">BQ41-BR41</f>
        <v>0</v>
      </c>
      <c r="BQ41" s="54"/>
      <c r="BR41" s="55"/>
      <c r="BS41" s="19">
        <f t="shared" ref="BS41:BS46" si="294">IFERROR(BP41/BP61*100,"")</f>
        <v>0</v>
      </c>
      <c r="BT41" s="6">
        <f t="shared" ref="BT41:BT46" si="295">BU41-BV41</f>
        <v>1299</v>
      </c>
      <c r="BU41" s="54">
        <v>1299</v>
      </c>
      <c r="BV41" s="55"/>
      <c r="BW41" s="19">
        <f t="shared" ref="BW41:BW46" si="296">IFERROR(BT41/BT61*100,"")</f>
        <v>100</v>
      </c>
      <c r="BX41" s="7">
        <f t="shared" ref="BX41:BX46" si="297">BY41-BZ41</f>
        <v>1199</v>
      </c>
      <c r="BY41" s="56">
        <v>1199</v>
      </c>
      <c r="BZ41" s="57"/>
      <c r="CA41" s="82">
        <f t="shared" ref="CA41:CA46" si="298">IFERROR(BX41/BX61*100,"")</f>
        <v>92.30177059276366</v>
      </c>
      <c r="CB41" s="27" t="s">
        <v>61</v>
      </c>
      <c r="CC41" s="6">
        <f t="shared" ref="CC41:CC46" si="299">CD41-CE41</f>
        <v>0</v>
      </c>
      <c r="CD41" s="54"/>
      <c r="CE41" s="55"/>
      <c r="CF41" s="19" t="str">
        <f t="shared" ref="CF41:CF46" si="300">IFERROR(CC41/CC61*100,"")</f>
        <v/>
      </c>
      <c r="CG41" s="6">
        <f t="shared" ref="CG41:CG46" si="301">CH41-CI41</f>
        <v>0</v>
      </c>
      <c r="CH41" s="54"/>
      <c r="CI41" s="55"/>
      <c r="CJ41" s="19" t="str">
        <f t="shared" ref="CJ41:CJ46" si="302">IFERROR(CG41/CG61*100,"")</f>
        <v/>
      </c>
      <c r="CK41" s="7">
        <f t="shared" ref="CK41:CK46" si="303">CL41-CM41</f>
        <v>0</v>
      </c>
      <c r="CL41" s="56"/>
      <c r="CM41" s="57"/>
      <c r="CN41" s="82" t="str">
        <f t="shared" ref="CN41:CN46" si="304">IFERROR(CK41/CK61*100,"")</f>
        <v/>
      </c>
      <c r="CO41" s="27" t="s">
        <v>61</v>
      </c>
      <c r="CP41" s="6">
        <f t="shared" ref="CP41:CP46" si="305">CQ41-CR41</f>
        <v>0</v>
      </c>
      <c r="CQ41" s="54"/>
      <c r="CR41" s="55"/>
      <c r="CS41" s="19">
        <f t="shared" ref="CS41:CS46" si="306">IFERROR(CP41/CP61*100,"")</f>
        <v>0</v>
      </c>
      <c r="CT41" s="6">
        <f t="shared" ref="CT41:CT46" si="307">CU41-CV41</f>
        <v>1299</v>
      </c>
      <c r="CU41" s="54">
        <v>1299</v>
      </c>
      <c r="CV41" s="55"/>
      <c r="CW41" s="19">
        <f t="shared" ref="CW41:CW46" si="308">IFERROR(CT41/CT61*100,"")</f>
        <v>100</v>
      </c>
      <c r="CX41" s="7">
        <f t="shared" ref="CX41:CX46" si="309">CY41-CZ41</f>
        <v>0</v>
      </c>
      <c r="CY41" s="56"/>
      <c r="CZ41" s="57"/>
      <c r="DA41" s="82" t="str">
        <f t="shared" ref="DA41:DA46" si="310">IFERROR(CX41/CX61*100,"")</f>
        <v/>
      </c>
      <c r="DB41" s="27" t="s">
        <v>61</v>
      </c>
      <c r="DC41" s="6">
        <f t="shared" ref="DC41:DC46" si="311">DD41-DE41</f>
        <v>0</v>
      </c>
      <c r="DD41" s="54"/>
      <c r="DE41" s="55"/>
      <c r="DF41" s="19">
        <f t="shared" ref="DF41:DF46" si="312">IFERROR(DC41/DC61*100,"")</f>
        <v>0</v>
      </c>
      <c r="DG41" s="6">
        <f t="shared" ref="DG41:DG46" si="313">DH41-DI41</f>
        <v>1299</v>
      </c>
      <c r="DH41" s="54">
        <v>1299</v>
      </c>
      <c r="DI41" s="55"/>
      <c r="DJ41" s="19">
        <f t="shared" ref="DJ41:DJ46" si="314">IFERROR(DG41/DG61*100,"")</f>
        <v>100</v>
      </c>
      <c r="DK41" s="7">
        <f t="shared" ref="DK41:DK46" si="315">DL41-DM41</f>
        <v>0</v>
      </c>
      <c r="DL41" s="56"/>
      <c r="DM41" s="57"/>
      <c r="DN41" s="82" t="str">
        <f t="shared" ref="DN41:DN46" si="316">IFERROR(DK41/DK61*100,"")</f>
        <v/>
      </c>
      <c r="DO41" s="27" t="s">
        <v>61</v>
      </c>
      <c r="DP41" s="6">
        <f t="shared" ref="DP41:DP46" si="317">DQ41-DR41</f>
        <v>0</v>
      </c>
      <c r="DQ41" s="54"/>
      <c r="DR41" s="55"/>
      <c r="DS41" s="19">
        <f t="shared" ref="DS41:DS46" si="318">IFERROR(DP41/DP61*100,"")</f>
        <v>0</v>
      </c>
      <c r="DT41" s="6">
        <f t="shared" ref="DT41:DT46" si="319">DU41-DV41</f>
        <v>1199</v>
      </c>
      <c r="DU41" s="54">
        <v>1199</v>
      </c>
      <c r="DV41" s="55"/>
      <c r="DW41" s="19">
        <f t="shared" ref="DW41:DW46" si="320">IFERROR(DT41/DT61*100,"")</f>
        <v>92.30177059276366</v>
      </c>
      <c r="DX41" s="7">
        <f t="shared" ref="DX41:DX46" si="321">DY41-DZ41</f>
        <v>1291</v>
      </c>
      <c r="DY41" s="56">
        <v>1291</v>
      </c>
      <c r="DZ41" s="57"/>
      <c r="EA41" s="82">
        <f t="shared" ref="EA41:EA46" si="322">IFERROR(DX41/DX61*100,"")</f>
        <v>100.93823299452697</v>
      </c>
      <c r="EB41" s="27" t="s">
        <v>61</v>
      </c>
      <c r="EC41" s="6">
        <f t="shared" ref="EC41:EC46" si="323">ED41-EE41</f>
        <v>0</v>
      </c>
      <c r="ED41" s="54"/>
      <c r="EE41" s="55"/>
      <c r="EF41" s="19">
        <f t="shared" ref="EF41:EF46" si="324">IFERROR(EC41/EC61*100,"")</f>
        <v>0</v>
      </c>
      <c r="EG41" s="6">
        <f t="shared" ref="EG41:EG46" si="325">EH41-EI41</f>
        <v>1199</v>
      </c>
      <c r="EH41" s="54">
        <v>1199</v>
      </c>
      <c r="EI41" s="55"/>
      <c r="EJ41" s="19">
        <f t="shared" ref="EJ41:EJ46" si="326">IFERROR(EG41/EG61*100,"")</f>
        <v>92.30177059276366</v>
      </c>
      <c r="EK41" s="7">
        <f t="shared" ref="EK41:EK46" si="327">EL41-EM41</f>
        <v>1291</v>
      </c>
      <c r="EL41" s="56">
        <v>1291</v>
      </c>
      <c r="EM41" s="57"/>
      <c r="EN41" s="82">
        <f t="shared" ref="EN41:EN46" si="328">IFERROR(EK41/EK61*100,"")</f>
        <v>100.93823299452697</v>
      </c>
    </row>
    <row r="42" spans="2:144" outlineLevel="1" x14ac:dyDescent="0.3">
      <c r="B42" s="28" t="s">
        <v>62</v>
      </c>
      <c r="C42" s="7">
        <f t="shared" si="263"/>
        <v>799</v>
      </c>
      <c r="D42" s="56">
        <v>799</v>
      </c>
      <c r="E42" s="57"/>
      <c r="F42" s="20">
        <f t="shared" si="264"/>
        <v>74.25650557620817</v>
      </c>
      <c r="G42" s="7">
        <f t="shared" si="265"/>
        <v>899</v>
      </c>
      <c r="H42" s="56">
        <v>899</v>
      </c>
      <c r="I42" s="57"/>
      <c r="J42" s="20">
        <f t="shared" si="266"/>
        <v>85.700667302192571</v>
      </c>
      <c r="K42" s="7">
        <f t="shared" si="267"/>
        <v>799</v>
      </c>
      <c r="L42" s="56">
        <v>799</v>
      </c>
      <c r="M42" s="57"/>
      <c r="N42" s="83">
        <f t="shared" si="268"/>
        <v>84.193888303477351</v>
      </c>
      <c r="O42" s="28" t="s">
        <v>62</v>
      </c>
      <c r="P42" s="7">
        <f t="shared" si="269"/>
        <v>899</v>
      </c>
      <c r="Q42" s="56">
        <v>899</v>
      </c>
      <c r="R42" s="57"/>
      <c r="S42" s="20">
        <f t="shared" si="270"/>
        <v>83.550185873605955</v>
      </c>
      <c r="T42" s="7">
        <f t="shared" si="271"/>
        <v>799</v>
      </c>
      <c r="U42" s="56">
        <v>799</v>
      </c>
      <c r="V42" s="57"/>
      <c r="W42" s="20" t="str">
        <f t="shared" si="272"/>
        <v/>
      </c>
      <c r="X42" s="7">
        <f t="shared" si="273"/>
        <v>894</v>
      </c>
      <c r="Y42" s="56">
        <v>894</v>
      </c>
      <c r="Z42" s="57"/>
      <c r="AA42" s="83">
        <f t="shared" si="274"/>
        <v>119.35914552736983</v>
      </c>
      <c r="AB42" s="28" t="s">
        <v>62</v>
      </c>
      <c r="AC42" s="7">
        <f t="shared" si="275"/>
        <v>0</v>
      </c>
      <c r="AD42" s="56"/>
      <c r="AE42" s="57"/>
      <c r="AF42" s="20" t="str">
        <f t="shared" si="276"/>
        <v/>
      </c>
      <c r="AG42" s="7">
        <f t="shared" si="277"/>
        <v>0</v>
      </c>
      <c r="AH42" s="56"/>
      <c r="AI42" s="57"/>
      <c r="AJ42" s="20" t="str">
        <f t="shared" si="278"/>
        <v/>
      </c>
      <c r="AK42" s="7">
        <f t="shared" si="279"/>
        <v>0</v>
      </c>
      <c r="AL42" s="56"/>
      <c r="AM42" s="57"/>
      <c r="AN42" s="83" t="str">
        <f t="shared" si="280"/>
        <v/>
      </c>
      <c r="AO42" s="28" t="s">
        <v>62</v>
      </c>
      <c r="AP42" s="7">
        <f t="shared" si="281"/>
        <v>799</v>
      </c>
      <c r="AQ42" s="56">
        <v>799</v>
      </c>
      <c r="AR42" s="57"/>
      <c r="AS42" s="20">
        <f t="shared" si="282"/>
        <v>85.090521831735884</v>
      </c>
      <c r="AT42" s="7">
        <f t="shared" si="283"/>
        <v>799</v>
      </c>
      <c r="AU42" s="56">
        <v>799</v>
      </c>
      <c r="AV42" s="57"/>
      <c r="AW42" s="20">
        <f t="shared" si="284"/>
        <v>88.876529477196883</v>
      </c>
      <c r="AX42" s="7">
        <f t="shared" si="285"/>
        <v>0</v>
      </c>
      <c r="AY42" s="56"/>
      <c r="AZ42" s="57"/>
      <c r="BA42" s="83" t="str">
        <f t="shared" si="286"/>
        <v/>
      </c>
      <c r="BB42" s="28" t="s">
        <v>62</v>
      </c>
      <c r="BC42" s="7">
        <f t="shared" si="287"/>
        <v>899</v>
      </c>
      <c r="BD42" s="56">
        <v>899</v>
      </c>
      <c r="BE42" s="57"/>
      <c r="BF42" s="20">
        <f t="shared" si="288"/>
        <v>74.979149291075899</v>
      </c>
      <c r="BG42" s="7">
        <f t="shared" si="289"/>
        <v>899</v>
      </c>
      <c r="BH42" s="56">
        <v>899</v>
      </c>
      <c r="BI42" s="57"/>
      <c r="BJ42" s="20">
        <f t="shared" si="290"/>
        <v>100</v>
      </c>
      <c r="BK42" s="7">
        <f t="shared" si="291"/>
        <v>0</v>
      </c>
      <c r="BL42" s="56"/>
      <c r="BM42" s="57"/>
      <c r="BN42" s="83" t="str">
        <f t="shared" si="292"/>
        <v/>
      </c>
      <c r="BO42" s="28" t="s">
        <v>62</v>
      </c>
      <c r="BP42" s="7">
        <f t="shared" si="293"/>
        <v>899</v>
      </c>
      <c r="BQ42" s="56">
        <v>899</v>
      </c>
      <c r="BR42" s="57"/>
      <c r="BS42" s="20">
        <f t="shared" si="294"/>
        <v>100</v>
      </c>
      <c r="BT42" s="7">
        <f t="shared" si="295"/>
        <v>899</v>
      </c>
      <c r="BU42" s="56">
        <v>899</v>
      </c>
      <c r="BV42" s="57"/>
      <c r="BW42" s="20">
        <f t="shared" si="296"/>
        <v>100</v>
      </c>
      <c r="BX42" s="7">
        <f t="shared" si="297"/>
        <v>699</v>
      </c>
      <c r="BY42" s="56">
        <v>699</v>
      </c>
      <c r="BZ42" s="57"/>
      <c r="CA42" s="83">
        <f t="shared" si="298"/>
        <v>77.753058954393765</v>
      </c>
      <c r="CB42" s="28" t="s">
        <v>62</v>
      </c>
      <c r="CC42" s="7">
        <f t="shared" si="299"/>
        <v>0</v>
      </c>
      <c r="CD42" s="56"/>
      <c r="CE42" s="57"/>
      <c r="CF42" s="20" t="str">
        <f t="shared" si="300"/>
        <v/>
      </c>
      <c r="CG42" s="7">
        <f t="shared" si="301"/>
        <v>0</v>
      </c>
      <c r="CH42" s="56"/>
      <c r="CI42" s="57"/>
      <c r="CJ42" s="20" t="str">
        <f t="shared" si="302"/>
        <v/>
      </c>
      <c r="CK42" s="7">
        <f t="shared" si="303"/>
        <v>0</v>
      </c>
      <c r="CL42" s="56"/>
      <c r="CM42" s="57"/>
      <c r="CN42" s="83" t="str">
        <f t="shared" si="304"/>
        <v/>
      </c>
      <c r="CO42" s="28" t="s">
        <v>62</v>
      </c>
      <c r="CP42" s="7">
        <f t="shared" si="305"/>
        <v>899</v>
      </c>
      <c r="CQ42" s="56">
        <v>899</v>
      </c>
      <c r="CR42" s="57"/>
      <c r="CS42" s="20">
        <f t="shared" si="306"/>
        <v>100</v>
      </c>
      <c r="CT42" s="7">
        <f t="shared" si="307"/>
        <v>0</v>
      </c>
      <c r="CU42" s="56"/>
      <c r="CV42" s="57"/>
      <c r="CW42" s="20">
        <f t="shared" si="308"/>
        <v>0</v>
      </c>
      <c r="CX42" s="7">
        <f t="shared" si="309"/>
        <v>0</v>
      </c>
      <c r="CY42" s="56"/>
      <c r="CZ42" s="57"/>
      <c r="DA42" s="83" t="str">
        <f t="shared" si="310"/>
        <v/>
      </c>
      <c r="DB42" s="28" t="s">
        <v>62</v>
      </c>
      <c r="DC42" s="7">
        <f t="shared" si="311"/>
        <v>899</v>
      </c>
      <c r="DD42" s="56">
        <v>899</v>
      </c>
      <c r="DE42" s="57"/>
      <c r="DF42" s="20">
        <f t="shared" si="312"/>
        <v>91.828396322778346</v>
      </c>
      <c r="DG42" s="7">
        <f t="shared" si="313"/>
        <v>0</v>
      </c>
      <c r="DH42" s="56"/>
      <c r="DI42" s="57"/>
      <c r="DJ42" s="20">
        <f t="shared" si="314"/>
        <v>0</v>
      </c>
      <c r="DK42" s="7">
        <f t="shared" si="315"/>
        <v>0</v>
      </c>
      <c r="DL42" s="56"/>
      <c r="DM42" s="57"/>
      <c r="DN42" s="83" t="str">
        <f t="shared" si="316"/>
        <v/>
      </c>
      <c r="DO42" s="28" t="s">
        <v>62</v>
      </c>
      <c r="DP42" s="7">
        <f t="shared" si="317"/>
        <v>0</v>
      </c>
      <c r="DQ42" s="56"/>
      <c r="DR42" s="57"/>
      <c r="DS42" s="20">
        <f t="shared" si="318"/>
        <v>0</v>
      </c>
      <c r="DT42" s="7">
        <f t="shared" si="319"/>
        <v>0</v>
      </c>
      <c r="DU42" s="56"/>
      <c r="DV42" s="57"/>
      <c r="DW42" s="20">
        <f t="shared" si="320"/>
        <v>0</v>
      </c>
      <c r="DX42" s="7">
        <f t="shared" si="321"/>
        <v>699</v>
      </c>
      <c r="DY42" s="56">
        <v>699</v>
      </c>
      <c r="DZ42" s="57"/>
      <c r="EA42" s="83">
        <f t="shared" si="322"/>
        <v>77.753058954393765</v>
      </c>
      <c r="EB42" s="28" t="s">
        <v>62</v>
      </c>
      <c r="EC42" s="7">
        <f t="shared" si="323"/>
        <v>0</v>
      </c>
      <c r="ED42" s="56"/>
      <c r="EE42" s="57"/>
      <c r="EF42" s="20">
        <f t="shared" si="324"/>
        <v>0</v>
      </c>
      <c r="EG42" s="7">
        <f t="shared" si="325"/>
        <v>0</v>
      </c>
      <c r="EH42" s="56"/>
      <c r="EI42" s="57"/>
      <c r="EJ42" s="20">
        <f t="shared" si="326"/>
        <v>0</v>
      </c>
      <c r="EK42" s="7">
        <f t="shared" si="327"/>
        <v>699</v>
      </c>
      <c r="EL42" s="56">
        <v>699</v>
      </c>
      <c r="EM42" s="57"/>
      <c r="EN42" s="83">
        <f t="shared" si="328"/>
        <v>77.753058954393765</v>
      </c>
    </row>
    <row r="43" spans="2:144" outlineLevel="1" x14ac:dyDescent="0.3">
      <c r="B43" s="28" t="s">
        <v>63</v>
      </c>
      <c r="C43" s="7">
        <f t="shared" si="263"/>
        <v>666</v>
      </c>
      <c r="D43" s="56">
        <v>666</v>
      </c>
      <c r="E43" s="57"/>
      <c r="F43" s="20">
        <f t="shared" si="264"/>
        <v>82.425742574257427</v>
      </c>
      <c r="G43" s="7">
        <f t="shared" si="265"/>
        <v>699</v>
      </c>
      <c r="H43" s="56">
        <v>699</v>
      </c>
      <c r="I43" s="57"/>
      <c r="J43" s="20" t="str">
        <f t="shared" si="266"/>
        <v/>
      </c>
      <c r="K43" s="7">
        <f t="shared" si="267"/>
        <v>900</v>
      </c>
      <c r="L43" s="56">
        <v>900</v>
      </c>
      <c r="M43" s="57"/>
      <c r="N43" s="83">
        <f t="shared" si="268"/>
        <v>138.67488443759629</v>
      </c>
      <c r="O43" s="28" t="s">
        <v>63</v>
      </c>
      <c r="P43" s="7">
        <f t="shared" si="269"/>
        <v>666</v>
      </c>
      <c r="Q43" s="56">
        <v>666</v>
      </c>
      <c r="R43" s="57"/>
      <c r="S43" s="20">
        <f t="shared" si="270"/>
        <v>82.425742574257427</v>
      </c>
      <c r="T43" s="7">
        <f t="shared" si="271"/>
        <v>699</v>
      </c>
      <c r="U43" s="56">
        <v>699</v>
      </c>
      <c r="V43" s="57"/>
      <c r="W43" s="20" t="str">
        <f t="shared" si="272"/>
        <v/>
      </c>
      <c r="X43" s="7">
        <f t="shared" si="273"/>
        <v>726</v>
      </c>
      <c r="Y43" s="56">
        <v>726</v>
      </c>
      <c r="Z43" s="57"/>
      <c r="AA43" s="83">
        <f t="shared" si="274"/>
        <v>111.86440677966101</v>
      </c>
      <c r="AB43" s="28" t="s">
        <v>63</v>
      </c>
      <c r="AC43" s="7">
        <f t="shared" si="275"/>
        <v>0</v>
      </c>
      <c r="AD43" s="56"/>
      <c r="AE43" s="57"/>
      <c r="AF43" s="20" t="str">
        <f t="shared" si="276"/>
        <v/>
      </c>
      <c r="AG43" s="7">
        <f t="shared" si="277"/>
        <v>0</v>
      </c>
      <c r="AH43" s="56"/>
      <c r="AI43" s="57"/>
      <c r="AJ43" s="20" t="str">
        <f t="shared" si="278"/>
        <v/>
      </c>
      <c r="AK43" s="7">
        <f t="shared" si="279"/>
        <v>0</v>
      </c>
      <c r="AL43" s="56"/>
      <c r="AM43" s="57"/>
      <c r="AN43" s="83" t="str">
        <f t="shared" si="280"/>
        <v/>
      </c>
      <c r="AO43" s="28" t="s">
        <v>63</v>
      </c>
      <c r="AP43" s="7">
        <f t="shared" si="281"/>
        <v>729</v>
      </c>
      <c r="AQ43" s="56">
        <v>729</v>
      </c>
      <c r="AR43" s="57"/>
      <c r="AS43" s="20">
        <f t="shared" si="282"/>
        <v>107.36377025036819</v>
      </c>
      <c r="AT43" s="7">
        <f t="shared" si="283"/>
        <v>699</v>
      </c>
      <c r="AU43" s="56">
        <v>699</v>
      </c>
      <c r="AV43" s="57"/>
      <c r="AW43" s="20">
        <f t="shared" si="284"/>
        <v>100</v>
      </c>
      <c r="AX43" s="7">
        <f t="shared" si="285"/>
        <v>0</v>
      </c>
      <c r="AY43" s="56"/>
      <c r="AZ43" s="57"/>
      <c r="BA43" s="83" t="str">
        <f t="shared" si="286"/>
        <v/>
      </c>
      <c r="BB43" s="28" t="s">
        <v>63</v>
      </c>
      <c r="BC43" s="7">
        <f t="shared" si="287"/>
        <v>689</v>
      </c>
      <c r="BD43" s="56">
        <v>689</v>
      </c>
      <c r="BE43" s="57"/>
      <c r="BF43" s="20">
        <f t="shared" si="288"/>
        <v>102.98953662182362</v>
      </c>
      <c r="BG43" s="7">
        <f t="shared" si="289"/>
        <v>679</v>
      </c>
      <c r="BH43" s="56">
        <v>679</v>
      </c>
      <c r="BI43" s="57"/>
      <c r="BJ43" s="20">
        <f t="shared" si="290"/>
        <v>97.13876967095851</v>
      </c>
      <c r="BK43" s="7">
        <f t="shared" si="291"/>
        <v>0</v>
      </c>
      <c r="BL43" s="56"/>
      <c r="BM43" s="57"/>
      <c r="BN43" s="83" t="str">
        <f t="shared" si="292"/>
        <v/>
      </c>
      <c r="BO43" s="28" t="s">
        <v>63</v>
      </c>
      <c r="BP43" s="7">
        <f t="shared" si="293"/>
        <v>1235</v>
      </c>
      <c r="BQ43" s="56">
        <v>1235</v>
      </c>
      <c r="BR43" s="57"/>
      <c r="BS43" s="20">
        <f t="shared" si="294"/>
        <v>184.60388639760836</v>
      </c>
      <c r="BT43" s="7">
        <f t="shared" si="295"/>
        <v>699</v>
      </c>
      <c r="BU43" s="56">
        <v>699</v>
      </c>
      <c r="BV43" s="57"/>
      <c r="BW43" s="20">
        <f t="shared" si="296"/>
        <v>100</v>
      </c>
      <c r="BX43" s="7">
        <f t="shared" si="297"/>
        <v>679</v>
      </c>
      <c r="BY43" s="56">
        <v>679</v>
      </c>
      <c r="BZ43" s="57"/>
      <c r="CA43" s="83">
        <f t="shared" si="298"/>
        <v>100</v>
      </c>
      <c r="CB43" s="28" t="s">
        <v>63</v>
      </c>
      <c r="CC43" s="7">
        <f t="shared" si="299"/>
        <v>0</v>
      </c>
      <c r="CD43" s="56"/>
      <c r="CE43" s="57"/>
      <c r="CF43" s="20" t="str">
        <f t="shared" si="300"/>
        <v/>
      </c>
      <c r="CG43" s="7">
        <f t="shared" si="301"/>
        <v>0</v>
      </c>
      <c r="CH43" s="56"/>
      <c r="CI43" s="57"/>
      <c r="CJ43" s="20" t="str">
        <f t="shared" si="302"/>
        <v/>
      </c>
      <c r="CK43" s="7">
        <f t="shared" si="303"/>
        <v>0</v>
      </c>
      <c r="CL43" s="56"/>
      <c r="CM43" s="57"/>
      <c r="CN43" s="83" t="str">
        <f t="shared" si="304"/>
        <v/>
      </c>
      <c r="CO43" s="28" t="s">
        <v>63</v>
      </c>
      <c r="CP43" s="7">
        <f t="shared" si="305"/>
        <v>707</v>
      </c>
      <c r="CQ43" s="56">
        <v>707</v>
      </c>
      <c r="CR43" s="57"/>
      <c r="CS43" s="20">
        <f t="shared" si="306"/>
        <v>105.68011958146488</v>
      </c>
      <c r="CT43" s="7">
        <f t="shared" si="307"/>
        <v>699</v>
      </c>
      <c r="CU43" s="56">
        <v>699</v>
      </c>
      <c r="CV43" s="57"/>
      <c r="CW43" s="20">
        <f t="shared" si="308"/>
        <v>100</v>
      </c>
      <c r="CX43" s="7">
        <f t="shared" si="309"/>
        <v>0</v>
      </c>
      <c r="CY43" s="56"/>
      <c r="CZ43" s="57"/>
      <c r="DA43" s="83" t="str">
        <f t="shared" si="310"/>
        <v/>
      </c>
      <c r="DB43" s="28" t="s">
        <v>63</v>
      </c>
      <c r="DC43" s="7">
        <f t="shared" si="311"/>
        <v>707</v>
      </c>
      <c r="DD43" s="56">
        <v>707</v>
      </c>
      <c r="DE43" s="57"/>
      <c r="DF43" s="20">
        <f t="shared" si="312"/>
        <v>102.61248185776488</v>
      </c>
      <c r="DG43" s="7">
        <f t="shared" si="313"/>
        <v>699</v>
      </c>
      <c r="DH43" s="56">
        <v>699</v>
      </c>
      <c r="DI43" s="57"/>
      <c r="DJ43" s="20">
        <f t="shared" si="314"/>
        <v>100</v>
      </c>
      <c r="DK43" s="7">
        <f t="shared" si="315"/>
        <v>0</v>
      </c>
      <c r="DL43" s="56"/>
      <c r="DM43" s="57"/>
      <c r="DN43" s="83" t="str">
        <f t="shared" si="316"/>
        <v/>
      </c>
      <c r="DO43" s="28" t="s">
        <v>63</v>
      </c>
      <c r="DP43" s="7">
        <f t="shared" si="317"/>
        <v>707</v>
      </c>
      <c r="DQ43" s="56">
        <v>707</v>
      </c>
      <c r="DR43" s="57"/>
      <c r="DS43" s="20">
        <f t="shared" si="318"/>
        <v>99.158485273492275</v>
      </c>
      <c r="DT43" s="7">
        <f t="shared" si="319"/>
        <v>699</v>
      </c>
      <c r="DU43" s="56">
        <v>699</v>
      </c>
      <c r="DV43" s="57"/>
      <c r="DW43" s="20">
        <f t="shared" si="320"/>
        <v>100</v>
      </c>
      <c r="DX43" s="7">
        <f t="shared" si="321"/>
        <v>727</v>
      </c>
      <c r="DY43" s="56">
        <v>727</v>
      </c>
      <c r="DZ43" s="57"/>
      <c r="EA43" s="83">
        <f t="shared" si="322"/>
        <v>104.00572246065809</v>
      </c>
      <c r="EB43" s="28" t="s">
        <v>63</v>
      </c>
      <c r="EC43" s="7">
        <f t="shared" si="323"/>
        <v>707</v>
      </c>
      <c r="ED43" s="56">
        <v>707</v>
      </c>
      <c r="EE43" s="57"/>
      <c r="EF43" s="20">
        <f t="shared" si="324"/>
        <v>99.158485273492275</v>
      </c>
      <c r="EG43" s="7">
        <f t="shared" si="325"/>
        <v>699</v>
      </c>
      <c r="EH43" s="56">
        <v>699</v>
      </c>
      <c r="EI43" s="57"/>
      <c r="EJ43" s="20">
        <f t="shared" si="326"/>
        <v>100</v>
      </c>
      <c r="EK43" s="7">
        <f t="shared" si="327"/>
        <v>727</v>
      </c>
      <c r="EL43" s="56">
        <v>727</v>
      </c>
      <c r="EM43" s="57"/>
      <c r="EN43" s="83">
        <f t="shared" si="328"/>
        <v>104.00572246065809</v>
      </c>
    </row>
    <row r="44" spans="2:144" outlineLevel="1" x14ac:dyDescent="0.3">
      <c r="B44" s="28" t="s">
        <v>64</v>
      </c>
      <c r="C44" s="7">
        <f t="shared" si="263"/>
        <v>499</v>
      </c>
      <c r="D44" s="56">
        <v>499</v>
      </c>
      <c r="E44" s="57"/>
      <c r="F44" s="20">
        <f t="shared" si="264"/>
        <v>77.484472049689444</v>
      </c>
      <c r="G44" s="7">
        <f t="shared" si="265"/>
        <v>549</v>
      </c>
      <c r="H44" s="56">
        <v>549</v>
      </c>
      <c r="I44" s="57"/>
      <c r="J44" s="20">
        <f t="shared" si="266"/>
        <v>100</v>
      </c>
      <c r="K44" s="7">
        <f t="shared" si="267"/>
        <v>574</v>
      </c>
      <c r="L44" s="56">
        <v>574</v>
      </c>
      <c r="M44" s="57"/>
      <c r="N44" s="83">
        <f t="shared" si="268"/>
        <v>115.03006012024048</v>
      </c>
      <c r="O44" s="28" t="s">
        <v>64</v>
      </c>
      <c r="P44" s="7">
        <f t="shared" si="269"/>
        <v>479</v>
      </c>
      <c r="Q44" s="56">
        <v>479</v>
      </c>
      <c r="R44" s="57"/>
      <c r="S44" s="20">
        <f t="shared" si="270"/>
        <v>74.148606811145513</v>
      </c>
      <c r="T44" s="7">
        <f t="shared" si="271"/>
        <v>549</v>
      </c>
      <c r="U44" s="56">
        <v>549</v>
      </c>
      <c r="V44" s="57"/>
      <c r="W44" s="20">
        <f t="shared" si="272"/>
        <v>110.02004008016033</v>
      </c>
      <c r="X44" s="7">
        <f t="shared" si="273"/>
        <v>566</v>
      </c>
      <c r="Y44" s="56">
        <v>566</v>
      </c>
      <c r="Z44" s="57"/>
      <c r="AA44" s="83">
        <f t="shared" si="274"/>
        <v>119.66173361522199</v>
      </c>
      <c r="AB44" s="28" t="s">
        <v>64</v>
      </c>
      <c r="AC44" s="7">
        <f t="shared" si="275"/>
        <v>0</v>
      </c>
      <c r="AD44" s="56"/>
      <c r="AE44" s="57"/>
      <c r="AF44" s="20" t="str">
        <f t="shared" si="276"/>
        <v/>
      </c>
      <c r="AG44" s="7">
        <f t="shared" si="277"/>
        <v>0</v>
      </c>
      <c r="AH44" s="56"/>
      <c r="AI44" s="57"/>
      <c r="AJ44" s="20" t="str">
        <f t="shared" si="278"/>
        <v/>
      </c>
      <c r="AK44" s="7">
        <f t="shared" si="279"/>
        <v>0</v>
      </c>
      <c r="AL44" s="56"/>
      <c r="AM44" s="57"/>
      <c r="AN44" s="83" t="str">
        <f t="shared" si="280"/>
        <v/>
      </c>
      <c r="AO44" s="28" t="s">
        <v>64</v>
      </c>
      <c r="AP44" s="7">
        <f t="shared" si="281"/>
        <v>539</v>
      </c>
      <c r="AQ44" s="56">
        <v>539</v>
      </c>
      <c r="AR44" s="57"/>
      <c r="AS44" s="20">
        <f t="shared" si="282"/>
        <v>108.01603206412827</v>
      </c>
      <c r="AT44" s="7">
        <f t="shared" si="283"/>
        <v>549</v>
      </c>
      <c r="AU44" s="56">
        <v>549</v>
      </c>
      <c r="AV44" s="57"/>
      <c r="AW44" s="20">
        <f t="shared" si="284"/>
        <v>110.02004008016033</v>
      </c>
      <c r="AX44" s="7">
        <f t="shared" si="285"/>
        <v>0</v>
      </c>
      <c r="AY44" s="56"/>
      <c r="AZ44" s="57"/>
      <c r="BA44" s="83" t="str">
        <f t="shared" si="286"/>
        <v/>
      </c>
      <c r="BB44" s="28" t="s">
        <v>64</v>
      </c>
      <c r="BC44" s="7">
        <f t="shared" si="287"/>
        <v>600</v>
      </c>
      <c r="BD44" s="56">
        <v>600</v>
      </c>
      <c r="BE44" s="57"/>
      <c r="BF44" s="20">
        <f t="shared" si="288"/>
        <v>122.69938650306749</v>
      </c>
      <c r="BG44" s="7">
        <f t="shared" si="289"/>
        <v>499</v>
      </c>
      <c r="BH44" s="56">
        <v>499</v>
      </c>
      <c r="BI44" s="57"/>
      <c r="BJ44" s="20">
        <f t="shared" si="290"/>
        <v>100</v>
      </c>
      <c r="BK44" s="7">
        <f t="shared" si="291"/>
        <v>0</v>
      </c>
      <c r="BL44" s="56"/>
      <c r="BM44" s="57"/>
      <c r="BN44" s="83" t="str">
        <f t="shared" si="292"/>
        <v/>
      </c>
      <c r="BO44" s="28" t="s">
        <v>64</v>
      </c>
      <c r="BP44" s="7">
        <f t="shared" si="293"/>
        <v>489</v>
      </c>
      <c r="BQ44" s="56">
        <v>489</v>
      </c>
      <c r="BR44" s="57"/>
      <c r="BS44" s="20">
        <f t="shared" si="294"/>
        <v>100</v>
      </c>
      <c r="BT44" s="7">
        <f t="shared" si="295"/>
        <v>549</v>
      </c>
      <c r="BU44" s="56">
        <v>549</v>
      </c>
      <c r="BV44" s="57"/>
      <c r="BW44" s="20">
        <f t="shared" si="296"/>
        <v>110.02004008016033</v>
      </c>
      <c r="BX44" s="7">
        <f t="shared" si="297"/>
        <v>0</v>
      </c>
      <c r="BY44" s="56"/>
      <c r="BZ44" s="57"/>
      <c r="CA44" s="83">
        <f t="shared" si="298"/>
        <v>0</v>
      </c>
      <c r="CB44" s="28" t="s">
        <v>64</v>
      </c>
      <c r="CC44" s="7">
        <f t="shared" si="299"/>
        <v>0</v>
      </c>
      <c r="CD44" s="56"/>
      <c r="CE44" s="57"/>
      <c r="CF44" s="20" t="str">
        <f t="shared" si="300"/>
        <v/>
      </c>
      <c r="CG44" s="7">
        <f t="shared" si="301"/>
        <v>0</v>
      </c>
      <c r="CH44" s="56"/>
      <c r="CI44" s="57"/>
      <c r="CJ44" s="20" t="str">
        <f t="shared" si="302"/>
        <v/>
      </c>
      <c r="CK44" s="7">
        <f t="shared" si="303"/>
        <v>0</v>
      </c>
      <c r="CL44" s="56"/>
      <c r="CM44" s="57"/>
      <c r="CN44" s="83" t="str">
        <f t="shared" si="304"/>
        <v/>
      </c>
      <c r="CO44" s="28" t="s">
        <v>64</v>
      </c>
      <c r="CP44" s="7">
        <f t="shared" si="305"/>
        <v>600</v>
      </c>
      <c r="CQ44" s="56">
        <v>600</v>
      </c>
      <c r="CR44" s="57"/>
      <c r="CS44" s="20">
        <f t="shared" si="306"/>
        <v>122.69938650306749</v>
      </c>
      <c r="CT44" s="7">
        <f t="shared" si="307"/>
        <v>479</v>
      </c>
      <c r="CU44" s="56">
        <v>479</v>
      </c>
      <c r="CV44" s="57"/>
      <c r="CW44" s="20">
        <f t="shared" si="308"/>
        <v>95.991983967935866</v>
      </c>
      <c r="CX44" s="7">
        <f t="shared" si="309"/>
        <v>0</v>
      </c>
      <c r="CY44" s="56"/>
      <c r="CZ44" s="57"/>
      <c r="DA44" s="83" t="str">
        <f t="shared" si="310"/>
        <v/>
      </c>
      <c r="DB44" s="28" t="s">
        <v>64</v>
      </c>
      <c r="DC44" s="7">
        <f t="shared" si="311"/>
        <v>600</v>
      </c>
      <c r="DD44" s="56">
        <v>600</v>
      </c>
      <c r="DE44" s="57"/>
      <c r="DF44" s="20">
        <f t="shared" si="312"/>
        <v>122.69938650306749</v>
      </c>
      <c r="DG44" s="7">
        <f t="shared" si="313"/>
        <v>479</v>
      </c>
      <c r="DH44" s="56">
        <v>479</v>
      </c>
      <c r="DI44" s="57"/>
      <c r="DJ44" s="20">
        <f t="shared" si="314"/>
        <v>95.991983967935866</v>
      </c>
      <c r="DK44" s="7">
        <f t="shared" si="315"/>
        <v>0</v>
      </c>
      <c r="DL44" s="56"/>
      <c r="DM44" s="57"/>
      <c r="DN44" s="83" t="str">
        <f t="shared" si="316"/>
        <v/>
      </c>
      <c r="DO44" s="28" t="s">
        <v>64</v>
      </c>
      <c r="DP44" s="7">
        <f t="shared" si="317"/>
        <v>499</v>
      </c>
      <c r="DQ44" s="56">
        <v>499</v>
      </c>
      <c r="DR44" s="57"/>
      <c r="DS44" s="20">
        <f t="shared" si="318"/>
        <v>106.39658848614073</v>
      </c>
      <c r="DT44" s="7">
        <f t="shared" si="319"/>
        <v>549</v>
      </c>
      <c r="DU44" s="56">
        <v>549</v>
      </c>
      <c r="DV44" s="57"/>
      <c r="DW44" s="20">
        <f t="shared" si="320"/>
        <v>103.78071833648393</v>
      </c>
      <c r="DX44" s="7">
        <f t="shared" si="321"/>
        <v>0</v>
      </c>
      <c r="DY44" s="56"/>
      <c r="DZ44" s="57"/>
      <c r="EA44" s="83">
        <f t="shared" si="322"/>
        <v>0</v>
      </c>
      <c r="EB44" s="28" t="s">
        <v>64</v>
      </c>
      <c r="EC44" s="7">
        <f t="shared" si="323"/>
        <v>499</v>
      </c>
      <c r="ED44" s="56">
        <v>499</v>
      </c>
      <c r="EE44" s="57"/>
      <c r="EF44" s="20">
        <f t="shared" si="324"/>
        <v>106.39658848614073</v>
      </c>
      <c r="EG44" s="7">
        <f t="shared" si="325"/>
        <v>549</v>
      </c>
      <c r="EH44" s="56">
        <v>549</v>
      </c>
      <c r="EI44" s="57"/>
      <c r="EJ44" s="20">
        <f t="shared" si="326"/>
        <v>103.78071833648393</v>
      </c>
      <c r="EK44" s="7">
        <f t="shared" si="327"/>
        <v>0</v>
      </c>
      <c r="EL44" s="56"/>
      <c r="EM44" s="57"/>
      <c r="EN44" s="83">
        <f t="shared" si="328"/>
        <v>0</v>
      </c>
    </row>
    <row r="45" spans="2:144" outlineLevel="1" x14ac:dyDescent="0.3">
      <c r="B45" s="28" t="s">
        <v>65</v>
      </c>
      <c r="C45" s="7">
        <f t="shared" si="263"/>
        <v>499</v>
      </c>
      <c r="D45" s="56">
        <v>499</v>
      </c>
      <c r="E45" s="57"/>
      <c r="F45" s="20">
        <f t="shared" si="264"/>
        <v>71.695402298850581</v>
      </c>
      <c r="G45" s="7">
        <f t="shared" si="265"/>
        <v>499</v>
      </c>
      <c r="H45" s="56">
        <v>499</v>
      </c>
      <c r="I45" s="57"/>
      <c r="J45" s="20">
        <f t="shared" si="266"/>
        <v>94.328922495274099</v>
      </c>
      <c r="K45" s="7">
        <f t="shared" si="267"/>
        <v>449</v>
      </c>
      <c r="L45" s="56">
        <v>449</v>
      </c>
      <c r="M45" s="57"/>
      <c r="N45" s="83">
        <f t="shared" si="268"/>
        <v>89.979959919839686</v>
      </c>
      <c r="O45" s="28" t="s">
        <v>65</v>
      </c>
      <c r="P45" s="7">
        <f t="shared" si="269"/>
        <v>449</v>
      </c>
      <c r="Q45" s="56">
        <v>449</v>
      </c>
      <c r="R45" s="57"/>
      <c r="S45" s="20">
        <f t="shared" si="270"/>
        <v>65.8357771260997</v>
      </c>
      <c r="T45" s="7">
        <f t="shared" si="271"/>
        <v>479</v>
      </c>
      <c r="U45" s="56">
        <v>479</v>
      </c>
      <c r="V45" s="57"/>
      <c r="W45" s="20">
        <f t="shared" si="272"/>
        <v>100</v>
      </c>
      <c r="X45" s="7">
        <f t="shared" si="273"/>
        <v>495</v>
      </c>
      <c r="Y45" s="56">
        <v>495</v>
      </c>
      <c r="Z45" s="57"/>
      <c r="AA45" s="83">
        <f t="shared" si="274"/>
        <v>103.34029227557411</v>
      </c>
      <c r="AB45" s="28" t="s">
        <v>65</v>
      </c>
      <c r="AC45" s="7">
        <f t="shared" si="275"/>
        <v>0</v>
      </c>
      <c r="AD45" s="56"/>
      <c r="AE45" s="57"/>
      <c r="AF45" s="20" t="str">
        <f t="shared" si="276"/>
        <v/>
      </c>
      <c r="AG45" s="7">
        <f t="shared" si="277"/>
        <v>0</v>
      </c>
      <c r="AH45" s="56"/>
      <c r="AI45" s="57"/>
      <c r="AJ45" s="20" t="str">
        <f t="shared" si="278"/>
        <v/>
      </c>
      <c r="AK45" s="7">
        <f t="shared" si="279"/>
        <v>0</v>
      </c>
      <c r="AL45" s="56"/>
      <c r="AM45" s="57"/>
      <c r="AN45" s="83" t="str">
        <f t="shared" si="280"/>
        <v/>
      </c>
      <c r="AO45" s="28" t="s">
        <v>65</v>
      </c>
      <c r="AP45" s="7">
        <f t="shared" si="281"/>
        <v>449</v>
      </c>
      <c r="AQ45" s="56">
        <v>449</v>
      </c>
      <c r="AR45" s="57"/>
      <c r="AS45" s="20">
        <f t="shared" si="282"/>
        <v>91.820040899795501</v>
      </c>
      <c r="AT45" s="7">
        <f t="shared" si="283"/>
        <v>449</v>
      </c>
      <c r="AU45" s="56">
        <v>449</v>
      </c>
      <c r="AV45" s="57"/>
      <c r="AW45" s="20">
        <f t="shared" si="284"/>
        <v>89.979959919839686</v>
      </c>
      <c r="AX45" s="7">
        <f t="shared" si="285"/>
        <v>0</v>
      </c>
      <c r="AY45" s="56"/>
      <c r="AZ45" s="57"/>
      <c r="BA45" s="83" t="str">
        <f t="shared" si="286"/>
        <v/>
      </c>
      <c r="BB45" s="28" t="s">
        <v>65</v>
      </c>
      <c r="BC45" s="7">
        <f t="shared" si="287"/>
        <v>449</v>
      </c>
      <c r="BD45" s="56">
        <v>449</v>
      </c>
      <c r="BE45" s="57"/>
      <c r="BF45" s="20">
        <f t="shared" si="288"/>
        <v>91.820040899795501</v>
      </c>
      <c r="BG45" s="7">
        <f t="shared" si="289"/>
        <v>449</v>
      </c>
      <c r="BH45" s="56">
        <v>449</v>
      </c>
      <c r="BI45" s="57"/>
      <c r="BJ45" s="20">
        <f t="shared" si="290"/>
        <v>89.979959919839686</v>
      </c>
      <c r="BK45" s="7">
        <f t="shared" si="291"/>
        <v>0</v>
      </c>
      <c r="BL45" s="56"/>
      <c r="BM45" s="57"/>
      <c r="BN45" s="83" t="str">
        <f t="shared" si="292"/>
        <v/>
      </c>
      <c r="BO45" s="28" t="s">
        <v>65</v>
      </c>
      <c r="BP45" s="7">
        <f t="shared" si="293"/>
        <v>449</v>
      </c>
      <c r="BQ45" s="56">
        <v>449</v>
      </c>
      <c r="BR45" s="57"/>
      <c r="BS45" s="20">
        <f t="shared" si="294"/>
        <v>91.820040899795501</v>
      </c>
      <c r="BT45" s="7">
        <f t="shared" si="295"/>
        <v>449</v>
      </c>
      <c r="BU45" s="56">
        <v>449</v>
      </c>
      <c r="BV45" s="57"/>
      <c r="BW45" s="20">
        <f t="shared" si="296"/>
        <v>89.979959919839686</v>
      </c>
      <c r="BX45" s="7">
        <f t="shared" si="297"/>
        <v>444</v>
      </c>
      <c r="BY45" s="56">
        <v>444</v>
      </c>
      <c r="BZ45" s="57"/>
      <c r="CA45" s="83">
        <f t="shared" si="298"/>
        <v>90.797546012269933</v>
      </c>
      <c r="CB45" s="28" t="s">
        <v>65</v>
      </c>
      <c r="CC45" s="7">
        <f t="shared" si="299"/>
        <v>0</v>
      </c>
      <c r="CD45" s="56"/>
      <c r="CE45" s="57"/>
      <c r="CF45" s="20" t="str">
        <f t="shared" si="300"/>
        <v/>
      </c>
      <c r="CG45" s="7">
        <f t="shared" si="301"/>
        <v>0</v>
      </c>
      <c r="CH45" s="56"/>
      <c r="CI45" s="57"/>
      <c r="CJ45" s="20" t="str">
        <f t="shared" si="302"/>
        <v/>
      </c>
      <c r="CK45" s="7">
        <f t="shared" si="303"/>
        <v>0</v>
      </c>
      <c r="CL45" s="56"/>
      <c r="CM45" s="57"/>
      <c r="CN45" s="83" t="str">
        <f t="shared" si="304"/>
        <v/>
      </c>
      <c r="CO45" s="28" t="s">
        <v>65</v>
      </c>
      <c r="CP45" s="7">
        <f t="shared" si="305"/>
        <v>449</v>
      </c>
      <c r="CQ45" s="56">
        <v>449</v>
      </c>
      <c r="CR45" s="57"/>
      <c r="CS45" s="20">
        <f t="shared" si="306"/>
        <v>90.160642570281126</v>
      </c>
      <c r="CT45" s="7">
        <f t="shared" si="307"/>
        <v>529</v>
      </c>
      <c r="CU45" s="56">
        <v>529</v>
      </c>
      <c r="CV45" s="57"/>
      <c r="CW45" s="20">
        <f t="shared" si="308"/>
        <v>106.01202404809619</v>
      </c>
      <c r="CX45" s="7">
        <f t="shared" si="309"/>
        <v>0</v>
      </c>
      <c r="CY45" s="56"/>
      <c r="CZ45" s="57"/>
      <c r="DA45" s="83" t="str">
        <f t="shared" si="310"/>
        <v/>
      </c>
      <c r="DB45" s="28" t="s">
        <v>65</v>
      </c>
      <c r="DC45" s="7">
        <f t="shared" si="311"/>
        <v>449</v>
      </c>
      <c r="DD45" s="56">
        <v>449</v>
      </c>
      <c r="DE45" s="57"/>
      <c r="DF45" s="20">
        <f t="shared" si="312"/>
        <v>90.160642570281126</v>
      </c>
      <c r="DG45" s="7">
        <f t="shared" si="313"/>
        <v>529</v>
      </c>
      <c r="DH45" s="56">
        <v>529</v>
      </c>
      <c r="DI45" s="57"/>
      <c r="DJ45" s="20">
        <f t="shared" si="314"/>
        <v>106.01202404809619</v>
      </c>
      <c r="DK45" s="7">
        <f t="shared" si="315"/>
        <v>0</v>
      </c>
      <c r="DL45" s="56"/>
      <c r="DM45" s="57"/>
      <c r="DN45" s="83" t="str">
        <f t="shared" si="316"/>
        <v/>
      </c>
      <c r="DO45" s="28" t="s">
        <v>65</v>
      </c>
      <c r="DP45" s="7">
        <f t="shared" si="317"/>
        <v>449</v>
      </c>
      <c r="DQ45" s="56">
        <v>449</v>
      </c>
      <c r="DR45" s="57"/>
      <c r="DS45" s="20">
        <f t="shared" si="318"/>
        <v>90.160642570281126</v>
      </c>
      <c r="DT45" s="7">
        <f t="shared" si="319"/>
        <v>449</v>
      </c>
      <c r="DU45" s="56">
        <v>449</v>
      </c>
      <c r="DV45" s="57"/>
      <c r="DW45" s="20">
        <f t="shared" si="320"/>
        <v>89.979959919839686</v>
      </c>
      <c r="DX45" s="7">
        <f t="shared" si="321"/>
        <v>387</v>
      </c>
      <c r="DY45" s="56">
        <v>387</v>
      </c>
      <c r="DZ45" s="57"/>
      <c r="EA45" s="83">
        <f t="shared" si="322"/>
        <v>79.141104294478524</v>
      </c>
      <c r="EB45" s="28" t="s">
        <v>65</v>
      </c>
      <c r="EC45" s="7">
        <f t="shared" si="323"/>
        <v>449</v>
      </c>
      <c r="ED45" s="56">
        <v>449</v>
      </c>
      <c r="EE45" s="57"/>
      <c r="EF45" s="20">
        <f t="shared" si="324"/>
        <v>90.160642570281126</v>
      </c>
      <c r="EG45" s="7">
        <f t="shared" si="325"/>
        <v>449</v>
      </c>
      <c r="EH45" s="56">
        <v>449</v>
      </c>
      <c r="EI45" s="57"/>
      <c r="EJ45" s="20">
        <f t="shared" si="326"/>
        <v>89.979959919839686</v>
      </c>
      <c r="EK45" s="7">
        <f t="shared" si="327"/>
        <v>387</v>
      </c>
      <c r="EL45" s="56">
        <v>387</v>
      </c>
      <c r="EM45" s="57"/>
      <c r="EN45" s="83">
        <f t="shared" si="328"/>
        <v>79.141104294478524</v>
      </c>
    </row>
    <row r="46" spans="2:144" outlineLevel="1" x14ac:dyDescent="0.3">
      <c r="B46" s="28" t="s">
        <v>66</v>
      </c>
      <c r="C46" s="7">
        <f t="shared" si="263"/>
        <v>399</v>
      </c>
      <c r="D46" s="56">
        <v>399</v>
      </c>
      <c r="E46" s="57"/>
      <c r="F46" s="20">
        <f t="shared" si="264"/>
        <v>74.859287054409009</v>
      </c>
      <c r="G46" s="7">
        <f t="shared" si="265"/>
        <v>399</v>
      </c>
      <c r="H46" s="56">
        <v>399</v>
      </c>
      <c r="I46" s="57"/>
      <c r="J46" s="20">
        <f t="shared" si="266"/>
        <v>93.006993006993014</v>
      </c>
      <c r="K46" s="7">
        <f t="shared" si="267"/>
        <v>399</v>
      </c>
      <c r="L46" s="56">
        <v>399</v>
      </c>
      <c r="M46" s="57"/>
      <c r="N46" s="83">
        <f t="shared" si="268"/>
        <v>114.32664756446991</v>
      </c>
      <c r="O46" s="28" t="s">
        <v>66</v>
      </c>
      <c r="P46" s="7">
        <f t="shared" si="269"/>
        <v>389</v>
      </c>
      <c r="Q46" s="56">
        <v>389</v>
      </c>
      <c r="R46" s="57"/>
      <c r="S46" s="20">
        <f t="shared" si="270"/>
        <v>102.63852242744062</v>
      </c>
      <c r="T46" s="7">
        <f t="shared" si="271"/>
        <v>399</v>
      </c>
      <c r="U46" s="56">
        <v>399</v>
      </c>
      <c r="V46" s="57"/>
      <c r="W46" s="20">
        <f t="shared" si="272"/>
        <v>100</v>
      </c>
      <c r="X46" s="7">
        <f t="shared" si="273"/>
        <v>486</v>
      </c>
      <c r="Y46" s="56">
        <v>486</v>
      </c>
      <c r="Z46" s="57"/>
      <c r="AA46" s="83">
        <f t="shared" si="274"/>
        <v>139.65517241379311</v>
      </c>
      <c r="AB46" s="28" t="s">
        <v>66</v>
      </c>
      <c r="AC46" s="7">
        <f t="shared" si="275"/>
        <v>0</v>
      </c>
      <c r="AD46" s="56"/>
      <c r="AE46" s="57"/>
      <c r="AF46" s="20" t="str">
        <f t="shared" si="276"/>
        <v/>
      </c>
      <c r="AG46" s="7">
        <f t="shared" si="277"/>
        <v>0</v>
      </c>
      <c r="AH46" s="56"/>
      <c r="AI46" s="57"/>
      <c r="AJ46" s="20" t="str">
        <f t="shared" si="278"/>
        <v/>
      </c>
      <c r="AK46" s="7">
        <f t="shared" si="279"/>
        <v>0</v>
      </c>
      <c r="AL46" s="56"/>
      <c r="AM46" s="57"/>
      <c r="AN46" s="83" t="str">
        <f t="shared" si="280"/>
        <v/>
      </c>
      <c r="AO46" s="28" t="s">
        <v>66</v>
      </c>
      <c r="AP46" s="7">
        <f t="shared" si="281"/>
        <v>369</v>
      </c>
      <c r="AQ46" s="56">
        <v>369</v>
      </c>
      <c r="AR46" s="57"/>
      <c r="AS46" s="20">
        <f t="shared" si="282"/>
        <v>82.182628062360791</v>
      </c>
      <c r="AT46" s="7">
        <f t="shared" si="283"/>
        <v>369</v>
      </c>
      <c r="AU46" s="56">
        <v>369</v>
      </c>
      <c r="AV46" s="57"/>
      <c r="AW46" s="20">
        <f t="shared" si="284"/>
        <v>82.182628062360791</v>
      </c>
      <c r="AX46" s="7">
        <f t="shared" si="285"/>
        <v>0</v>
      </c>
      <c r="AY46" s="56"/>
      <c r="AZ46" s="57"/>
      <c r="BA46" s="83" t="str">
        <f t="shared" si="286"/>
        <v/>
      </c>
      <c r="BB46" s="28" t="s">
        <v>66</v>
      </c>
      <c r="BC46" s="7">
        <f t="shared" si="287"/>
        <v>379</v>
      </c>
      <c r="BD46" s="56">
        <v>379</v>
      </c>
      <c r="BE46" s="57"/>
      <c r="BF46" s="20">
        <f t="shared" si="288"/>
        <v>69.034608378870672</v>
      </c>
      <c r="BG46" s="7">
        <f t="shared" si="289"/>
        <v>379</v>
      </c>
      <c r="BH46" s="56">
        <v>379</v>
      </c>
      <c r="BI46" s="57"/>
      <c r="BJ46" s="20">
        <f t="shared" si="290"/>
        <v>84.409799554565694</v>
      </c>
      <c r="BK46" s="7">
        <f t="shared" si="291"/>
        <v>0</v>
      </c>
      <c r="BL46" s="56"/>
      <c r="BM46" s="57"/>
      <c r="BN46" s="83" t="str">
        <f t="shared" si="292"/>
        <v/>
      </c>
      <c r="BO46" s="28" t="s">
        <v>66</v>
      </c>
      <c r="BP46" s="7">
        <f t="shared" si="293"/>
        <v>379</v>
      </c>
      <c r="BQ46" s="56">
        <v>379</v>
      </c>
      <c r="BR46" s="57"/>
      <c r="BS46" s="20">
        <f t="shared" si="294"/>
        <v>70.315398886827467</v>
      </c>
      <c r="BT46" s="7">
        <f t="shared" si="295"/>
        <v>379</v>
      </c>
      <c r="BU46" s="56">
        <v>379</v>
      </c>
      <c r="BV46" s="57"/>
      <c r="BW46" s="20" t="str">
        <f t="shared" si="296"/>
        <v/>
      </c>
      <c r="BX46" s="7">
        <f t="shared" si="297"/>
        <v>0</v>
      </c>
      <c r="BY46" s="56"/>
      <c r="BZ46" s="57"/>
      <c r="CA46" s="83">
        <f t="shared" si="298"/>
        <v>0</v>
      </c>
      <c r="CB46" s="28" t="s">
        <v>66</v>
      </c>
      <c r="CC46" s="7">
        <f t="shared" si="299"/>
        <v>0</v>
      </c>
      <c r="CD46" s="56"/>
      <c r="CE46" s="57"/>
      <c r="CF46" s="20" t="str">
        <f t="shared" si="300"/>
        <v/>
      </c>
      <c r="CG46" s="7">
        <f t="shared" si="301"/>
        <v>0</v>
      </c>
      <c r="CH46" s="56"/>
      <c r="CI46" s="57"/>
      <c r="CJ46" s="20" t="str">
        <f t="shared" si="302"/>
        <v/>
      </c>
      <c r="CK46" s="7">
        <f t="shared" si="303"/>
        <v>0</v>
      </c>
      <c r="CL46" s="56"/>
      <c r="CM46" s="57"/>
      <c r="CN46" s="83" t="str">
        <f t="shared" si="304"/>
        <v/>
      </c>
      <c r="CO46" s="28" t="s">
        <v>66</v>
      </c>
      <c r="CP46" s="7">
        <f t="shared" si="305"/>
        <v>379</v>
      </c>
      <c r="CQ46" s="56">
        <v>379</v>
      </c>
      <c r="CR46" s="57"/>
      <c r="CS46" s="20">
        <f t="shared" si="306"/>
        <v>70.315398886827467</v>
      </c>
      <c r="CT46" s="7">
        <f t="shared" si="307"/>
        <v>379</v>
      </c>
      <c r="CU46" s="56">
        <v>379</v>
      </c>
      <c r="CV46" s="57"/>
      <c r="CW46" s="20" t="str">
        <f t="shared" si="308"/>
        <v/>
      </c>
      <c r="CX46" s="7">
        <f t="shared" si="309"/>
        <v>0</v>
      </c>
      <c r="CY46" s="56"/>
      <c r="CZ46" s="57"/>
      <c r="DA46" s="83" t="str">
        <f t="shared" si="310"/>
        <v/>
      </c>
      <c r="DB46" s="28" t="s">
        <v>66</v>
      </c>
      <c r="DC46" s="7">
        <f t="shared" si="311"/>
        <v>359</v>
      </c>
      <c r="DD46" s="56">
        <v>359</v>
      </c>
      <c r="DE46" s="57"/>
      <c r="DF46" s="20" t="str">
        <f t="shared" si="312"/>
        <v/>
      </c>
      <c r="DG46" s="7">
        <f t="shared" si="313"/>
        <v>379</v>
      </c>
      <c r="DH46" s="56">
        <v>379</v>
      </c>
      <c r="DI46" s="57"/>
      <c r="DJ46" s="20" t="str">
        <f t="shared" si="314"/>
        <v/>
      </c>
      <c r="DK46" s="7">
        <f t="shared" si="315"/>
        <v>0</v>
      </c>
      <c r="DL46" s="56"/>
      <c r="DM46" s="57"/>
      <c r="DN46" s="83" t="str">
        <f t="shared" si="316"/>
        <v/>
      </c>
      <c r="DO46" s="28" t="s">
        <v>66</v>
      </c>
      <c r="DP46" s="7">
        <f t="shared" si="317"/>
        <v>379</v>
      </c>
      <c r="DQ46" s="56">
        <v>379</v>
      </c>
      <c r="DR46" s="57"/>
      <c r="DS46" s="20">
        <f t="shared" si="318"/>
        <v>69.034608378870672</v>
      </c>
      <c r="DT46" s="7">
        <f t="shared" si="319"/>
        <v>379</v>
      </c>
      <c r="DU46" s="56">
        <v>379</v>
      </c>
      <c r="DV46" s="57"/>
      <c r="DW46" s="20">
        <f t="shared" si="320"/>
        <v>79.123173277661792</v>
      </c>
      <c r="DX46" s="7">
        <f t="shared" si="321"/>
        <v>0</v>
      </c>
      <c r="DY46" s="56"/>
      <c r="DZ46" s="57"/>
      <c r="EA46" s="83">
        <f t="shared" si="322"/>
        <v>0</v>
      </c>
      <c r="EB46" s="28" t="s">
        <v>66</v>
      </c>
      <c r="EC46" s="7">
        <f t="shared" si="323"/>
        <v>379</v>
      </c>
      <c r="ED46" s="56">
        <v>379</v>
      </c>
      <c r="EE46" s="57"/>
      <c r="EF46" s="20">
        <f t="shared" si="324"/>
        <v>69.034608378870672</v>
      </c>
      <c r="EG46" s="7">
        <f t="shared" si="325"/>
        <v>379</v>
      </c>
      <c r="EH46" s="56">
        <v>379</v>
      </c>
      <c r="EI46" s="57"/>
      <c r="EJ46" s="20">
        <f t="shared" si="326"/>
        <v>79.123173277661792</v>
      </c>
      <c r="EK46" s="7">
        <f t="shared" si="327"/>
        <v>0</v>
      </c>
      <c r="EL46" s="56"/>
      <c r="EM46" s="57"/>
      <c r="EN46" s="83">
        <f t="shared" si="328"/>
        <v>0</v>
      </c>
    </row>
    <row r="47" spans="2:144" outlineLevel="1" x14ac:dyDescent="0.3">
      <c r="B47" s="28"/>
      <c r="C47" s="7"/>
      <c r="D47" s="56"/>
      <c r="E47" s="57"/>
      <c r="F47" s="20"/>
      <c r="G47" s="7"/>
      <c r="H47" s="56"/>
      <c r="I47" s="57"/>
      <c r="J47" s="20"/>
      <c r="K47" s="8"/>
      <c r="L47" s="58"/>
      <c r="M47" s="59"/>
      <c r="N47" s="83"/>
      <c r="O47" s="28"/>
      <c r="P47" s="7"/>
      <c r="Q47" s="56"/>
      <c r="R47" s="57"/>
      <c r="S47" s="20"/>
      <c r="T47" s="7"/>
      <c r="U47" s="56"/>
      <c r="V47" s="57"/>
      <c r="W47" s="20"/>
      <c r="X47" s="8"/>
      <c r="Y47" s="58"/>
      <c r="Z47" s="59"/>
      <c r="AA47" s="83"/>
      <c r="AB47" s="28"/>
      <c r="AC47" s="7"/>
      <c r="AD47" s="56"/>
      <c r="AE47" s="57"/>
      <c r="AF47" s="20"/>
      <c r="AG47" s="7"/>
      <c r="AH47" s="56"/>
      <c r="AI47" s="57"/>
      <c r="AJ47" s="20"/>
      <c r="AK47" s="8"/>
      <c r="AL47" s="58"/>
      <c r="AM47" s="59"/>
      <c r="AN47" s="83"/>
      <c r="AO47" s="28"/>
      <c r="AP47" s="7"/>
      <c r="AQ47" s="56"/>
      <c r="AR47" s="57"/>
      <c r="AS47" s="20"/>
      <c r="AT47" s="7"/>
      <c r="AU47" s="56"/>
      <c r="AV47" s="57"/>
      <c r="AW47" s="20"/>
      <c r="AX47" s="8"/>
      <c r="AY47" s="58"/>
      <c r="AZ47" s="59"/>
      <c r="BA47" s="83"/>
      <c r="BB47" s="28"/>
      <c r="BC47" s="7"/>
      <c r="BD47" s="56"/>
      <c r="BE47" s="57"/>
      <c r="BF47" s="20"/>
      <c r="BG47" s="7"/>
      <c r="BH47" s="56"/>
      <c r="BI47" s="57"/>
      <c r="BJ47" s="20"/>
      <c r="BK47" s="8"/>
      <c r="BL47" s="58"/>
      <c r="BM47" s="59"/>
      <c r="BN47" s="83"/>
      <c r="BO47" s="28"/>
      <c r="BP47" s="7"/>
      <c r="BQ47" s="56"/>
      <c r="BR47" s="57"/>
      <c r="BS47" s="20"/>
      <c r="BT47" s="7"/>
      <c r="BU47" s="56"/>
      <c r="BV47" s="57"/>
      <c r="BW47" s="20"/>
      <c r="BX47" s="8"/>
      <c r="BY47" s="58"/>
      <c r="BZ47" s="59"/>
      <c r="CA47" s="83"/>
      <c r="CB47" s="28"/>
      <c r="CC47" s="7"/>
      <c r="CD47" s="56"/>
      <c r="CE47" s="57"/>
      <c r="CF47" s="20"/>
      <c r="CG47" s="7"/>
      <c r="CH47" s="56"/>
      <c r="CI47" s="57"/>
      <c r="CJ47" s="20"/>
      <c r="CK47" s="8"/>
      <c r="CL47" s="58"/>
      <c r="CM47" s="59"/>
      <c r="CN47" s="83"/>
      <c r="CO47" s="28"/>
      <c r="CP47" s="7"/>
      <c r="CQ47" s="56"/>
      <c r="CR47" s="57"/>
      <c r="CS47" s="20"/>
      <c r="CT47" s="7"/>
      <c r="CU47" s="56"/>
      <c r="CV47" s="57"/>
      <c r="CW47" s="20"/>
      <c r="CX47" s="8"/>
      <c r="CY47" s="58"/>
      <c r="CZ47" s="59"/>
      <c r="DA47" s="83"/>
      <c r="DB47" s="28"/>
      <c r="DC47" s="7"/>
      <c r="DD47" s="56"/>
      <c r="DE47" s="57"/>
      <c r="DF47" s="20"/>
      <c r="DG47" s="7"/>
      <c r="DH47" s="56"/>
      <c r="DI47" s="57"/>
      <c r="DJ47" s="20"/>
      <c r="DK47" s="8"/>
      <c r="DL47" s="58"/>
      <c r="DM47" s="59"/>
      <c r="DN47" s="83"/>
      <c r="DO47" s="28"/>
      <c r="DP47" s="7"/>
      <c r="DQ47" s="56"/>
      <c r="DR47" s="57"/>
      <c r="DS47" s="20"/>
      <c r="DT47" s="7"/>
      <c r="DU47" s="56"/>
      <c r="DV47" s="57"/>
      <c r="DW47" s="20"/>
      <c r="DX47" s="8"/>
      <c r="DY47" s="58"/>
      <c r="DZ47" s="59"/>
      <c r="EA47" s="83"/>
      <c r="EB47" s="28"/>
      <c r="EC47" s="7"/>
      <c r="ED47" s="56"/>
      <c r="EE47" s="57"/>
      <c r="EF47" s="20"/>
      <c r="EG47" s="7"/>
      <c r="EH47" s="56"/>
      <c r="EI47" s="57"/>
      <c r="EJ47" s="20"/>
      <c r="EK47" s="8"/>
      <c r="EL47" s="58"/>
      <c r="EM47" s="59"/>
      <c r="EN47" s="83"/>
    </row>
    <row r="48" spans="2:144" outlineLevel="1" x14ac:dyDescent="0.3">
      <c r="B48" s="28" t="s">
        <v>16</v>
      </c>
      <c r="C48" s="7">
        <f t="shared" ref="C48:C54" si="329">D48-E48</f>
        <v>4999</v>
      </c>
      <c r="D48" s="56">
        <v>4999</v>
      </c>
      <c r="E48" s="57"/>
      <c r="F48" s="20"/>
      <c r="G48" s="7">
        <f t="shared" ref="G48:G52" si="330">H48-I48</f>
        <v>0</v>
      </c>
      <c r="H48" s="56"/>
      <c r="I48" s="57"/>
      <c r="J48" s="20"/>
      <c r="K48" s="7"/>
      <c r="L48" s="56"/>
      <c r="M48" s="57"/>
      <c r="N48" s="83"/>
      <c r="O48" s="28" t="s">
        <v>16</v>
      </c>
      <c r="P48" s="7">
        <f t="shared" ref="P48:P54" si="331">Q48-R48</f>
        <v>4604</v>
      </c>
      <c r="Q48" s="56">
        <v>4604</v>
      </c>
      <c r="R48" s="57"/>
      <c r="S48" s="20"/>
      <c r="T48" s="7">
        <f t="shared" ref="T48:T53" si="332">U48-V48</f>
        <v>0</v>
      </c>
      <c r="U48" s="56"/>
      <c r="V48" s="57"/>
      <c r="W48" s="20"/>
      <c r="X48" s="7"/>
      <c r="Y48" s="56">
        <v>2079</v>
      </c>
      <c r="Z48" s="57"/>
      <c r="AA48" s="83"/>
      <c r="AB48" s="28" t="s">
        <v>16</v>
      </c>
      <c r="AC48" s="7">
        <f t="shared" ref="AC48:AC54" si="333">AD48-AE48</f>
        <v>0</v>
      </c>
      <c r="AD48" s="56"/>
      <c r="AE48" s="57"/>
      <c r="AF48" s="20"/>
      <c r="AG48" s="7">
        <f t="shared" ref="AG48:AG53" si="334">AH48-AI48</f>
        <v>0</v>
      </c>
      <c r="AH48" s="56"/>
      <c r="AI48" s="57"/>
      <c r="AJ48" s="20"/>
      <c r="AK48" s="7"/>
      <c r="AL48" s="56"/>
      <c r="AM48" s="57"/>
      <c r="AN48" s="83"/>
      <c r="AO48" s="28" t="s">
        <v>16</v>
      </c>
      <c r="AP48" s="7">
        <f t="shared" ref="AP48:AP54" si="335">AQ48-AR48</f>
        <v>2999</v>
      </c>
      <c r="AQ48" s="56">
        <v>2999</v>
      </c>
      <c r="AR48" s="57"/>
      <c r="AS48" s="20"/>
      <c r="AT48" s="7">
        <f t="shared" ref="AT48:AT53" si="336">AU48-AV48</f>
        <v>0</v>
      </c>
      <c r="AU48" s="56"/>
      <c r="AV48" s="57"/>
      <c r="AW48" s="20"/>
      <c r="AX48" s="7"/>
      <c r="AY48" s="56"/>
      <c r="AZ48" s="57"/>
      <c r="BA48" s="83"/>
      <c r="BB48" s="28" t="s">
        <v>16</v>
      </c>
      <c r="BC48" s="7">
        <f t="shared" ref="BC48:BC54" si="337">BD48-BE48</f>
        <v>2999</v>
      </c>
      <c r="BD48" s="56">
        <v>2999</v>
      </c>
      <c r="BE48" s="57"/>
      <c r="BF48" s="20"/>
      <c r="BG48" s="7">
        <f t="shared" ref="BG48:BG54" si="338">BH48-BI48</f>
        <v>0</v>
      </c>
      <c r="BH48" s="56"/>
      <c r="BI48" s="57"/>
      <c r="BJ48" s="20"/>
      <c r="BK48" s="7"/>
      <c r="BL48" s="56"/>
      <c r="BM48" s="57"/>
      <c r="BN48" s="83"/>
      <c r="BO48" s="28" t="s">
        <v>16</v>
      </c>
      <c r="BP48" s="7">
        <f t="shared" ref="BP48:BP54" si="339">BQ48-BR48</f>
        <v>2999</v>
      </c>
      <c r="BQ48" s="56">
        <v>2999</v>
      </c>
      <c r="BR48" s="57"/>
      <c r="BS48" s="20"/>
      <c r="BT48" s="7">
        <f t="shared" ref="BT48:BT54" si="340">BU48-BV48</f>
        <v>0</v>
      </c>
      <c r="BU48" s="56"/>
      <c r="BV48" s="57"/>
      <c r="BW48" s="20"/>
      <c r="BX48" s="7"/>
      <c r="BY48" s="56"/>
      <c r="BZ48" s="57"/>
      <c r="CA48" s="83"/>
      <c r="CB48" s="28" t="s">
        <v>16</v>
      </c>
      <c r="CC48" s="7">
        <f t="shared" ref="CC48:CC54" si="341">CD48-CE48</f>
        <v>0</v>
      </c>
      <c r="CD48" s="56"/>
      <c r="CE48" s="57"/>
      <c r="CF48" s="20"/>
      <c r="CG48" s="7">
        <f t="shared" ref="CG48:CG54" si="342">CH48-CI48</f>
        <v>0</v>
      </c>
      <c r="CH48" s="56"/>
      <c r="CI48" s="57"/>
      <c r="CJ48" s="20"/>
      <c r="CK48" s="7"/>
      <c r="CL48" s="56"/>
      <c r="CM48" s="57"/>
      <c r="CN48" s="83"/>
      <c r="CO48" s="28" t="s">
        <v>16</v>
      </c>
      <c r="CP48" s="7">
        <f t="shared" ref="CP48:CP54" si="343">CQ48-CR48</f>
        <v>2879</v>
      </c>
      <c r="CQ48" s="56">
        <v>2879</v>
      </c>
      <c r="CR48" s="57"/>
      <c r="CS48" s="20"/>
      <c r="CT48" s="7">
        <f t="shared" ref="CT48:CT54" si="344">CU48-CV48</f>
        <v>0</v>
      </c>
      <c r="CU48" s="56"/>
      <c r="CV48" s="57"/>
      <c r="CW48" s="20"/>
      <c r="CX48" s="7"/>
      <c r="CY48" s="56"/>
      <c r="CZ48" s="57"/>
      <c r="DA48" s="83"/>
      <c r="DB48" s="28" t="s">
        <v>16</v>
      </c>
      <c r="DC48" s="7">
        <f t="shared" ref="DC48:DC54" si="345">DD48-DE48</f>
        <v>2999</v>
      </c>
      <c r="DD48" s="56">
        <v>2999</v>
      </c>
      <c r="DE48" s="57"/>
      <c r="DF48" s="20"/>
      <c r="DG48" s="7">
        <f t="shared" ref="DG48:DG54" si="346">DH48-DI48</f>
        <v>0</v>
      </c>
      <c r="DH48" s="56"/>
      <c r="DI48" s="57"/>
      <c r="DJ48" s="20"/>
      <c r="DK48" s="7"/>
      <c r="DL48" s="56"/>
      <c r="DM48" s="57"/>
      <c r="DN48" s="83"/>
      <c r="DO48" s="28" t="s">
        <v>16</v>
      </c>
      <c r="DP48" s="7">
        <f t="shared" ref="DP48:DP54" si="347">DQ48-DR48</f>
        <v>2999</v>
      </c>
      <c r="DQ48" s="56">
        <v>2999</v>
      </c>
      <c r="DR48" s="57"/>
      <c r="DS48" s="20"/>
      <c r="DT48" s="7">
        <f t="shared" ref="DT48:DT54" si="348">DU48-DV48</f>
        <v>0</v>
      </c>
      <c r="DU48" s="56"/>
      <c r="DV48" s="57"/>
      <c r="DW48" s="20"/>
      <c r="DX48" s="7"/>
      <c r="DY48" s="56"/>
      <c r="DZ48" s="57"/>
      <c r="EA48" s="83"/>
      <c r="EB48" s="28" t="s">
        <v>16</v>
      </c>
      <c r="EC48" s="7">
        <f t="shared" ref="EC48:EC54" si="349">ED48-EE48</f>
        <v>2999</v>
      </c>
      <c r="ED48" s="56">
        <v>2999</v>
      </c>
      <c r="EE48" s="57"/>
      <c r="EF48" s="20"/>
      <c r="EG48" s="7">
        <f t="shared" ref="EG48:EG54" si="350">EH48-EI48</f>
        <v>0</v>
      </c>
      <c r="EH48" s="56"/>
      <c r="EI48" s="57"/>
      <c r="EJ48" s="20"/>
      <c r="EK48" s="7"/>
      <c r="EL48" s="56"/>
      <c r="EM48" s="57"/>
      <c r="EN48" s="83"/>
    </row>
    <row r="49" spans="2:144" outlineLevel="1" x14ac:dyDescent="0.3">
      <c r="B49" s="28" t="s">
        <v>15</v>
      </c>
      <c r="C49" s="7">
        <f t="shared" si="329"/>
        <v>1890</v>
      </c>
      <c r="D49" s="56">
        <v>1890</v>
      </c>
      <c r="E49" s="57"/>
      <c r="F49" s="20" t="str">
        <f t="shared" ref="F49:F53" si="351">IFERROR(C49/C68*100,"")</f>
        <v/>
      </c>
      <c r="G49" s="7">
        <f t="shared" si="330"/>
        <v>1399</v>
      </c>
      <c r="H49" s="56">
        <v>1399</v>
      </c>
      <c r="I49" s="57"/>
      <c r="J49" s="20">
        <f t="shared" ref="J49:J53" si="352">IFERROR(G49/G68*100,"")</f>
        <v>77.765425236242365</v>
      </c>
      <c r="K49" s="7">
        <f t="shared" ref="K49:K54" si="353">L49-M49</f>
        <v>1399</v>
      </c>
      <c r="L49" s="56">
        <v>1399</v>
      </c>
      <c r="M49" s="57"/>
      <c r="N49" s="83">
        <f t="shared" ref="N49:N53" si="354">IFERROR(K49/K68*100,"")</f>
        <v>84.839296543359609</v>
      </c>
      <c r="O49" s="28" t="s">
        <v>15</v>
      </c>
      <c r="P49" s="7">
        <f t="shared" si="331"/>
        <v>1890</v>
      </c>
      <c r="Q49" s="56">
        <v>1890</v>
      </c>
      <c r="R49" s="57"/>
      <c r="S49" s="20" t="str">
        <f t="shared" ref="S49:S53" si="355">IFERROR(P49/P68*100,"")</f>
        <v/>
      </c>
      <c r="T49" s="7">
        <f t="shared" si="332"/>
        <v>1399</v>
      </c>
      <c r="U49" s="56">
        <v>1399</v>
      </c>
      <c r="V49" s="57"/>
      <c r="W49" s="20">
        <f t="shared" ref="W49:W53" si="356">IFERROR(T49/T68*100,"")</f>
        <v>87.492182614133824</v>
      </c>
      <c r="X49" s="7">
        <f t="shared" ref="X49:X54" si="357">Y49-Z49</f>
        <v>1399</v>
      </c>
      <c r="Y49" s="56">
        <v>1399</v>
      </c>
      <c r="Z49" s="57"/>
      <c r="AA49" s="83">
        <f t="shared" ref="AA49:AA53" si="358">IFERROR(X49/X68*100,"")</f>
        <v>87.492182614133824</v>
      </c>
      <c r="AB49" s="28" t="s">
        <v>15</v>
      </c>
      <c r="AC49" s="7">
        <f t="shared" si="333"/>
        <v>0</v>
      </c>
      <c r="AD49" s="56"/>
      <c r="AE49" s="57"/>
      <c r="AF49" s="20" t="str">
        <f t="shared" ref="AF49:AF53" si="359">IFERROR(AC49/AC68*100,"")</f>
        <v/>
      </c>
      <c r="AG49" s="7">
        <f t="shared" si="334"/>
        <v>0</v>
      </c>
      <c r="AH49" s="56"/>
      <c r="AI49" s="57"/>
      <c r="AJ49" s="20" t="str">
        <f t="shared" ref="AJ49:AJ53" si="360">IFERROR(AG49/AG68*100,"")</f>
        <v/>
      </c>
      <c r="AK49" s="7">
        <f t="shared" ref="AK49:AK54" si="361">AL49-AM49</f>
        <v>0</v>
      </c>
      <c r="AL49" s="56"/>
      <c r="AM49" s="57"/>
      <c r="AN49" s="83" t="str">
        <f t="shared" ref="AN49:AN53" si="362">IFERROR(AK49/AK68*100,"")</f>
        <v/>
      </c>
      <c r="AO49" s="28" t="s">
        <v>15</v>
      </c>
      <c r="AP49" s="7">
        <f t="shared" si="335"/>
        <v>1499</v>
      </c>
      <c r="AQ49" s="56">
        <v>1499</v>
      </c>
      <c r="AR49" s="57"/>
      <c r="AS49" s="20">
        <f t="shared" ref="AS49:AS53" si="363">IFERROR(AP49/AP68*100,"")</f>
        <v>78.113600833767578</v>
      </c>
      <c r="AT49" s="7">
        <f t="shared" si="336"/>
        <v>1399</v>
      </c>
      <c r="AU49" s="56">
        <v>1399</v>
      </c>
      <c r="AV49" s="57"/>
      <c r="AW49" s="20">
        <f t="shared" ref="AW49:AW53" si="364">IFERROR(AT49/AT68*100,"")</f>
        <v>87.492182614133824</v>
      </c>
      <c r="AX49" s="7">
        <f t="shared" ref="AX49:AX54" si="365">AY49-AZ49</f>
        <v>0</v>
      </c>
      <c r="AY49" s="56"/>
      <c r="AZ49" s="57"/>
      <c r="BA49" s="83" t="str">
        <f t="shared" ref="BA49:BA53" si="366">IFERROR(AX49/AX68*100,"")</f>
        <v/>
      </c>
      <c r="BB49" s="28" t="s">
        <v>15</v>
      </c>
      <c r="BC49" s="7">
        <f t="shared" si="337"/>
        <v>1379</v>
      </c>
      <c r="BD49" s="56">
        <v>1379</v>
      </c>
      <c r="BE49" s="57"/>
      <c r="BF49" s="20">
        <f t="shared" ref="BF49:BF53" si="367">IFERROR(BC49/BC68*100,"")</f>
        <v>78.441410693970425</v>
      </c>
      <c r="BG49" s="7">
        <f t="shared" si="338"/>
        <v>1399</v>
      </c>
      <c r="BH49" s="56">
        <v>1399</v>
      </c>
      <c r="BI49" s="57"/>
      <c r="BJ49" s="20">
        <f t="shared" ref="BJ49:BJ53" si="368">IFERROR(BG49/BG68*100,"")</f>
        <v>87.492182614133824</v>
      </c>
      <c r="BK49" s="7">
        <f t="shared" ref="BK49:BK54" si="369">BL49-BM49</f>
        <v>0</v>
      </c>
      <c r="BL49" s="56"/>
      <c r="BM49" s="57"/>
      <c r="BN49" s="83" t="str">
        <f t="shared" ref="BN49:BN53" si="370">IFERROR(BK49/BK68*100,"")</f>
        <v/>
      </c>
      <c r="BO49" s="28" t="s">
        <v>15</v>
      </c>
      <c r="BP49" s="7">
        <f t="shared" si="339"/>
        <v>1379</v>
      </c>
      <c r="BQ49" s="56">
        <v>1379</v>
      </c>
      <c r="BR49" s="57"/>
      <c r="BS49" s="20">
        <f t="shared" ref="BS49:BS53" si="371">IFERROR(BP49/BP68*100,"")</f>
        <v>77.29820627802691</v>
      </c>
      <c r="BT49" s="7">
        <f t="shared" si="340"/>
        <v>1399</v>
      </c>
      <c r="BU49" s="56">
        <v>1399</v>
      </c>
      <c r="BV49" s="57"/>
      <c r="BW49" s="20">
        <f t="shared" ref="BW49:BW53" si="372">IFERROR(BT49/BT68*100,"")</f>
        <v>87.492182614133824</v>
      </c>
      <c r="BX49" s="7">
        <f t="shared" ref="BX49:BX54" si="373">BY49-BZ49</f>
        <v>1477</v>
      </c>
      <c r="BY49" s="56">
        <v>1477</v>
      </c>
      <c r="BZ49" s="57"/>
      <c r="CA49" s="83">
        <f t="shared" ref="CA49:CA53" si="374">IFERROR(BX49/BX68*100,"")</f>
        <v>92.951541850220266</v>
      </c>
      <c r="CB49" s="28" t="s">
        <v>15</v>
      </c>
      <c r="CC49" s="7">
        <f t="shared" si="341"/>
        <v>0</v>
      </c>
      <c r="CD49" s="56"/>
      <c r="CE49" s="57"/>
      <c r="CF49" s="20" t="str">
        <f t="shared" ref="CF49:CF53" si="375">IFERROR(CC49/CC68*100,"")</f>
        <v/>
      </c>
      <c r="CG49" s="7">
        <f t="shared" si="342"/>
        <v>0</v>
      </c>
      <c r="CH49" s="56"/>
      <c r="CI49" s="57"/>
      <c r="CJ49" s="20" t="str">
        <f t="shared" ref="CJ49:CJ53" si="376">IFERROR(CG49/CG68*100,"")</f>
        <v/>
      </c>
      <c r="CK49" s="7">
        <f t="shared" ref="CK49:CK54" si="377">CL49-CM49</f>
        <v>0</v>
      </c>
      <c r="CL49" s="56"/>
      <c r="CM49" s="57"/>
      <c r="CN49" s="83" t="str">
        <f t="shared" ref="CN49:CN53" si="378">IFERROR(CK49/CK68*100,"")</f>
        <v/>
      </c>
      <c r="CO49" s="28" t="s">
        <v>15</v>
      </c>
      <c r="CP49" s="7">
        <f t="shared" si="343"/>
        <v>1399</v>
      </c>
      <c r="CQ49" s="56">
        <v>1399</v>
      </c>
      <c r="CR49" s="57"/>
      <c r="CS49" s="20">
        <f t="shared" ref="CS49:CS53" si="379">IFERROR(CP49/CP68*100,"")</f>
        <v>78.419282511210767</v>
      </c>
      <c r="CT49" s="7">
        <f t="shared" si="344"/>
        <v>1399</v>
      </c>
      <c r="CU49" s="56">
        <v>1399</v>
      </c>
      <c r="CV49" s="57"/>
      <c r="CW49" s="20">
        <f t="shared" ref="CW49:CW53" si="380">IFERROR(CT49/CT68*100,"")</f>
        <v>87.492182614133824</v>
      </c>
      <c r="CX49" s="7">
        <f t="shared" ref="CX49:CX54" si="381">CY49-CZ49</f>
        <v>0</v>
      </c>
      <c r="CY49" s="56"/>
      <c r="CZ49" s="57"/>
      <c r="DA49" s="83" t="str">
        <f t="shared" ref="DA49:DA53" si="382">IFERROR(CX49/CX68*100,"")</f>
        <v/>
      </c>
      <c r="DB49" s="28" t="s">
        <v>15</v>
      </c>
      <c r="DC49" s="7">
        <f t="shared" si="345"/>
        <v>1399</v>
      </c>
      <c r="DD49" s="56">
        <v>1399</v>
      </c>
      <c r="DE49" s="57"/>
      <c r="DF49" s="20">
        <f t="shared" ref="DF49:DF53" si="383">IFERROR(DC49/DC68*100,"")</f>
        <v>76.19825708061002</v>
      </c>
      <c r="DG49" s="7">
        <f t="shared" si="346"/>
        <v>1399</v>
      </c>
      <c r="DH49" s="56">
        <v>1399</v>
      </c>
      <c r="DI49" s="57"/>
      <c r="DJ49" s="20">
        <f t="shared" ref="DJ49:DJ53" si="384">IFERROR(DG49/DG68*100,"")</f>
        <v>87.492182614133824</v>
      </c>
      <c r="DK49" s="7">
        <f t="shared" ref="DK49:DK54" si="385">DL49-DM49</f>
        <v>0</v>
      </c>
      <c r="DL49" s="56"/>
      <c r="DM49" s="57"/>
      <c r="DN49" s="83" t="str">
        <f t="shared" ref="DN49:DN53" si="386">IFERROR(DK49/DK68*100,"")</f>
        <v/>
      </c>
      <c r="DO49" s="28" t="s">
        <v>15</v>
      </c>
      <c r="DP49" s="7">
        <f t="shared" si="347"/>
        <v>1399</v>
      </c>
      <c r="DQ49" s="56">
        <v>1399</v>
      </c>
      <c r="DR49" s="57"/>
      <c r="DS49" s="20">
        <f t="shared" ref="DS49:DS53" si="387">IFERROR(DP49/DP68*100,"")</f>
        <v>79.398410896708285</v>
      </c>
      <c r="DT49" s="7">
        <f t="shared" si="348"/>
        <v>1399</v>
      </c>
      <c r="DU49" s="56">
        <v>1399</v>
      </c>
      <c r="DV49" s="57"/>
      <c r="DW49" s="20">
        <f t="shared" ref="DW49:DW53" si="388">IFERROR(DT49/DT68*100,"")</f>
        <v>87.492182614133824</v>
      </c>
      <c r="DX49" s="7">
        <f t="shared" ref="DX49:DX54" si="389">DY49-DZ49</f>
        <v>1199</v>
      </c>
      <c r="DY49" s="56">
        <v>1199</v>
      </c>
      <c r="DZ49" s="57"/>
      <c r="EA49" s="83">
        <f t="shared" ref="EA49:EA53" si="390">IFERROR(DX49/DX68*100,"")</f>
        <v>184.74576271186442</v>
      </c>
      <c r="EB49" s="28" t="s">
        <v>15</v>
      </c>
      <c r="EC49" s="7">
        <f t="shared" si="349"/>
        <v>1399</v>
      </c>
      <c r="ED49" s="56">
        <v>1399</v>
      </c>
      <c r="EE49" s="57"/>
      <c r="EF49" s="20">
        <f t="shared" ref="EF49:EF53" si="391">IFERROR(EC49/EC68*100,"")</f>
        <v>79.398410896708285</v>
      </c>
      <c r="EG49" s="7">
        <f t="shared" si="350"/>
        <v>1399</v>
      </c>
      <c r="EH49" s="56">
        <v>1399</v>
      </c>
      <c r="EI49" s="57"/>
      <c r="EJ49" s="20">
        <f t="shared" ref="EJ49:EJ53" si="392">IFERROR(EG49/EG68*100,"")</f>
        <v>87.492182614133824</v>
      </c>
      <c r="EK49" s="7">
        <f t="shared" ref="EK49:EK54" si="393">EL49-EM49</f>
        <v>1199</v>
      </c>
      <c r="EL49" s="56">
        <v>1199</v>
      </c>
      <c r="EM49" s="57"/>
      <c r="EN49" s="83">
        <f t="shared" ref="EN49:EN53" si="394">IFERROR(EK49/EK68*100,"")</f>
        <v>184.74576271186442</v>
      </c>
    </row>
    <row r="50" spans="2:144" outlineLevel="1" x14ac:dyDescent="0.3">
      <c r="B50" s="28" t="s">
        <v>14</v>
      </c>
      <c r="C50" s="7">
        <f t="shared" si="329"/>
        <v>1099</v>
      </c>
      <c r="D50" s="56">
        <v>1099</v>
      </c>
      <c r="E50" s="57"/>
      <c r="F50" s="20">
        <f t="shared" si="351"/>
        <v>61.880630630630627</v>
      </c>
      <c r="G50" s="7">
        <f t="shared" si="330"/>
        <v>1099</v>
      </c>
      <c r="H50" s="56">
        <v>1099</v>
      </c>
      <c r="I50" s="57"/>
      <c r="J50" s="20">
        <f t="shared" si="352"/>
        <v>84.603541185527334</v>
      </c>
      <c r="K50" s="7">
        <f t="shared" si="353"/>
        <v>1222</v>
      </c>
      <c r="L50" s="56">
        <v>1222</v>
      </c>
      <c r="M50" s="57"/>
      <c r="N50" s="83">
        <f t="shared" si="354"/>
        <v>101.91826522101752</v>
      </c>
      <c r="O50" s="28" t="s">
        <v>14</v>
      </c>
      <c r="P50" s="7">
        <f t="shared" si="331"/>
        <v>1099</v>
      </c>
      <c r="Q50" s="56">
        <v>1099</v>
      </c>
      <c r="R50" s="57"/>
      <c r="S50" s="20">
        <f t="shared" si="355"/>
        <v>100.91827364554638</v>
      </c>
      <c r="T50" s="7">
        <f t="shared" si="332"/>
        <v>999</v>
      </c>
      <c r="U50" s="56">
        <v>999</v>
      </c>
      <c r="V50" s="57"/>
      <c r="W50" s="20">
        <f t="shared" si="356"/>
        <v>100</v>
      </c>
      <c r="X50" s="7">
        <f t="shared" si="357"/>
        <v>1099</v>
      </c>
      <c r="Y50" s="56">
        <v>1099</v>
      </c>
      <c r="Z50" s="57"/>
      <c r="AA50" s="83">
        <f t="shared" si="358"/>
        <v>85.193798449612402</v>
      </c>
      <c r="AB50" s="28" t="s">
        <v>14</v>
      </c>
      <c r="AC50" s="7">
        <f t="shared" si="333"/>
        <v>0</v>
      </c>
      <c r="AD50" s="56"/>
      <c r="AE50" s="57"/>
      <c r="AF50" s="20" t="str">
        <f t="shared" si="359"/>
        <v/>
      </c>
      <c r="AG50" s="7">
        <f t="shared" si="334"/>
        <v>0</v>
      </c>
      <c r="AH50" s="56"/>
      <c r="AI50" s="57"/>
      <c r="AJ50" s="20" t="str">
        <f t="shared" si="360"/>
        <v/>
      </c>
      <c r="AK50" s="7">
        <f t="shared" si="361"/>
        <v>0</v>
      </c>
      <c r="AL50" s="56"/>
      <c r="AM50" s="57"/>
      <c r="AN50" s="83" t="str">
        <f t="shared" si="362"/>
        <v/>
      </c>
      <c r="AO50" s="28" t="s">
        <v>14</v>
      </c>
      <c r="AP50" s="7">
        <f t="shared" si="335"/>
        <v>1099</v>
      </c>
      <c r="AQ50" s="56">
        <v>1099</v>
      </c>
      <c r="AR50" s="57"/>
      <c r="AS50" s="20">
        <f t="shared" si="363"/>
        <v>62.055335968379445</v>
      </c>
      <c r="AT50" s="7">
        <f t="shared" si="336"/>
        <v>999</v>
      </c>
      <c r="AU50" s="56">
        <v>999</v>
      </c>
      <c r="AV50" s="57"/>
      <c r="AW50" s="20">
        <f t="shared" si="364"/>
        <v>95.233555767397533</v>
      </c>
      <c r="AX50" s="7">
        <f t="shared" si="365"/>
        <v>0</v>
      </c>
      <c r="AY50" s="56"/>
      <c r="AZ50" s="57"/>
      <c r="BA50" s="83" t="str">
        <f t="shared" si="366"/>
        <v/>
      </c>
      <c r="BB50" s="28" t="s">
        <v>14</v>
      </c>
      <c r="BC50" s="7">
        <f t="shared" si="337"/>
        <v>999</v>
      </c>
      <c r="BD50" s="56">
        <v>999</v>
      </c>
      <c r="BE50" s="57"/>
      <c r="BF50" s="20">
        <f t="shared" si="367"/>
        <v>54.441416893732978</v>
      </c>
      <c r="BG50" s="7">
        <f t="shared" si="338"/>
        <v>999</v>
      </c>
      <c r="BH50" s="56">
        <v>999</v>
      </c>
      <c r="BI50" s="57"/>
      <c r="BJ50" s="20">
        <f t="shared" si="368"/>
        <v>90.900818926296637</v>
      </c>
      <c r="BK50" s="7">
        <f t="shared" si="369"/>
        <v>0</v>
      </c>
      <c r="BL50" s="56"/>
      <c r="BM50" s="57"/>
      <c r="BN50" s="83" t="str">
        <f t="shared" si="370"/>
        <v/>
      </c>
      <c r="BO50" s="28" t="s">
        <v>14</v>
      </c>
      <c r="BP50" s="7">
        <f t="shared" si="339"/>
        <v>999</v>
      </c>
      <c r="BQ50" s="56">
        <v>999</v>
      </c>
      <c r="BR50" s="57"/>
      <c r="BS50" s="20">
        <f t="shared" si="371"/>
        <v>54.441416893732978</v>
      </c>
      <c r="BT50" s="7">
        <f t="shared" si="340"/>
        <v>1099</v>
      </c>
      <c r="BU50" s="56">
        <v>1099</v>
      </c>
      <c r="BV50" s="57"/>
      <c r="BW50" s="20">
        <f t="shared" si="372"/>
        <v>100</v>
      </c>
      <c r="BX50" s="7">
        <f t="shared" si="373"/>
        <v>999</v>
      </c>
      <c r="BY50" s="56">
        <v>999</v>
      </c>
      <c r="BZ50" s="57"/>
      <c r="CA50" s="83">
        <f t="shared" si="374"/>
        <v>92.585727525486561</v>
      </c>
      <c r="CB50" s="28" t="s">
        <v>14</v>
      </c>
      <c r="CC50" s="7">
        <f t="shared" si="341"/>
        <v>0</v>
      </c>
      <c r="CD50" s="56"/>
      <c r="CE50" s="57"/>
      <c r="CF50" s="20" t="str">
        <f t="shared" si="375"/>
        <v/>
      </c>
      <c r="CG50" s="7">
        <f t="shared" si="342"/>
        <v>0</v>
      </c>
      <c r="CH50" s="56"/>
      <c r="CI50" s="57"/>
      <c r="CJ50" s="20" t="str">
        <f t="shared" si="376"/>
        <v/>
      </c>
      <c r="CK50" s="7">
        <f t="shared" si="377"/>
        <v>0</v>
      </c>
      <c r="CL50" s="56"/>
      <c r="CM50" s="57"/>
      <c r="CN50" s="83" t="str">
        <f t="shared" si="378"/>
        <v/>
      </c>
      <c r="CO50" s="28" t="s">
        <v>14</v>
      </c>
      <c r="CP50" s="7">
        <f t="shared" si="343"/>
        <v>0</v>
      </c>
      <c r="CQ50" s="56"/>
      <c r="CR50" s="57"/>
      <c r="CS50" s="20">
        <f t="shared" si="379"/>
        <v>0</v>
      </c>
      <c r="CT50" s="7">
        <f t="shared" si="344"/>
        <v>1099</v>
      </c>
      <c r="CU50" s="56">
        <v>1099</v>
      </c>
      <c r="CV50" s="57"/>
      <c r="CW50" s="20">
        <f t="shared" si="380"/>
        <v>100</v>
      </c>
      <c r="CX50" s="7">
        <f t="shared" si="381"/>
        <v>0</v>
      </c>
      <c r="CY50" s="56"/>
      <c r="CZ50" s="57"/>
      <c r="DA50" s="83" t="str">
        <f t="shared" si="382"/>
        <v/>
      </c>
      <c r="DB50" s="28" t="s">
        <v>14</v>
      </c>
      <c r="DC50" s="7">
        <f t="shared" si="345"/>
        <v>0</v>
      </c>
      <c r="DD50" s="56"/>
      <c r="DE50" s="57"/>
      <c r="DF50" s="20">
        <f t="shared" si="383"/>
        <v>0</v>
      </c>
      <c r="DG50" s="7">
        <f t="shared" si="346"/>
        <v>1099</v>
      </c>
      <c r="DH50" s="56">
        <v>1099</v>
      </c>
      <c r="DI50" s="57"/>
      <c r="DJ50" s="20">
        <f t="shared" si="384"/>
        <v>100</v>
      </c>
      <c r="DK50" s="7">
        <f t="shared" si="385"/>
        <v>0</v>
      </c>
      <c r="DL50" s="56"/>
      <c r="DM50" s="57"/>
      <c r="DN50" s="83" t="str">
        <f t="shared" si="386"/>
        <v/>
      </c>
      <c r="DO50" s="28" t="s">
        <v>14</v>
      </c>
      <c r="DP50" s="7">
        <f t="shared" si="347"/>
        <v>0</v>
      </c>
      <c r="DQ50" s="56"/>
      <c r="DR50" s="57"/>
      <c r="DS50" s="20">
        <f t="shared" si="387"/>
        <v>0</v>
      </c>
      <c r="DT50" s="7">
        <f t="shared" si="348"/>
        <v>0</v>
      </c>
      <c r="DU50" s="56"/>
      <c r="DV50" s="57"/>
      <c r="DW50" s="20">
        <f t="shared" si="388"/>
        <v>0</v>
      </c>
      <c r="DX50" s="7">
        <f t="shared" si="389"/>
        <v>1222</v>
      </c>
      <c r="DY50" s="56">
        <v>1222</v>
      </c>
      <c r="DZ50" s="57"/>
      <c r="EA50" s="83">
        <f t="shared" si="390"/>
        <v>113.25301204819279</v>
      </c>
      <c r="EB50" s="28" t="s">
        <v>14</v>
      </c>
      <c r="EC50" s="7">
        <f t="shared" si="349"/>
        <v>0</v>
      </c>
      <c r="ED50" s="56"/>
      <c r="EE50" s="57"/>
      <c r="EF50" s="20">
        <f t="shared" si="391"/>
        <v>0</v>
      </c>
      <c r="EG50" s="7">
        <f t="shared" si="350"/>
        <v>0</v>
      </c>
      <c r="EH50" s="56"/>
      <c r="EI50" s="57"/>
      <c r="EJ50" s="20">
        <f t="shared" si="392"/>
        <v>0</v>
      </c>
      <c r="EK50" s="7">
        <f t="shared" si="393"/>
        <v>1222</v>
      </c>
      <c r="EL50" s="56">
        <v>1222</v>
      </c>
      <c r="EM50" s="57"/>
      <c r="EN50" s="83">
        <f t="shared" si="394"/>
        <v>113.25301204819279</v>
      </c>
    </row>
    <row r="51" spans="2:144" outlineLevel="1" x14ac:dyDescent="0.3">
      <c r="B51" s="28" t="s">
        <v>13</v>
      </c>
      <c r="C51" s="7">
        <f t="shared" si="329"/>
        <v>749</v>
      </c>
      <c r="D51" s="56">
        <v>749</v>
      </c>
      <c r="E51" s="57"/>
      <c r="F51" s="20">
        <f t="shared" si="351"/>
        <v>100</v>
      </c>
      <c r="G51" s="7">
        <f t="shared" si="330"/>
        <v>799</v>
      </c>
      <c r="H51" s="56">
        <v>799</v>
      </c>
      <c r="I51" s="57"/>
      <c r="J51" s="20">
        <f t="shared" si="352"/>
        <v>96.381182147165262</v>
      </c>
      <c r="K51" s="7">
        <f t="shared" si="353"/>
        <v>799</v>
      </c>
      <c r="L51" s="56">
        <v>799</v>
      </c>
      <c r="M51" s="57"/>
      <c r="N51" s="83">
        <f t="shared" si="354"/>
        <v>106.67556742323097</v>
      </c>
      <c r="O51" s="28" t="s">
        <v>13</v>
      </c>
      <c r="P51" s="7">
        <f t="shared" si="331"/>
        <v>799</v>
      </c>
      <c r="Q51" s="56">
        <v>799</v>
      </c>
      <c r="R51" s="57"/>
      <c r="S51" s="20">
        <f t="shared" si="355"/>
        <v>106.67556742323097</v>
      </c>
      <c r="T51" s="7">
        <f t="shared" si="332"/>
        <v>749</v>
      </c>
      <c r="U51" s="56">
        <v>749</v>
      </c>
      <c r="V51" s="57"/>
      <c r="W51" s="20">
        <f t="shared" si="356"/>
        <v>93.74217772215269</v>
      </c>
      <c r="X51" s="7">
        <f t="shared" si="357"/>
        <v>781</v>
      </c>
      <c r="Y51" s="56">
        <v>781</v>
      </c>
      <c r="Z51" s="57"/>
      <c r="AA51" s="83">
        <f t="shared" si="358"/>
        <v>75.75169738118332</v>
      </c>
      <c r="AB51" s="28" t="s">
        <v>13</v>
      </c>
      <c r="AC51" s="7">
        <f t="shared" si="333"/>
        <v>0</v>
      </c>
      <c r="AD51" s="56"/>
      <c r="AE51" s="57"/>
      <c r="AF51" s="20" t="str">
        <f t="shared" si="359"/>
        <v/>
      </c>
      <c r="AG51" s="7">
        <f t="shared" si="334"/>
        <v>0</v>
      </c>
      <c r="AH51" s="56"/>
      <c r="AI51" s="57"/>
      <c r="AJ51" s="20" t="str">
        <f t="shared" si="360"/>
        <v/>
      </c>
      <c r="AK51" s="7">
        <f t="shared" si="361"/>
        <v>0</v>
      </c>
      <c r="AL51" s="56"/>
      <c r="AM51" s="57"/>
      <c r="AN51" s="83" t="str">
        <f t="shared" si="362"/>
        <v/>
      </c>
      <c r="AO51" s="28" t="s">
        <v>13</v>
      </c>
      <c r="AP51" s="7">
        <f t="shared" si="335"/>
        <v>779</v>
      </c>
      <c r="AQ51" s="56">
        <v>779</v>
      </c>
      <c r="AR51" s="57"/>
      <c r="AS51" s="20">
        <f t="shared" si="363"/>
        <v>105.41271989174561</v>
      </c>
      <c r="AT51" s="7">
        <f t="shared" si="336"/>
        <v>749</v>
      </c>
      <c r="AU51" s="56">
        <v>749</v>
      </c>
      <c r="AV51" s="57"/>
      <c r="AW51" s="20">
        <f t="shared" si="364"/>
        <v>100</v>
      </c>
      <c r="AX51" s="7">
        <f t="shared" si="365"/>
        <v>0</v>
      </c>
      <c r="AY51" s="56"/>
      <c r="AZ51" s="57"/>
      <c r="BA51" s="83" t="str">
        <f t="shared" si="366"/>
        <v/>
      </c>
      <c r="BB51" s="28" t="s">
        <v>13</v>
      </c>
      <c r="BC51" s="7">
        <f t="shared" si="337"/>
        <v>739</v>
      </c>
      <c r="BD51" s="56">
        <v>739</v>
      </c>
      <c r="BE51" s="57"/>
      <c r="BF51" s="20">
        <f t="shared" si="367"/>
        <v>79.719525350593315</v>
      </c>
      <c r="BG51" s="7">
        <f t="shared" si="338"/>
        <v>749</v>
      </c>
      <c r="BH51" s="56">
        <v>749</v>
      </c>
      <c r="BI51" s="57"/>
      <c r="BJ51" s="20">
        <f t="shared" si="368"/>
        <v>100</v>
      </c>
      <c r="BK51" s="7">
        <f t="shared" si="369"/>
        <v>0</v>
      </c>
      <c r="BL51" s="56"/>
      <c r="BM51" s="57"/>
      <c r="BN51" s="83" t="str">
        <f t="shared" si="370"/>
        <v/>
      </c>
      <c r="BO51" s="28" t="s">
        <v>13</v>
      </c>
      <c r="BP51" s="7">
        <f t="shared" si="339"/>
        <v>719</v>
      </c>
      <c r="BQ51" s="56">
        <v>719</v>
      </c>
      <c r="BR51" s="57"/>
      <c r="BS51" s="20">
        <f t="shared" si="371"/>
        <v>89.987484355444309</v>
      </c>
      <c r="BT51" s="7">
        <f t="shared" si="340"/>
        <v>749</v>
      </c>
      <c r="BU51" s="56">
        <v>749</v>
      </c>
      <c r="BV51" s="57"/>
      <c r="BW51" s="20">
        <f t="shared" si="372"/>
        <v>100</v>
      </c>
      <c r="BX51" s="7">
        <f t="shared" si="373"/>
        <v>719</v>
      </c>
      <c r="BY51" s="56">
        <v>719</v>
      </c>
      <c r="BZ51" s="57"/>
      <c r="CA51" s="83">
        <f t="shared" si="374"/>
        <v>82.738780207134639</v>
      </c>
      <c r="CB51" s="28" t="s">
        <v>13</v>
      </c>
      <c r="CC51" s="7">
        <f t="shared" si="341"/>
        <v>0</v>
      </c>
      <c r="CD51" s="56"/>
      <c r="CE51" s="57"/>
      <c r="CF51" s="20" t="str">
        <f t="shared" si="375"/>
        <v/>
      </c>
      <c r="CG51" s="7">
        <f t="shared" si="342"/>
        <v>0</v>
      </c>
      <c r="CH51" s="56"/>
      <c r="CI51" s="57"/>
      <c r="CJ51" s="20" t="str">
        <f t="shared" si="376"/>
        <v/>
      </c>
      <c r="CK51" s="7">
        <f t="shared" si="377"/>
        <v>0</v>
      </c>
      <c r="CL51" s="56"/>
      <c r="CM51" s="57"/>
      <c r="CN51" s="83" t="str">
        <f t="shared" si="378"/>
        <v/>
      </c>
      <c r="CO51" s="28" t="s">
        <v>13</v>
      </c>
      <c r="CP51" s="7">
        <f t="shared" si="343"/>
        <v>749</v>
      </c>
      <c r="CQ51" s="56">
        <v>749</v>
      </c>
      <c r="CR51" s="57"/>
      <c r="CS51" s="20">
        <f t="shared" si="379"/>
        <v>87.704918032786878</v>
      </c>
      <c r="CT51" s="7">
        <f t="shared" si="344"/>
        <v>749</v>
      </c>
      <c r="CU51" s="56">
        <v>749</v>
      </c>
      <c r="CV51" s="57"/>
      <c r="CW51" s="20">
        <f t="shared" si="380"/>
        <v>100</v>
      </c>
      <c r="CX51" s="7">
        <f t="shared" si="381"/>
        <v>0</v>
      </c>
      <c r="CY51" s="56"/>
      <c r="CZ51" s="57"/>
      <c r="DA51" s="83" t="str">
        <f t="shared" si="382"/>
        <v/>
      </c>
      <c r="DB51" s="28" t="s">
        <v>13</v>
      </c>
      <c r="DC51" s="7">
        <f t="shared" si="345"/>
        <v>749</v>
      </c>
      <c r="DD51" s="56">
        <v>749</v>
      </c>
      <c r="DE51" s="57"/>
      <c r="DF51" s="20">
        <f t="shared" si="383"/>
        <v>87.704918032786878</v>
      </c>
      <c r="DG51" s="7">
        <f t="shared" si="346"/>
        <v>749</v>
      </c>
      <c r="DH51" s="56">
        <v>749</v>
      </c>
      <c r="DI51" s="57"/>
      <c r="DJ51" s="20">
        <f t="shared" si="384"/>
        <v>100</v>
      </c>
      <c r="DK51" s="7">
        <f t="shared" si="385"/>
        <v>0</v>
      </c>
      <c r="DL51" s="56"/>
      <c r="DM51" s="57"/>
      <c r="DN51" s="83" t="str">
        <f t="shared" si="386"/>
        <v/>
      </c>
      <c r="DO51" s="28" t="s">
        <v>13</v>
      </c>
      <c r="DP51" s="7">
        <f t="shared" si="347"/>
        <v>719</v>
      </c>
      <c r="DQ51" s="56">
        <v>719</v>
      </c>
      <c r="DR51" s="57"/>
      <c r="DS51" s="20">
        <f t="shared" si="387"/>
        <v>74.662512980269995</v>
      </c>
      <c r="DT51" s="7">
        <f t="shared" si="348"/>
        <v>749</v>
      </c>
      <c r="DU51" s="56">
        <v>749</v>
      </c>
      <c r="DV51" s="57"/>
      <c r="DW51" s="20">
        <f t="shared" si="388"/>
        <v>93.74217772215269</v>
      </c>
      <c r="DX51" s="7">
        <f t="shared" si="389"/>
        <v>874</v>
      </c>
      <c r="DY51" s="56">
        <v>874</v>
      </c>
      <c r="DZ51" s="57"/>
      <c r="EA51" s="83">
        <f t="shared" si="390"/>
        <v>109.38673341677097</v>
      </c>
      <c r="EB51" s="28" t="s">
        <v>13</v>
      </c>
      <c r="EC51" s="7">
        <f t="shared" si="349"/>
        <v>719</v>
      </c>
      <c r="ED51" s="56">
        <v>719</v>
      </c>
      <c r="EE51" s="57"/>
      <c r="EF51" s="20">
        <f t="shared" si="391"/>
        <v>74.662512980269995</v>
      </c>
      <c r="EG51" s="7">
        <f t="shared" si="350"/>
        <v>749</v>
      </c>
      <c r="EH51" s="56">
        <v>749</v>
      </c>
      <c r="EI51" s="57"/>
      <c r="EJ51" s="20">
        <f t="shared" si="392"/>
        <v>93.74217772215269</v>
      </c>
      <c r="EK51" s="7">
        <f t="shared" si="393"/>
        <v>874</v>
      </c>
      <c r="EL51" s="56">
        <v>874</v>
      </c>
      <c r="EM51" s="57"/>
      <c r="EN51" s="83">
        <f t="shared" si="394"/>
        <v>109.38673341677097</v>
      </c>
    </row>
    <row r="52" spans="2:144" outlineLevel="1" x14ac:dyDescent="0.3">
      <c r="B52" s="28" t="s">
        <v>12</v>
      </c>
      <c r="C52" s="7">
        <f t="shared" si="329"/>
        <v>699</v>
      </c>
      <c r="D52" s="56">
        <v>699</v>
      </c>
      <c r="E52" s="57"/>
      <c r="F52" s="20">
        <f t="shared" si="351"/>
        <v>83.812949640287769</v>
      </c>
      <c r="G52" s="7">
        <f t="shared" si="330"/>
        <v>0</v>
      </c>
      <c r="H52" s="56"/>
      <c r="I52" s="57"/>
      <c r="J52" s="20">
        <f t="shared" si="352"/>
        <v>0</v>
      </c>
      <c r="K52" s="7">
        <f t="shared" si="353"/>
        <v>699</v>
      </c>
      <c r="L52" s="56">
        <v>699</v>
      </c>
      <c r="M52" s="57"/>
      <c r="N52" s="83">
        <f t="shared" si="354"/>
        <v>107.70416024653314</v>
      </c>
      <c r="O52" s="28" t="s">
        <v>12</v>
      </c>
      <c r="P52" s="7">
        <f t="shared" si="331"/>
        <v>699</v>
      </c>
      <c r="Q52" s="56">
        <v>699</v>
      </c>
      <c r="R52" s="57"/>
      <c r="S52" s="20">
        <f t="shared" si="355"/>
        <v>111.12877583465819</v>
      </c>
      <c r="T52" s="7">
        <f t="shared" si="332"/>
        <v>699</v>
      </c>
      <c r="U52" s="56">
        <v>699</v>
      </c>
      <c r="V52" s="57"/>
      <c r="W52" s="20">
        <f t="shared" si="356"/>
        <v>116.69449081803005</v>
      </c>
      <c r="X52" s="7">
        <f t="shared" si="357"/>
        <v>699</v>
      </c>
      <c r="Y52" s="56">
        <v>699</v>
      </c>
      <c r="Z52" s="57"/>
      <c r="AA52" s="83">
        <f t="shared" si="358"/>
        <v>106.39269406392695</v>
      </c>
      <c r="AB52" s="28" t="s">
        <v>12</v>
      </c>
      <c r="AC52" s="7">
        <f t="shared" si="333"/>
        <v>0</v>
      </c>
      <c r="AD52" s="56"/>
      <c r="AE52" s="57"/>
      <c r="AF52" s="20" t="str">
        <f t="shared" si="359"/>
        <v/>
      </c>
      <c r="AG52" s="7">
        <f t="shared" si="334"/>
        <v>0</v>
      </c>
      <c r="AH52" s="56"/>
      <c r="AI52" s="57"/>
      <c r="AJ52" s="20" t="str">
        <f t="shared" si="360"/>
        <v/>
      </c>
      <c r="AK52" s="7">
        <f t="shared" si="361"/>
        <v>0</v>
      </c>
      <c r="AL52" s="56"/>
      <c r="AM52" s="57"/>
      <c r="AN52" s="83" t="str">
        <f t="shared" si="362"/>
        <v/>
      </c>
      <c r="AO52" s="28" t="s">
        <v>12</v>
      </c>
      <c r="AP52" s="7">
        <f t="shared" si="335"/>
        <v>645</v>
      </c>
      <c r="AQ52" s="56">
        <v>645</v>
      </c>
      <c r="AR52" s="57"/>
      <c r="AS52" s="20">
        <f t="shared" si="363"/>
        <v>100.93896713615023</v>
      </c>
      <c r="AT52" s="7">
        <f t="shared" si="336"/>
        <v>679</v>
      </c>
      <c r="AU52" s="56">
        <v>679</v>
      </c>
      <c r="AV52" s="57"/>
      <c r="AW52" s="20">
        <f t="shared" si="364"/>
        <v>113.35559265442403</v>
      </c>
      <c r="AX52" s="7">
        <f t="shared" si="365"/>
        <v>0</v>
      </c>
      <c r="AY52" s="56"/>
      <c r="AZ52" s="57"/>
      <c r="BA52" s="83" t="str">
        <f t="shared" si="366"/>
        <v/>
      </c>
      <c r="BB52" s="28" t="s">
        <v>12</v>
      </c>
      <c r="BC52" s="7">
        <f t="shared" si="337"/>
        <v>659</v>
      </c>
      <c r="BD52" s="56">
        <v>659</v>
      </c>
      <c r="BE52" s="57"/>
      <c r="BF52" s="20">
        <f t="shared" si="367"/>
        <v>80.660954712362297</v>
      </c>
      <c r="BG52" s="7">
        <f t="shared" si="338"/>
        <v>649</v>
      </c>
      <c r="BH52" s="56">
        <v>649</v>
      </c>
      <c r="BI52" s="57"/>
      <c r="BJ52" s="20">
        <f t="shared" si="368"/>
        <v>103.17965023847377</v>
      </c>
      <c r="BK52" s="7">
        <f t="shared" si="369"/>
        <v>0</v>
      </c>
      <c r="BL52" s="56"/>
      <c r="BM52" s="57"/>
      <c r="BN52" s="83" t="str">
        <f t="shared" si="370"/>
        <v/>
      </c>
      <c r="BO52" s="28" t="s">
        <v>12</v>
      </c>
      <c r="BP52" s="7">
        <f t="shared" si="339"/>
        <v>639</v>
      </c>
      <c r="BQ52" s="56">
        <v>639</v>
      </c>
      <c r="BR52" s="57"/>
      <c r="BS52" s="20">
        <f t="shared" si="371"/>
        <v>98.45916795069337</v>
      </c>
      <c r="BT52" s="7">
        <f t="shared" si="340"/>
        <v>649</v>
      </c>
      <c r="BU52" s="56">
        <v>649</v>
      </c>
      <c r="BV52" s="57"/>
      <c r="BW52" s="20">
        <f t="shared" si="372"/>
        <v>103.17965023847377</v>
      </c>
      <c r="BX52" s="7">
        <f t="shared" si="373"/>
        <v>639</v>
      </c>
      <c r="BY52" s="56">
        <v>639</v>
      </c>
      <c r="BZ52" s="57"/>
      <c r="CA52" s="83">
        <f t="shared" si="374"/>
        <v>98.45916795069337</v>
      </c>
      <c r="CB52" s="28" t="s">
        <v>12</v>
      </c>
      <c r="CC52" s="7">
        <f t="shared" si="341"/>
        <v>0</v>
      </c>
      <c r="CD52" s="56"/>
      <c r="CE52" s="57"/>
      <c r="CF52" s="20" t="str">
        <f t="shared" si="375"/>
        <v/>
      </c>
      <c r="CG52" s="7">
        <f t="shared" si="342"/>
        <v>0</v>
      </c>
      <c r="CH52" s="56"/>
      <c r="CI52" s="57"/>
      <c r="CJ52" s="20" t="str">
        <f t="shared" si="376"/>
        <v/>
      </c>
      <c r="CK52" s="7">
        <f t="shared" si="377"/>
        <v>0</v>
      </c>
      <c r="CL52" s="56"/>
      <c r="CM52" s="57"/>
      <c r="CN52" s="83" t="str">
        <f t="shared" si="378"/>
        <v/>
      </c>
      <c r="CO52" s="28" t="s">
        <v>12</v>
      </c>
      <c r="CP52" s="7">
        <f t="shared" si="343"/>
        <v>599</v>
      </c>
      <c r="CQ52" s="56">
        <v>599</v>
      </c>
      <c r="CR52" s="57"/>
      <c r="CS52" s="20">
        <f t="shared" si="379"/>
        <v>82.167352537722905</v>
      </c>
      <c r="CT52" s="7">
        <f t="shared" si="344"/>
        <v>699</v>
      </c>
      <c r="CU52" s="56">
        <v>699</v>
      </c>
      <c r="CV52" s="57"/>
      <c r="CW52" s="20">
        <f t="shared" si="380"/>
        <v>111.12877583465819</v>
      </c>
      <c r="CX52" s="7">
        <f t="shared" si="381"/>
        <v>0</v>
      </c>
      <c r="CY52" s="56"/>
      <c r="CZ52" s="57"/>
      <c r="DA52" s="83" t="str">
        <f t="shared" si="382"/>
        <v/>
      </c>
      <c r="DB52" s="28" t="s">
        <v>12</v>
      </c>
      <c r="DC52" s="7">
        <f t="shared" si="345"/>
        <v>699</v>
      </c>
      <c r="DD52" s="56">
        <v>699</v>
      </c>
      <c r="DE52" s="57"/>
      <c r="DF52" s="20">
        <f t="shared" si="383"/>
        <v>101.89504373177843</v>
      </c>
      <c r="DG52" s="7">
        <f t="shared" si="346"/>
        <v>699</v>
      </c>
      <c r="DH52" s="56">
        <v>699</v>
      </c>
      <c r="DI52" s="57"/>
      <c r="DJ52" s="20">
        <f t="shared" si="384"/>
        <v>111.12877583465819</v>
      </c>
      <c r="DK52" s="7">
        <f t="shared" si="385"/>
        <v>0</v>
      </c>
      <c r="DL52" s="56"/>
      <c r="DM52" s="57"/>
      <c r="DN52" s="83" t="str">
        <f t="shared" si="386"/>
        <v/>
      </c>
      <c r="DO52" s="28" t="s">
        <v>12</v>
      </c>
      <c r="DP52" s="7">
        <f t="shared" si="347"/>
        <v>639</v>
      </c>
      <c r="DQ52" s="56">
        <v>639</v>
      </c>
      <c r="DR52" s="57"/>
      <c r="DS52" s="20">
        <f t="shared" si="387"/>
        <v>87.654320987654316</v>
      </c>
      <c r="DT52" s="7">
        <f t="shared" si="348"/>
        <v>649</v>
      </c>
      <c r="DU52" s="56">
        <v>649</v>
      </c>
      <c r="DV52" s="57"/>
      <c r="DW52" s="20">
        <f t="shared" si="388"/>
        <v>108.34724540901503</v>
      </c>
      <c r="DX52" s="7">
        <f t="shared" si="389"/>
        <v>545</v>
      </c>
      <c r="DY52" s="56">
        <v>545</v>
      </c>
      <c r="DZ52" s="57"/>
      <c r="EA52" s="83">
        <f t="shared" si="390"/>
        <v>83.975346687211101</v>
      </c>
      <c r="EB52" s="28" t="s">
        <v>12</v>
      </c>
      <c r="EC52" s="7">
        <f t="shared" si="349"/>
        <v>639</v>
      </c>
      <c r="ED52" s="56">
        <v>639</v>
      </c>
      <c r="EE52" s="57"/>
      <c r="EF52" s="20">
        <f t="shared" si="391"/>
        <v>87.654320987654316</v>
      </c>
      <c r="EG52" s="7">
        <f t="shared" si="350"/>
        <v>649</v>
      </c>
      <c r="EH52" s="56">
        <v>649</v>
      </c>
      <c r="EI52" s="57"/>
      <c r="EJ52" s="20">
        <f t="shared" si="392"/>
        <v>108.34724540901503</v>
      </c>
      <c r="EK52" s="7">
        <f t="shared" si="393"/>
        <v>545</v>
      </c>
      <c r="EL52" s="56">
        <v>545</v>
      </c>
      <c r="EM52" s="57"/>
      <c r="EN52" s="83">
        <f t="shared" si="394"/>
        <v>83.975346687211101</v>
      </c>
    </row>
    <row r="53" spans="2:144" outlineLevel="1" x14ac:dyDescent="0.3">
      <c r="B53" s="28" t="s">
        <v>11</v>
      </c>
      <c r="C53" s="7">
        <f t="shared" si="329"/>
        <v>549</v>
      </c>
      <c r="D53" s="56">
        <v>549</v>
      </c>
      <c r="E53" s="57"/>
      <c r="F53" s="21" t="str">
        <f t="shared" si="351"/>
        <v/>
      </c>
      <c r="G53" s="7"/>
      <c r="H53" s="56">
        <v>549</v>
      </c>
      <c r="I53" s="57"/>
      <c r="J53" s="21" t="str">
        <f t="shared" si="352"/>
        <v/>
      </c>
      <c r="K53" s="7">
        <f t="shared" si="353"/>
        <v>549</v>
      </c>
      <c r="L53" s="56">
        <v>549</v>
      </c>
      <c r="M53" s="57"/>
      <c r="N53" s="84" t="str">
        <f t="shared" si="354"/>
        <v/>
      </c>
      <c r="O53" s="28" t="s">
        <v>11</v>
      </c>
      <c r="P53" s="7">
        <f t="shared" si="331"/>
        <v>539</v>
      </c>
      <c r="Q53" s="56">
        <v>539</v>
      </c>
      <c r="R53" s="57"/>
      <c r="S53" s="21" t="str">
        <f t="shared" si="355"/>
        <v/>
      </c>
      <c r="T53" s="7">
        <f t="shared" si="332"/>
        <v>549</v>
      </c>
      <c r="U53" s="56">
        <v>549</v>
      </c>
      <c r="V53" s="57"/>
      <c r="W53" s="21" t="str">
        <f t="shared" si="356"/>
        <v/>
      </c>
      <c r="X53" s="7">
        <f t="shared" si="357"/>
        <v>543</v>
      </c>
      <c r="Y53" s="56">
        <v>543</v>
      </c>
      <c r="Z53" s="57"/>
      <c r="AA53" s="84" t="str">
        <f t="shared" si="358"/>
        <v/>
      </c>
      <c r="AB53" s="28" t="s">
        <v>11</v>
      </c>
      <c r="AC53" s="7">
        <f t="shared" si="333"/>
        <v>0</v>
      </c>
      <c r="AD53" s="56"/>
      <c r="AE53" s="57"/>
      <c r="AF53" s="21" t="str">
        <f t="shared" si="359"/>
        <v/>
      </c>
      <c r="AG53" s="7">
        <f t="shared" si="334"/>
        <v>0</v>
      </c>
      <c r="AH53" s="56"/>
      <c r="AI53" s="57"/>
      <c r="AJ53" s="21" t="str">
        <f t="shared" si="360"/>
        <v/>
      </c>
      <c r="AK53" s="7">
        <f t="shared" si="361"/>
        <v>0</v>
      </c>
      <c r="AL53" s="56"/>
      <c r="AM53" s="57"/>
      <c r="AN53" s="84" t="str">
        <f t="shared" si="362"/>
        <v/>
      </c>
      <c r="AO53" s="28" t="s">
        <v>11</v>
      </c>
      <c r="AP53" s="7">
        <f t="shared" si="335"/>
        <v>515</v>
      </c>
      <c r="AQ53" s="56">
        <v>515</v>
      </c>
      <c r="AR53" s="57"/>
      <c r="AS53" s="21" t="str">
        <f t="shared" si="363"/>
        <v/>
      </c>
      <c r="AT53" s="7">
        <f t="shared" si="336"/>
        <v>539</v>
      </c>
      <c r="AU53" s="56">
        <v>539</v>
      </c>
      <c r="AV53" s="57"/>
      <c r="AW53" s="21" t="str">
        <f t="shared" si="364"/>
        <v/>
      </c>
      <c r="AX53" s="7">
        <f t="shared" si="365"/>
        <v>0</v>
      </c>
      <c r="AY53" s="56"/>
      <c r="AZ53" s="57"/>
      <c r="BA53" s="84" t="str">
        <f t="shared" si="366"/>
        <v/>
      </c>
      <c r="BB53" s="28" t="s">
        <v>11</v>
      </c>
      <c r="BC53" s="7">
        <f t="shared" si="337"/>
        <v>641</v>
      </c>
      <c r="BD53" s="56">
        <v>641</v>
      </c>
      <c r="BE53" s="57"/>
      <c r="BF53" s="21" t="str">
        <f t="shared" si="367"/>
        <v/>
      </c>
      <c r="BG53" s="7">
        <f t="shared" si="338"/>
        <v>529</v>
      </c>
      <c r="BH53" s="56">
        <v>529</v>
      </c>
      <c r="BI53" s="57"/>
      <c r="BJ53" s="21" t="str">
        <f t="shared" si="368"/>
        <v/>
      </c>
      <c r="BK53" s="7">
        <f t="shared" si="369"/>
        <v>0</v>
      </c>
      <c r="BL53" s="56"/>
      <c r="BM53" s="57"/>
      <c r="BN53" s="84" t="str">
        <f t="shared" si="370"/>
        <v/>
      </c>
      <c r="BO53" s="28" t="s">
        <v>11</v>
      </c>
      <c r="BP53" s="7">
        <f t="shared" si="339"/>
        <v>519</v>
      </c>
      <c r="BQ53" s="56">
        <v>519</v>
      </c>
      <c r="BR53" s="57"/>
      <c r="BS53" s="21" t="str">
        <f t="shared" si="371"/>
        <v/>
      </c>
      <c r="BT53" s="7">
        <f t="shared" si="340"/>
        <v>549</v>
      </c>
      <c r="BU53" s="56">
        <v>549</v>
      </c>
      <c r="BV53" s="57"/>
      <c r="BW53" s="21" t="str">
        <f t="shared" si="372"/>
        <v/>
      </c>
      <c r="BX53" s="7">
        <f t="shared" si="373"/>
        <v>499</v>
      </c>
      <c r="BY53" s="56">
        <v>499</v>
      </c>
      <c r="BZ53" s="57"/>
      <c r="CA53" s="84" t="str">
        <f t="shared" si="374"/>
        <v/>
      </c>
      <c r="CB53" s="28" t="s">
        <v>11</v>
      </c>
      <c r="CC53" s="7">
        <f t="shared" si="341"/>
        <v>0</v>
      </c>
      <c r="CD53" s="56"/>
      <c r="CE53" s="57"/>
      <c r="CF53" s="21" t="str">
        <f t="shared" si="375"/>
        <v/>
      </c>
      <c r="CG53" s="7">
        <f t="shared" si="342"/>
        <v>0</v>
      </c>
      <c r="CH53" s="56"/>
      <c r="CI53" s="57"/>
      <c r="CJ53" s="21" t="str">
        <f t="shared" si="376"/>
        <v/>
      </c>
      <c r="CK53" s="7">
        <f t="shared" si="377"/>
        <v>0</v>
      </c>
      <c r="CL53" s="56"/>
      <c r="CM53" s="57"/>
      <c r="CN53" s="84" t="str">
        <f t="shared" si="378"/>
        <v/>
      </c>
      <c r="CO53" s="28" t="s">
        <v>11</v>
      </c>
      <c r="CP53" s="7">
        <f t="shared" si="343"/>
        <v>641</v>
      </c>
      <c r="CQ53" s="56">
        <v>641</v>
      </c>
      <c r="CR53" s="57"/>
      <c r="CS53" s="21" t="str">
        <f t="shared" si="379"/>
        <v/>
      </c>
      <c r="CT53" s="7">
        <f t="shared" si="344"/>
        <v>529</v>
      </c>
      <c r="CU53" s="56">
        <v>529</v>
      </c>
      <c r="CV53" s="57"/>
      <c r="CW53" s="21" t="str">
        <f t="shared" si="380"/>
        <v/>
      </c>
      <c r="CX53" s="7">
        <f t="shared" si="381"/>
        <v>0</v>
      </c>
      <c r="CY53" s="56"/>
      <c r="CZ53" s="57"/>
      <c r="DA53" s="84" t="str">
        <f t="shared" si="382"/>
        <v/>
      </c>
      <c r="DB53" s="28" t="s">
        <v>11</v>
      </c>
      <c r="DC53" s="7">
        <f t="shared" si="345"/>
        <v>641</v>
      </c>
      <c r="DD53" s="56">
        <v>641</v>
      </c>
      <c r="DE53" s="57"/>
      <c r="DF53" s="21" t="str">
        <f t="shared" si="383"/>
        <v/>
      </c>
      <c r="DG53" s="7">
        <f t="shared" si="346"/>
        <v>529</v>
      </c>
      <c r="DH53" s="56">
        <v>529</v>
      </c>
      <c r="DI53" s="57"/>
      <c r="DJ53" s="21" t="str">
        <f t="shared" si="384"/>
        <v/>
      </c>
      <c r="DK53" s="7">
        <f t="shared" si="385"/>
        <v>0</v>
      </c>
      <c r="DL53" s="56"/>
      <c r="DM53" s="57"/>
      <c r="DN53" s="84" t="str">
        <f t="shared" si="386"/>
        <v/>
      </c>
      <c r="DO53" s="28" t="s">
        <v>11</v>
      </c>
      <c r="DP53" s="7">
        <f t="shared" si="347"/>
        <v>519</v>
      </c>
      <c r="DQ53" s="56">
        <v>519</v>
      </c>
      <c r="DR53" s="57"/>
      <c r="DS53" s="21" t="str">
        <f t="shared" si="387"/>
        <v/>
      </c>
      <c r="DT53" s="7">
        <f t="shared" si="348"/>
        <v>549</v>
      </c>
      <c r="DU53" s="56">
        <v>549</v>
      </c>
      <c r="DV53" s="57"/>
      <c r="DW53" s="21" t="str">
        <f t="shared" si="388"/>
        <v/>
      </c>
      <c r="DX53" s="7">
        <f t="shared" si="389"/>
        <v>0</v>
      </c>
      <c r="DY53" s="56"/>
      <c r="DZ53" s="57"/>
      <c r="EA53" s="84" t="str">
        <f t="shared" si="390"/>
        <v/>
      </c>
      <c r="EB53" s="28" t="s">
        <v>11</v>
      </c>
      <c r="EC53" s="7">
        <f t="shared" si="349"/>
        <v>519</v>
      </c>
      <c r="ED53" s="56">
        <v>519</v>
      </c>
      <c r="EE53" s="57"/>
      <c r="EF53" s="21" t="str">
        <f t="shared" si="391"/>
        <v/>
      </c>
      <c r="EG53" s="7">
        <f t="shared" si="350"/>
        <v>549</v>
      </c>
      <c r="EH53" s="56">
        <v>549</v>
      </c>
      <c r="EI53" s="57"/>
      <c r="EJ53" s="21" t="str">
        <f t="shared" si="392"/>
        <v/>
      </c>
      <c r="EK53" s="7">
        <f t="shared" si="393"/>
        <v>0</v>
      </c>
      <c r="EL53" s="56"/>
      <c r="EM53" s="57"/>
      <c r="EN53" s="84" t="str">
        <f t="shared" si="394"/>
        <v/>
      </c>
    </row>
    <row r="54" spans="2:144" outlineLevel="1" x14ac:dyDescent="0.3">
      <c r="B54" s="28" t="s">
        <v>10</v>
      </c>
      <c r="C54" s="7">
        <f t="shared" si="329"/>
        <v>449</v>
      </c>
      <c r="D54" s="56">
        <v>449</v>
      </c>
      <c r="E54" s="64"/>
      <c r="F54" s="20" t="str">
        <f>IFERROR(C54/#REF!*100,"")</f>
        <v/>
      </c>
      <c r="G54" s="7"/>
      <c r="H54" s="56">
        <v>449</v>
      </c>
      <c r="I54" s="64"/>
      <c r="J54" s="20" t="str">
        <f>IFERROR(G54/#REF!*100,"")</f>
        <v/>
      </c>
      <c r="K54" s="7">
        <f t="shared" si="353"/>
        <v>450</v>
      </c>
      <c r="L54" s="56">
        <v>450</v>
      </c>
      <c r="M54" s="57"/>
      <c r="N54" s="83" t="str">
        <f>IFERROR(K54/#REF!*100,"")</f>
        <v/>
      </c>
      <c r="O54" s="28" t="s">
        <v>10</v>
      </c>
      <c r="P54" s="7">
        <f t="shared" si="331"/>
        <v>439</v>
      </c>
      <c r="Q54" s="56">
        <v>439</v>
      </c>
      <c r="R54" s="64"/>
      <c r="S54" s="20" t="str">
        <f>IFERROR(P54/#REF!*100,"")</f>
        <v/>
      </c>
      <c r="T54" s="7"/>
      <c r="U54" s="56">
        <v>449</v>
      </c>
      <c r="V54" s="64"/>
      <c r="W54" s="20" t="str">
        <f>IFERROR(T54/#REF!*100,"")</f>
        <v/>
      </c>
      <c r="X54" s="7">
        <f t="shared" si="357"/>
        <v>396</v>
      </c>
      <c r="Y54" s="56">
        <v>396</v>
      </c>
      <c r="Z54" s="57"/>
      <c r="AA54" s="83" t="str">
        <f>IFERROR(X54/#REF!*100,"")</f>
        <v/>
      </c>
      <c r="AB54" s="28" t="s">
        <v>10</v>
      </c>
      <c r="AC54" s="7">
        <f t="shared" si="333"/>
        <v>0</v>
      </c>
      <c r="AD54" s="56"/>
      <c r="AE54" s="64"/>
      <c r="AF54" s="20" t="str">
        <f>IFERROR(AC54/#REF!*100,"")</f>
        <v/>
      </c>
      <c r="AG54" s="7"/>
      <c r="AH54" s="56"/>
      <c r="AI54" s="64"/>
      <c r="AJ54" s="20" t="str">
        <f>IFERROR(AG54/#REF!*100,"")</f>
        <v/>
      </c>
      <c r="AK54" s="7">
        <f t="shared" si="361"/>
        <v>0</v>
      </c>
      <c r="AL54" s="56"/>
      <c r="AM54" s="57"/>
      <c r="AN54" s="83" t="str">
        <f>IFERROR(AK54/#REF!*100,"")</f>
        <v/>
      </c>
      <c r="AO54" s="28" t="s">
        <v>10</v>
      </c>
      <c r="AP54" s="7">
        <f t="shared" si="335"/>
        <v>439</v>
      </c>
      <c r="AQ54" s="56">
        <v>439</v>
      </c>
      <c r="AR54" s="64"/>
      <c r="AS54" s="20" t="str">
        <f>IFERROR(AP54/#REF!*100,"")</f>
        <v/>
      </c>
      <c r="AT54" s="7"/>
      <c r="AU54" s="56"/>
      <c r="AV54" s="64"/>
      <c r="AW54" s="20" t="str">
        <f>IFERROR(AT54/#REF!*100,"")</f>
        <v/>
      </c>
      <c r="AX54" s="7">
        <f t="shared" si="365"/>
        <v>0</v>
      </c>
      <c r="AY54" s="56"/>
      <c r="AZ54" s="57"/>
      <c r="BA54" s="83" t="str">
        <f>IFERROR(AX54/#REF!*100,"")</f>
        <v/>
      </c>
      <c r="BB54" s="28" t="s">
        <v>10</v>
      </c>
      <c r="BC54" s="7">
        <f t="shared" si="337"/>
        <v>429</v>
      </c>
      <c r="BD54" s="56">
        <v>429</v>
      </c>
      <c r="BE54" s="64"/>
      <c r="BF54" s="20" t="str">
        <f>IFERROR(BC54/#REF!*100,"")</f>
        <v/>
      </c>
      <c r="BG54" s="7">
        <f t="shared" si="338"/>
        <v>449</v>
      </c>
      <c r="BH54" s="56">
        <v>449</v>
      </c>
      <c r="BI54" s="64"/>
      <c r="BJ54" s="20" t="str">
        <f>IFERROR(BG54/#REF!*100,"")</f>
        <v/>
      </c>
      <c r="BK54" s="7">
        <f t="shared" si="369"/>
        <v>0</v>
      </c>
      <c r="BL54" s="56"/>
      <c r="BM54" s="57"/>
      <c r="BN54" s="83" t="str">
        <f>IFERROR(BK54/#REF!*100,"")</f>
        <v/>
      </c>
      <c r="BO54" s="28" t="s">
        <v>10</v>
      </c>
      <c r="BP54" s="7">
        <f t="shared" si="339"/>
        <v>429</v>
      </c>
      <c r="BQ54" s="56">
        <v>429</v>
      </c>
      <c r="BR54" s="64"/>
      <c r="BS54" s="20" t="str">
        <f>IFERROR(BP54/#REF!*100,"")</f>
        <v/>
      </c>
      <c r="BT54" s="7">
        <f t="shared" si="340"/>
        <v>449</v>
      </c>
      <c r="BU54" s="56">
        <v>449</v>
      </c>
      <c r="BV54" s="64"/>
      <c r="BW54" s="20" t="str">
        <f>IFERROR(BT54/#REF!*100,"")</f>
        <v/>
      </c>
      <c r="BX54" s="7">
        <f t="shared" si="373"/>
        <v>0</v>
      </c>
      <c r="BY54" s="56"/>
      <c r="BZ54" s="57"/>
      <c r="CA54" s="83" t="str">
        <f>IFERROR(BX54/#REF!*100,"")</f>
        <v/>
      </c>
      <c r="CB54" s="28" t="s">
        <v>10</v>
      </c>
      <c r="CC54" s="7">
        <f t="shared" si="341"/>
        <v>0</v>
      </c>
      <c r="CD54" s="56"/>
      <c r="CE54" s="64"/>
      <c r="CF54" s="20" t="str">
        <f>IFERROR(CC54/#REF!*100,"")</f>
        <v/>
      </c>
      <c r="CG54" s="7">
        <f t="shared" si="342"/>
        <v>0</v>
      </c>
      <c r="CH54" s="56"/>
      <c r="CI54" s="64"/>
      <c r="CJ54" s="20" t="str">
        <f>IFERROR(CG54/#REF!*100,"")</f>
        <v/>
      </c>
      <c r="CK54" s="7">
        <f t="shared" si="377"/>
        <v>0</v>
      </c>
      <c r="CL54" s="56"/>
      <c r="CM54" s="57"/>
      <c r="CN54" s="83" t="str">
        <f>IFERROR(CK54/#REF!*100,"")</f>
        <v/>
      </c>
      <c r="CO54" s="28" t="s">
        <v>10</v>
      </c>
      <c r="CP54" s="7">
        <f t="shared" si="343"/>
        <v>439</v>
      </c>
      <c r="CQ54" s="56">
        <v>439</v>
      </c>
      <c r="CR54" s="64"/>
      <c r="CS54" s="20" t="str">
        <f>IFERROR(CP54/#REF!*100,"")</f>
        <v/>
      </c>
      <c r="CT54" s="7">
        <f t="shared" si="344"/>
        <v>429</v>
      </c>
      <c r="CU54" s="56">
        <v>429</v>
      </c>
      <c r="CV54" s="64"/>
      <c r="CW54" s="20" t="str">
        <f>IFERROR(CT54/#REF!*100,"")</f>
        <v/>
      </c>
      <c r="CX54" s="7">
        <f t="shared" si="381"/>
        <v>0</v>
      </c>
      <c r="CY54" s="56"/>
      <c r="CZ54" s="57"/>
      <c r="DA54" s="83" t="str">
        <f>IFERROR(CX54/#REF!*100,"")</f>
        <v/>
      </c>
      <c r="DB54" s="28" t="s">
        <v>10</v>
      </c>
      <c r="DC54" s="7">
        <f t="shared" si="345"/>
        <v>439</v>
      </c>
      <c r="DD54" s="56">
        <v>439</v>
      </c>
      <c r="DE54" s="64"/>
      <c r="DF54" s="20" t="str">
        <f>IFERROR(DC54/#REF!*100,"")</f>
        <v/>
      </c>
      <c r="DG54" s="7">
        <f t="shared" si="346"/>
        <v>429</v>
      </c>
      <c r="DH54" s="56">
        <v>429</v>
      </c>
      <c r="DI54" s="64"/>
      <c r="DJ54" s="20" t="str">
        <f>IFERROR(DG54/#REF!*100,"")</f>
        <v/>
      </c>
      <c r="DK54" s="7">
        <f t="shared" si="385"/>
        <v>0</v>
      </c>
      <c r="DL54" s="56"/>
      <c r="DM54" s="57"/>
      <c r="DN54" s="83" t="str">
        <f>IFERROR(DK54/#REF!*100,"")</f>
        <v/>
      </c>
      <c r="DO54" s="28" t="s">
        <v>10</v>
      </c>
      <c r="DP54" s="7">
        <f t="shared" si="347"/>
        <v>439</v>
      </c>
      <c r="DQ54" s="56">
        <v>439</v>
      </c>
      <c r="DR54" s="64"/>
      <c r="DS54" s="20" t="str">
        <f>IFERROR(DP54/#REF!*100,"")</f>
        <v/>
      </c>
      <c r="DT54" s="7">
        <f t="shared" si="348"/>
        <v>449</v>
      </c>
      <c r="DU54" s="56">
        <v>449</v>
      </c>
      <c r="DV54" s="64"/>
      <c r="DW54" s="20" t="str">
        <f>IFERROR(DT54/#REF!*100,"")</f>
        <v/>
      </c>
      <c r="DX54" s="7">
        <f t="shared" si="389"/>
        <v>0</v>
      </c>
      <c r="DY54" s="56"/>
      <c r="DZ54" s="57"/>
      <c r="EA54" s="83" t="str">
        <f>IFERROR(DX54/#REF!*100,"")</f>
        <v/>
      </c>
      <c r="EB54" s="28" t="s">
        <v>10</v>
      </c>
      <c r="EC54" s="7">
        <f t="shared" si="349"/>
        <v>439</v>
      </c>
      <c r="ED54" s="56">
        <v>439</v>
      </c>
      <c r="EE54" s="64"/>
      <c r="EF54" s="20" t="str">
        <f>IFERROR(EC54/#REF!*100,"")</f>
        <v/>
      </c>
      <c r="EG54" s="7">
        <f t="shared" si="350"/>
        <v>449</v>
      </c>
      <c r="EH54" s="56">
        <v>449</v>
      </c>
      <c r="EI54" s="64"/>
      <c r="EJ54" s="20" t="str">
        <f>IFERROR(EG54/#REF!*100,"")</f>
        <v/>
      </c>
      <c r="EK54" s="7">
        <f t="shared" si="393"/>
        <v>0</v>
      </c>
      <c r="EL54" s="56"/>
      <c r="EM54" s="57"/>
      <c r="EN54" s="83" t="str">
        <f>IFERROR(EK54/#REF!*100,"")</f>
        <v/>
      </c>
    </row>
    <row r="55" spans="2:144" outlineLevel="1" x14ac:dyDescent="0.3">
      <c r="B55" s="28"/>
      <c r="C55" s="7"/>
      <c r="D55" s="56"/>
      <c r="E55" s="57"/>
      <c r="F55" s="20"/>
      <c r="G55" s="7"/>
      <c r="H55" s="56"/>
      <c r="I55" s="57"/>
      <c r="J55" s="20"/>
      <c r="K55" s="7"/>
      <c r="L55" s="56"/>
      <c r="M55" s="57"/>
      <c r="N55" s="83"/>
      <c r="O55" s="28"/>
      <c r="P55" s="7"/>
      <c r="Q55" s="56"/>
      <c r="R55" s="57"/>
      <c r="S55" s="20"/>
      <c r="T55" s="7"/>
      <c r="U55" s="56"/>
      <c r="V55" s="57"/>
      <c r="W55" s="20"/>
      <c r="X55" s="7"/>
      <c r="Y55" s="56"/>
      <c r="Z55" s="57"/>
      <c r="AA55" s="83"/>
      <c r="AB55" s="28"/>
      <c r="AC55" s="7"/>
      <c r="AD55" s="56"/>
      <c r="AE55" s="57"/>
      <c r="AF55" s="20"/>
      <c r="AG55" s="7"/>
      <c r="AH55" s="56"/>
      <c r="AI55" s="57"/>
      <c r="AJ55" s="20"/>
      <c r="AK55" s="7"/>
      <c r="AL55" s="56"/>
      <c r="AM55" s="57"/>
      <c r="AN55" s="83"/>
      <c r="AO55" s="28"/>
      <c r="AP55" s="7"/>
      <c r="AQ55" s="56"/>
      <c r="AR55" s="57"/>
      <c r="AS55" s="20"/>
      <c r="AT55" s="7"/>
      <c r="AU55" s="56"/>
      <c r="AV55" s="57"/>
      <c r="AW55" s="20"/>
      <c r="AX55" s="7"/>
      <c r="AY55" s="56"/>
      <c r="AZ55" s="57"/>
      <c r="BA55" s="83"/>
      <c r="BB55" s="28"/>
      <c r="BC55" s="7"/>
      <c r="BD55" s="56"/>
      <c r="BE55" s="57"/>
      <c r="BF55" s="20"/>
      <c r="BG55" s="7"/>
      <c r="BH55" s="56"/>
      <c r="BI55" s="57"/>
      <c r="BJ55" s="20"/>
      <c r="BK55" s="7"/>
      <c r="BL55" s="56"/>
      <c r="BM55" s="57"/>
      <c r="BN55" s="83"/>
      <c r="BO55" s="28"/>
      <c r="BP55" s="7"/>
      <c r="BQ55" s="56"/>
      <c r="BR55" s="57"/>
      <c r="BS55" s="20"/>
      <c r="BT55" s="7"/>
      <c r="BU55" s="56"/>
      <c r="BV55" s="57"/>
      <c r="BW55" s="20"/>
      <c r="BX55" s="7"/>
      <c r="BY55" s="56"/>
      <c r="BZ55" s="57"/>
      <c r="CA55" s="83"/>
      <c r="CB55" s="28"/>
      <c r="CC55" s="7"/>
      <c r="CD55" s="56"/>
      <c r="CE55" s="57"/>
      <c r="CF55" s="20"/>
      <c r="CG55" s="7"/>
      <c r="CH55" s="56"/>
      <c r="CI55" s="57"/>
      <c r="CJ55" s="20"/>
      <c r="CK55" s="7"/>
      <c r="CL55" s="56"/>
      <c r="CM55" s="57"/>
      <c r="CN55" s="83"/>
      <c r="CO55" s="28"/>
      <c r="CP55" s="7"/>
      <c r="CQ55" s="56"/>
      <c r="CR55" s="57"/>
      <c r="CS55" s="20"/>
      <c r="CT55" s="7"/>
      <c r="CU55" s="56"/>
      <c r="CV55" s="57"/>
      <c r="CW55" s="20"/>
      <c r="CX55" s="7"/>
      <c r="CY55" s="56"/>
      <c r="CZ55" s="57"/>
      <c r="DA55" s="83"/>
      <c r="DB55" s="28"/>
      <c r="DC55" s="7"/>
      <c r="DD55" s="56"/>
      <c r="DE55" s="57"/>
      <c r="DF55" s="20"/>
      <c r="DG55" s="7"/>
      <c r="DH55" s="56"/>
      <c r="DI55" s="57"/>
      <c r="DJ55" s="20"/>
      <c r="DK55" s="7"/>
      <c r="DL55" s="56"/>
      <c r="DM55" s="57"/>
      <c r="DN55" s="83"/>
      <c r="DO55" s="28"/>
      <c r="DP55" s="7"/>
      <c r="DQ55" s="56"/>
      <c r="DR55" s="57"/>
      <c r="DS55" s="20"/>
      <c r="DT55" s="7"/>
      <c r="DU55" s="56"/>
      <c r="DV55" s="57"/>
      <c r="DW55" s="20"/>
      <c r="DX55" s="7"/>
      <c r="DY55" s="56"/>
      <c r="DZ55" s="57"/>
      <c r="EA55" s="83"/>
      <c r="EB55" s="28"/>
      <c r="EC55" s="7"/>
      <c r="ED55" s="56"/>
      <c r="EE55" s="57"/>
      <c r="EF55" s="20"/>
      <c r="EG55" s="7"/>
      <c r="EH55" s="56"/>
      <c r="EI55" s="57"/>
      <c r="EJ55" s="20"/>
      <c r="EK55" s="7"/>
      <c r="EL55" s="56"/>
      <c r="EM55" s="57"/>
      <c r="EN55" s="83"/>
    </row>
    <row r="56" spans="2:144" outlineLevel="1" x14ac:dyDescent="0.3">
      <c r="B56" s="28" t="s">
        <v>67</v>
      </c>
      <c r="C56" s="7">
        <f t="shared" ref="C56:C59" si="395">D56-E56</f>
        <v>0</v>
      </c>
      <c r="D56" s="56"/>
      <c r="E56" s="57"/>
      <c r="F56" s="20" t="str">
        <f>IFERROR(C56/#REF!*100,"")</f>
        <v/>
      </c>
      <c r="G56" s="7">
        <f t="shared" ref="G56:G59" si="396">H56-I56</f>
        <v>0</v>
      </c>
      <c r="H56" s="56"/>
      <c r="I56" s="57"/>
      <c r="J56" s="20" t="str">
        <f>IFERROR(G56/#REF!*100,"")</f>
        <v/>
      </c>
      <c r="K56" s="7"/>
      <c r="L56" s="56"/>
      <c r="M56" s="57"/>
      <c r="N56" s="83"/>
      <c r="O56" s="28" t="s">
        <v>67</v>
      </c>
      <c r="P56" s="7">
        <f t="shared" ref="P56:P59" si="397">Q56-R56</f>
        <v>0</v>
      </c>
      <c r="Q56" s="56"/>
      <c r="R56" s="57"/>
      <c r="S56" s="20" t="str">
        <f>IFERROR(P56/#REF!*100,"")</f>
        <v/>
      </c>
      <c r="T56" s="7">
        <f t="shared" ref="T56:T59" si="398">U56-V56</f>
        <v>0</v>
      </c>
      <c r="U56" s="56"/>
      <c r="V56" s="57"/>
      <c r="W56" s="20" t="str">
        <f>IFERROR(T56/#REF!*100,"")</f>
        <v/>
      </c>
      <c r="X56" s="7"/>
      <c r="Y56" s="56"/>
      <c r="Z56" s="57"/>
      <c r="AA56" s="83"/>
      <c r="AB56" s="28" t="s">
        <v>67</v>
      </c>
      <c r="AC56" s="7">
        <f t="shared" ref="AC56:AC59" si="399">AD56-AE56</f>
        <v>0</v>
      </c>
      <c r="AD56" s="56"/>
      <c r="AE56" s="57"/>
      <c r="AF56" s="20" t="str">
        <f>IFERROR(AC56/#REF!*100,"")</f>
        <v/>
      </c>
      <c r="AG56" s="7">
        <f t="shared" ref="AG56:AG59" si="400">AH56-AI56</f>
        <v>0</v>
      </c>
      <c r="AH56" s="56"/>
      <c r="AI56" s="57"/>
      <c r="AJ56" s="20" t="str">
        <f>IFERROR(AG56/#REF!*100,"")</f>
        <v/>
      </c>
      <c r="AK56" s="7"/>
      <c r="AL56" s="56"/>
      <c r="AM56" s="57"/>
      <c r="AN56" s="83"/>
      <c r="AO56" s="28" t="s">
        <v>67</v>
      </c>
      <c r="AP56" s="7">
        <f t="shared" ref="AP56:AP59" si="401">AQ56-AR56</f>
        <v>0</v>
      </c>
      <c r="AQ56" s="56"/>
      <c r="AR56" s="57"/>
      <c r="AS56" s="20" t="str">
        <f>IFERROR(AP56/#REF!*100,"")</f>
        <v/>
      </c>
      <c r="AT56" s="7">
        <f t="shared" ref="AT56:AT59" si="402">AU56-AV56</f>
        <v>0</v>
      </c>
      <c r="AU56" s="56"/>
      <c r="AV56" s="57"/>
      <c r="AW56" s="20" t="str">
        <f>IFERROR(AT56/#REF!*100,"")</f>
        <v/>
      </c>
      <c r="AX56" s="7"/>
      <c r="AY56" s="56"/>
      <c r="AZ56" s="57"/>
      <c r="BA56" s="83"/>
      <c r="BB56" s="28" t="s">
        <v>67</v>
      </c>
      <c r="BC56" s="7">
        <f t="shared" ref="BC56:BC59" si="403">BD56-BE56</f>
        <v>0</v>
      </c>
      <c r="BD56" s="56"/>
      <c r="BE56" s="57"/>
      <c r="BF56" s="20" t="str">
        <f>IFERROR(BC56/#REF!*100,"")</f>
        <v/>
      </c>
      <c r="BG56" s="7">
        <f t="shared" ref="BG56:BG59" si="404">BH56-BI56</f>
        <v>0</v>
      </c>
      <c r="BH56" s="56"/>
      <c r="BI56" s="57"/>
      <c r="BJ56" s="20" t="str">
        <f>IFERROR(BG56/#REF!*100,"")</f>
        <v/>
      </c>
      <c r="BK56" s="7"/>
      <c r="BL56" s="56"/>
      <c r="BM56" s="57"/>
      <c r="BN56" s="83"/>
      <c r="BO56" s="28" t="s">
        <v>67</v>
      </c>
      <c r="BP56" s="7">
        <f t="shared" ref="BP56:BP59" si="405">BQ56-BR56</f>
        <v>0</v>
      </c>
      <c r="BQ56" s="56"/>
      <c r="BR56" s="57"/>
      <c r="BS56" s="20" t="str">
        <f>IFERROR(BP56/#REF!*100,"")</f>
        <v/>
      </c>
      <c r="BT56" s="7">
        <f t="shared" ref="BT56:BT59" si="406">BU56-BV56</f>
        <v>0</v>
      </c>
      <c r="BU56" s="56"/>
      <c r="BV56" s="57"/>
      <c r="BW56" s="20" t="str">
        <f>IFERROR(BT56/#REF!*100,"")</f>
        <v/>
      </c>
      <c r="BX56" s="7"/>
      <c r="BY56" s="56"/>
      <c r="BZ56" s="57"/>
      <c r="CA56" s="83"/>
      <c r="CB56" s="28" t="s">
        <v>67</v>
      </c>
      <c r="CC56" s="7">
        <f t="shared" ref="CC56:CC59" si="407">CD56-CE56</f>
        <v>0</v>
      </c>
      <c r="CD56" s="56"/>
      <c r="CE56" s="57"/>
      <c r="CF56" s="20" t="str">
        <f>IFERROR(CC56/#REF!*100,"")</f>
        <v/>
      </c>
      <c r="CG56" s="7">
        <f t="shared" ref="CG56:CG59" si="408">CH56-CI56</f>
        <v>0</v>
      </c>
      <c r="CH56" s="56"/>
      <c r="CI56" s="57"/>
      <c r="CJ56" s="20" t="str">
        <f>IFERROR(CG56/#REF!*100,"")</f>
        <v/>
      </c>
      <c r="CK56" s="7"/>
      <c r="CL56" s="56"/>
      <c r="CM56" s="57"/>
      <c r="CN56" s="83"/>
      <c r="CO56" s="28" t="s">
        <v>67</v>
      </c>
      <c r="CP56" s="7">
        <f t="shared" ref="CP56:CP59" si="409">CQ56-CR56</f>
        <v>0</v>
      </c>
      <c r="CQ56" s="56"/>
      <c r="CR56" s="57"/>
      <c r="CS56" s="20" t="str">
        <f>IFERROR(CP56/#REF!*100,"")</f>
        <v/>
      </c>
      <c r="CT56" s="7">
        <f t="shared" ref="CT56:CT59" si="410">CU56-CV56</f>
        <v>0</v>
      </c>
      <c r="CU56" s="56"/>
      <c r="CV56" s="57"/>
      <c r="CW56" s="20" t="str">
        <f>IFERROR(CT56/#REF!*100,"")</f>
        <v/>
      </c>
      <c r="CX56" s="7"/>
      <c r="CY56" s="56"/>
      <c r="CZ56" s="57"/>
      <c r="DA56" s="83"/>
      <c r="DB56" s="28" t="s">
        <v>67</v>
      </c>
      <c r="DC56" s="7">
        <f t="shared" ref="DC56:DC59" si="411">DD56-DE56</f>
        <v>0</v>
      </c>
      <c r="DD56" s="56"/>
      <c r="DE56" s="57"/>
      <c r="DF56" s="20" t="str">
        <f>IFERROR(DC56/#REF!*100,"")</f>
        <v/>
      </c>
      <c r="DG56" s="7">
        <f t="shared" ref="DG56:DG59" si="412">DH56-DI56</f>
        <v>0</v>
      </c>
      <c r="DH56" s="56"/>
      <c r="DI56" s="57"/>
      <c r="DJ56" s="20" t="str">
        <f>IFERROR(DG56/#REF!*100,"")</f>
        <v/>
      </c>
      <c r="DK56" s="7"/>
      <c r="DL56" s="56"/>
      <c r="DM56" s="57"/>
      <c r="DN56" s="83"/>
      <c r="DO56" s="28" t="s">
        <v>67</v>
      </c>
      <c r="DP56" s="7">
        <f t="shared" ref="DP56:DP59" si="413">DQ56-DR56</f>
        <v>0</v>
      </c>
      <c r="DQ56" s="56"/>
      <c r="DR56" s="57"/>
      <c r="DS56" s="20" t="str">
        <f>IFERROR(DP56/#REF!*100,"")</f>
        <v/>
      </c>
      <c r="DT56" s="7">
        <f t="shared" ref="DT56:DT59" si="414">DU56-DV56</f>
        <v>0</v>
      </c>
      <c r="DU56" s="56"/>
      <c r="DV56" s="57"/>
      <c r="DW56" s="20" t="str">
        <f>IFERROR(DT56/#REF!*100,"")</f>
        <v/>
      </c>
      <c r="DX56" s="7"/>
      <c r="DY56" s="56"/>
      <c r="DZ56" s="57"/>
      <c r="EA56" s="83"/>
      <c r="EB56" s="28" t="s">
        <v>67</v>
      </c>
      <c r="EC56" s="7">
        <f t="shared" ref="EC56:EC59" si="415">ED56-EE56</f>
        <v>0</v>
      </c>
      <c r="ED56" s="56"/>
      <c r="EE56" s="57"/>
      <c r="EF56" s="20" t="str">
        <f>IFERROR(EC56/#REF!*100,"")</f>
        <v/>
      </c>
      <c r="EG56" s="7">
        <f t="shared" ref="EG56:EG59" si="416">EH56-EI56</f>
        <v>0</v>
      </c>
      <c r="EH56" s="56"/>
      <c r="EI56" s="57"/>
      <c r="EJ56" s="20" t="str">
        <f>IFERROR(EG56/#REF!*100,"")</f>
        <v/>
      </c>
      <c r="EK56" s="7"/>
      <c r="EL56" s="56"/>
      <c r="EM56" s="57"/>
      <c r="EN56" s="83"/>
    </row>
    <row r="57" spans="2:144" outlineLevel="1" x14ac:dyDescent="0.3">
      <c r="B57" s="28" t="s">
        <v>68</v>
      </c>
      <c r="C57" s="7">
        <f t="shared" si="395"/>
        <v>0</v>
      </c>
      <c r="D57" s="56"/>
      <c r="E57" s="57"/>
      <c r="F57" s="20" t="str">
        <f>IFERROR(C57/#REF!*100,"")</f>
        <v/>
      </c>
      <c r="G57" s="7">
        <f t="shared" si="396"/>
        <v>0</v>
      </c>
      <c r="H57" s="56"/>
      <c r="I57" s="57"/>
      <c r="J57" s="20" t="str">
        <f>IFERROR(G57/#REF!*100,"")</f>
        <v/>
      </c>
      <c r="K57" s="7">
        <f t="shared" ref="K57:K59" si="417">L57-M57</f>
        <v>0</v>
      </c>
      <c r="L57" s="56"/>
      <c r="M57" s="57"/>
      <c r="N57" s="83" t="str">
        <f>IFERROR(K57/#REF!*100,"")</f>
        <v/>
      </c>
      <c r="O57" s="28" t="s">
        <v>68</v>
      </c>
      <c r="P57" s="7">
        <f t="shared" si="397"/>
        <v>0</v>
      </c>
      <c r="Q57" s="56"/>
      <c r="R57" s="57"/>
      <c r="S57" s="20" t="str">
        <f>IFERROR(P57/#REF!*100,"")</f>
        <v/>
      </c>
      <c r="T57" s="7">
        <f t="shared" si="398"/>
        <v>0</v>
      </c>
      <c r="U57" s="56"/>
      <c r="V57" s="57"/>
      <c r="W57" s="20" t="str">
        <f>IFERROR(T57/#REF!*100,"")</f>
        <v/>
      </c>
      <c r="X57" s="7">
        <f t="shared" ref="X57:X59" si="418">Y57-Z57</f>
        <v>0</v>
      </c>
      <c r="Y57" s="56"/>
      <c r="Z57" s="57"/>
      <c r="AA57" s="83" t="str">
        <f>IFERROR(X57/#REF!*100,"")</f>
        <v/>
      </c>
      <c r="AB57" s="28" t="s">
        <v>68</v>
      </c>
      <c r="AC57" s="7">
        <f t="shared" si="399"/>
        <v>0</v>
      </c>
      <c r="AD57" s="56"/>
      <c r="AE57" s="57"/>
      <c r="AF57" s="20" t="str">
        <f>IFERROR(AC57/#REF!*100,"")</f>
        <v/>
      </c>
      <c r="AG57" s="7">
        <f t="shared" si="400"/>
        <v>0</v>
      </c>
      <c r="AH57" s="56"/>
      <c r="AI57" s="57"/>
      <c r="AJ57" s="20" t="str">
        <f>IFERROR(AG57/#REF!*100,"")</f>
        <v/>
      </c>
      <c r="AK57" s="7">
        <f t="shared" ref="AK57:AK59" si="419">AL57-AM57</f>
        <v>0</v>
      </c>
      <c r="AL57" s="56"/>
      <c r="AM57" s="57"/>
      <c r="AN57" s="83" t="str">
        <f>IFERROR(AK57/#REF!*100,"")</f>
        <v/>
      </c>
      <c r="AO57" s="28" t="s">
        <v>68</v>
      </c>
      <c r="AP57" s="7">
        <f t="shared" si="401"/>
        <v>0</v>
      </c>
      <c r="AQ57" s="56"/>
      <c r="AR57" s="57"/>
      <c r="AS57" s="20" t="str">
        <f>IFERROR(AP57/#REF!*100,"")</f>
        <v/>
      </c>
      <c r="AT57" s="7">
        <f t="shared" si="402"/>
        <v>0</v>
      </c>
      <c r="AU57" s="56"/>
      <c r="AV57" s="57"/>
      <c r="AW57" s="20" t="str">
        <f>IFERROR(AT57/#REF!*100,"")</f>
        <v/>
      </c>
      <c r="AX57" s="7">
        <f t="shared" ref="AX57:AX59" si="420">AY57-AZ57</f>
        <v>0</v>
      </c>
      <c r="AY57" s="56"/>
      <c r="AZ57" s="57"/>
      <c r="BA57" s="83" t="str">
        <f>IFERROR(AX57/#REF!*100,"")</f>
        <v/>
      </c>
      <c r="BB57" s="28" t="s">
        <v>68</v>
      </c>
      <c r="BC57" s="7">
        <f t="shared" si="403"/>
        <v>0</v>
      </c>
      <c r="BD57" s="56"/>
      <c r="BE57" s="57"/>
      <c r="BF57" s="20" t="str">
        <f>IFERROR(BC57/#REF!*100,"")</f>
        <v/>
      </c>
      <c r="BG57" s="7">
        <f t="shared" si="404"/>
        <v>0</v>
      </c>
      <c r="BH57" s="56"/>
      <c r="BI57" s="57"/>
      <c r="BJ57" s="20" t="str">
        <f>IFERROR(BG57/#REF!*100,"")</f>
        <v/>
      </c>
      <c r="BK57" s="7">
        <f t="shared" ref="BK57:BK59" si="421">BL57-BM57</f>
        <v>0</v>
      </c>
      <c r="BL57" s="56"/>
      <c r="BM57" s="57"/>
      <c r="BN57" s="83" t="str">
        <f>IFERROR(BK57/#REF!*100,"")</f>
        <v/>
      </c>
      <c r="BO57" s="28" t="s">
        <v>68</v>
      </c>
      <c r="BP57" s="7">
        <f t="shared" si="405"/>
        <v>0</v>
      </c>
      <c r="BQ57" s="56"/>
      <c r="BR57" s="57"/>
      <c r="BS57" s="20" t="str">
        <f>IFERROR(BP57/#REF!*100,"")</f>
        <v/>
      </c>
      <c r="BT57" s="7">
        <f t="shared" si="406"/>
        <v>0</v>
      </c>
      <c r="BU57" s="56"/>
      <c r="BV57" s="57"/>
      <c r="BW57" s="20" t="str">
        <f>IFERROR(BT57/#REF!*100,"")</f>
        <v/>
      </c>
      <c r="BX57" s="7">
        <f t="shared" ref="BX57:BX59" si="422">BY57-BZ57</f>
        <v>0</v>
      </c>
      <c r="BY57" s="56"/>
      <c r="BZ57" s="57"/>
      <c r="CA57" s="83" t="str">
        <f>IFERROR(BX57/#REF!*100,"")</f>
        <v/>
      </c>
      <c r="CB57" s="28" t="s">
        <v>68</v>
      </c>
      <c r="CC57" s="7">
        <f t="shared" si="407"/>
        <v>0</v>
      </c>
      <c r="CD57" s="56"/>
      <c r="CE57" s="57"/>
      <c r="CF57" s="20" t="str">
        <f>IFERROR(CC57/#REF!*100,"")</f>
        <v/>
      </c>
      <c r="CG57" s="7">
        <f t="shared" si="408"/>
        <v>0</v>
      </c>
      <c r="CH57" s="56"/>
      <c r="CI57" s="57"/>
      <c r="CJ57" s="20" t="str">
        <f>IFERROR(CG57/#REF!*100,"")</f>
        <v/>
      </c>
      <c r="CK57" s="7">
        <f t="shared" ref="CK57:CK59" si="423">CL57-CM57</f>
        <v>0</v>
      </c>
      <c r="CL57" s="56"/>
      <c r="CM57" s="57"/>
      <c r="CN57" s="83" t="str">
        <f>IFERROR(CK57/#REF!*100,"")</f>
        <v/>
      </c>
      <c r="CO57" s="28" t="s">
        <v>68</v>
      </c>
      <c r="CP57" s="7">
        <f t="shared" si="409"/>
        <v>0</v>
      </c>
      <c r="CQ57" s="56"/>
      <c r="CR57" s="57"/>
      <c r="CS57" s="20" t="str">
        <f>IFERROR(CP57/#REF!*100,"")</f>
        <v/>
      </c>
      <c r="CT57" s="7">
        <f t="shared" si="410"/>
        <v>0</v>
      </c>
      <c r="CU57" s="56"/>
      <c r="CV57" s="57"/>
      <c r="CW57" s="20" t="str">
        <f>IFERROR(CT57/#REF!*100,"")</f>
        <v/>
      </c>
      <c r="CX57" s="7">
        <f t="shared" ref="CX57:CX59" si="424">CY57-CZ57</f>
        <v>0</v>
      </c>
      <c r="CY57" s="56"/>
      <c r="CZ57" s="57"/>
      <c r="DA57" s="83" t="str">
        <f>IFERROR(CX57/#REF!*100,"")</f>
        <v/>
      </c>
      <c r="DB57" s="28" t="s">
        <v>68</v>
      </c>
      <c r="DC57" s="7">
        <f t="shared" si="411"/>
        <v>0</v>
      </c>
      <c r="DD57" s="56"/>
      <c r="DE57" s="57"/>
      <c r="DF57" s="20" t="str">
        <f>IFERROR(DC57/#REF!*100,"")</f>
        <v/>
      </c>
      <c r="DG57" s="7">
        <f t="shared" si="412"/>
        <v>0</v>
      </c>
      <c r="DH57" s="56"/>
      <c r="DI57" s="57"/>
      <c r="DJ57" s="20" t="str">
        <f>IFERROR(DG57/#REF!*100,"")</f>
        <v/>
      </c>
      <c r="DK57" s="7">
        <f t="shared" ref="DK57:DK59" si="425">DL57-DM57</f>
        <v>0</v>
      </c>
      <c r="DL57" s="56"/>
      <c r="DM57" s="57"/>
      <c r="DN57" s="83" t="str">
        <f>IFERROR(DK57/#REF!*100,"")</f>
        <v/>
      </c>
      <c r="DO57" s="28" t="s">
        <v>68</v>
      </c>
      <c r="DP57" s="7">
        <f t="shared" si="413"/>
        <v>0</v>
      </c>
      <c r="DQ57" s="56"/>
      <c r="DR57" s="57"/>
      <c r="DS57" s="20" t="str">
        <f>IFERROR(DP57/#REF!*100,"")</f>
        <v/>
      </c>
      <c r="DT57" s="7">
        <f t="shared" si="414"/>
        <v>0</v>
      </c>
      <c r="DU57" s="56"/>
      <c r="DV57" s="57"/>
      <c r="DW57" s="20" t="str">
        <f>IFERROR(DT57/#REF!*100,"")</f>
        <v/>
      </c>
      <c r="DX57" s="7">
        <f t="shared" ref="DX57:DX59" si="426">DY57-DZ57</f>
        <v>0</v>
      </c>
      <c r="DY57" s="56"/>
      <c r="DZ57" s="57"/>
      <c r="EA57" s="83" t="str">
        <f>IFERROR(DX57/#REF!*100,"")</f>
        <v/>
      </c>
      <c r="EB57" s="28" t="s">
        <v>68</v>
      </c>
      <c r="EC57" s="7">
        <f t="shared" si="415"/>
        <v>0</v>
      </c>
      <c r="ED57" s="56"/>
      <c r="EE57" s="57"/>
      <c r="EF57" s="20" t="str">
        <f>IFERROR(EC57/#REF!*100,"")</f>
        <v/>
      </c>
      <c r="EG57" s="7">
        <f t="shared" si="416"/>
        <v>0</v>
      </c>
      <c r="EH57" s="56"/>
      <c r="EI57" s="57"/>
      <c r="EJ57" s="20" t="str">
        <f>IFERROR(EG57/#REF!*100,"")</f>
        <v/>
      </c>
      <c r="EK57" s="7">
        <f t="shared" ref="EK57:EK59" si="427">EL57-EM57</f>
        <v>0</v>
      </c>
      <c r="EL57" s="56"/>
      <c r="EM57" s="57"/>
      <c r="EN57" s="83" t="str">
        <f>IFERROR(EK57/#REF!*100,"")</f>
        <v/>
      </c>
    </row>
    <row r="58" spans="2:144" outlineLevel="1" x14ac:dyDescent="0.3">
      <c r="B58" s="28" t="s">
        <v>69</v>
      </c>
      <c r="C58" s="7">
        <f t="shared" si="395"/>
        <v>0</v>
      </c>
      <c r="D58" s="56"/>
      <c r="E58" s="57"/>
      <c r="F58" s="81" t="str">
        <f>IFERROR(C58/#REF!*100,"")</f>
        <v/>
      </c>
      <c r="G58" s="7">
        <f t="shared" si="396"/>
        <v>499</v>
      </c>
      <c r="H58" s="56">
        <v>499</v>
      </c>
      <c r="I58" s="57"/>
      <c r="J58" s="81" t="str">
        <f>IFERROR(G58/#REF!*100,"")</f>
        <v/>
      </c>
      <c r="K58" s="7">
        <f t="shared" si="417"/>
        <v>0</v>
      </c>
      <c r="L58" s="56"/>
      <c r="M58" s="57"/>
      <c r="N58" s="83" t="str">
        <f>IFERROR(K58/#REF!*100,"")</f>
        <v/>
      </c>
      <c r="O58" s="28" t="s">
        <v>69</v>
      </c>
      <c r="P58" s="7">
        <f t="shared" si="397"/>
        <v>0</v>
      </c>
      <c r="Q58" s="56"/>
      <c r="R58" s="57"/>
      <c r="S58" s="81" t="str">
        <f>IFERROR(P58/#REF!*100,"")</f>
        <v/>
      </c>
      <c r="T58" s="7">
        <f t="shared" si="398"/>
        <v>0</v>
      </c>
      <c r="U58" s="56"/>
      <c r="V58" s="57"/>
      <c r="W58" s="81" t="str">
        <f>IFERROR(T58/#REF!*100,"")</f>
        <v/>
      </c>
      <c r="X58" s="7">
        <f t="shared" si="418"/>
        <v>500</v>
      </c>
      <c r="Y58" s="56">
        <v>500</v>
      </c>
      <c r="Z58" s="57"/>
      <c r="AA58" s="83" t="str">
        <f>IFERROR(X58/#REF!*100,"")</f>
        <v/>
      </c>
      <c r="AB58" s="28" t="s">
        <v>69</v>
      </c>
      <c r="AC58" s="7">
        <f t="shared" si="399"/>
        <v>0</v>
      </c>
      <c r="AD58" s="56"/>
      <c r="AE58" s="57"/>
      <c r="AF58" s="81" t="str">
        <f>IFERROR(AC58/#REF!*100,"")</f>
        <v/>
      </c>
      <c r="AG58" s="7">
        <f t="shared" si="400"/>
        <v>0</v>
      </c>
      <c r="AH58" s="56"/>
      <c r="AI58" s="57"/>
      <c r="AJ58" s="81" t="str">
        <f>IFERROR(AG58/#REF!*100,"")</f>
        <v/>
      </c>
      <c r="AK58" s="7">
        <f t="shared" si="419"/>
        <v>0</v>
      </c>
      <c r="AL58" s="56"/>
      <c r="AM58" s="57"/>
      <c r="AN58" s="83" t="str">
        <f>IFERROR(AK58/#REF!*100,"")</f>
        <v/>
      </c>
      <c r="AO58" s="28" t="s">
        <v>69</v>
      </c>
      <c r="AP58" s="7">
        <f t="shared" si="401"/>
        <v>0</v>
      </c>
      <c r="AQ58" s="56"/>
      <c r="AR58" s="57"/>
      <c r="AS58" s="81" t="str">
        <f>IFERROR(AP58/#REF!*100,"")</f>
        <v/>
      </c>
      <c r="AT58" s="7">
        <f t="shared" si="402"/>
        <v>0</v>
      </c>
      <c r="AU58" s="56"/>
      <c r="AV58" s="57"/>
      <c r="AW58" s="81" t="str">
        <f>IFERROR(AT58/#REF!*100,"")</f>
        <v/>
      </c>
      <c r="AX58" s="7">
        <f t="shared" si="420"/>
        <v>0</v>
      </c>
      <c r="AY58" s="56"/>
      <c r="AZ58" s="57"/>
      <c r="BA58" s="83" t="str">
        <f>IFERROR(AX58/#REF!*100,"")</f>
        <v/>
      </c>
      <c r="BB58" s="28" t="s">
        <v>69</v>
      </c>
      <c r="BC58" s="7">
        <f t="shared" si="403"/>
        <v>0</v>
      </c>
      <c r="BD58" s="56"/>
      <c r="BE58" s="57"/>
      <c r="BF58" s="81" t="str">
        <f>IFERROR(BC58/#REF!*100,"")</f>
        <v/>
      </c>
      <c r="BG58" s="7">
        <f t="shared" si="404"/>
        <v>0</v>
      </c>
      <c r="BH58" s="56"/>
      <c r="BI58" s="57"/>
      <c r="BJ58" s="81" t="str">
        <f>IFERROR(BG58/#REF!*100,"")</f>
        <v/>
      </c>
      <c r="BK58" s="7">
        <f t="shared" si="421"/>
        <v>0</v>
      </c>
      <c r="BL58" s="56"/>
      <c r="BM58" s="57"/>
      <c r="BN58" s="83" t="str">
        <f>IFERROR(BK58/#REF!*100,"")</f>
        <v/>
      </c>
      <c r="BO58" s="28" t="s">
        <v>69</v>
      </c>
      <c r="BP58" s="7">
        <f t="shared" si="405"/>
        <v>0</v>
      </c>
      <c r="BQ58" s="56"/>
      <c r="BR58" s="57"/>
      <c r="BS58" s="81" t="str">
        <f>IFERROR(BP58/#REF!*100,"")</f>
        <v/>
      </c>
      <c r="BT58" s="7">
        <f t="shared" si="406"/>
        <v>0</v>
      </c>
      <c r="BU58" s="56"/>
      <c r="BV58" s="57"/>
      <c r="BW58" s="81" t="str">
        <f>IFERROR(BT58/#REF!*100,"")</f>
        <v/>
      </c>
      <c r="BX58" s="7">
        <f t="shared" si="422"/>
        <v>0</v>
      </c>
      <c r="BY58" s="56"/>
      <c r="BZ58" s="57"/>
      <c r="CA58" s="83" t="str">
        <f>IFERROR(BX58/#REF!*100,"")</f>
        <v/>
      </c>
      <c r="CB58" s="28" t="s">
        <v>69</v>
      </c>
      <c r="CC58" s="7">
        <f t="shared" si="407"/>
        <v>0</v>
      </c>
      <c r="CD58" s="56"/>
      <c r="CE58" s="57"/>
      <c r="CF58" s="81" t="str">
        <f>IFERROR(CC58/#REF!*100,"")</f>
        <v/>
      </c>
      <c r="CG58" s="7">
        <f t="shared" si="408"/>
        <v>0</v>
      </c>
      <c r="CH58" s="56"/>
      <c r="CI58" s="57"/>
      <c r="CJ58" s="81" t="str">
        <f>IFERROR(CG58/#REF!*100,"")</f>
        <v/>
      </c>
      <c r="CK58" s="7">
        <f t="shared" si="423"/>
        <v>0</v>
      </c>
      <c r="CL58" s="56"/>
      <c r="CM58" s="57"/>
      <c r="CN58" s="83" t="str">
        <f>IFERROR(CK58/#REF!*100,"")</f>
        <v/>
      </c>
      <c r="CO58" s="28" t="s">
        <v>69</v>
      </c>
      <c r="CP58" s="7">
        <f t="shared" si="409"/>
        <v>0</v>
      </c>
      <c r="CQ58" s="56"/>
      <c r="CR58" s="57"/>
      <c r="CS58" s="81" t="str">
        <f>IFERROR(CP58/#REF!*100,"")</f>
        <v/>
      </c>
      <c r="CT58" s="7">
        <f t="shared" si="410"/>
        <v>0</v>
      </c>
      <c r="CU58" s="56"/>
      <c r="CV58" s="57"/>
      <c r="CW58" s="81" t="str">
        <f>IFERROR(CT58/#REF!*100,"")</f>
        <v/>
      </c>
      <c r="CX58" s="7">
        <f t="shared" si="424"/>
        <v>0</v>
      </c>
      <c r="CY58" s="56"/>
      <c r="CZ58" s="57"/>
      <c r="DA58" s="83" t="str">
        <f>IFERROR(CX58/#REF!*100,"")</f>
        <v/>
      </c>
      <c r="DB58" s="28" t="s">
        <v>69</v>
      </c>
      <c r="DC58" s="7">
        <f t="shared" si="411"/>
        <v>0</v>
      </c>
      <c r="DD58" s="56"/>
      <c r="DE58" s="57"/>
      <c r="DF58" s="81" t="str">
        <f>IFERROR(DC58/#REF!*100,"")</f>
        <v/>
      </c>
      <c r="DG58" s="7">
        <f t="shared" si="412"/>
        <v>0</v>
      </c>
      <c r="DH58" s="56"/>
      <c r="DI58" s="57"/>
      <c r="DJ58" s="81" t="str">
        <f>IFERROR(DG58/#REF!*100,"")</f>
        <v/>
      </c>
      <c r="DK58" s="7">
        <f t="shared" si="425"/>
        <v>0</v>
      </c>
      <c r="DL58" s="56"/>
      <c r="DM58" s="57"/>
      <c r="DN58" s="83" t="str">
        <f>IFERROR(DK58/#REF!*100,"")</f>
        <v/>
      </c>
      <c r="DO58" s="28" t="s">
        <v>69</v>
      </c>
      <c r="DP58" s="7">
        <f t="shared" si="413"/>
        <v>0</v>
      </c>
      <c r="DQ58" s="56"/>
      <c r="DR58" s="57"/>
      <c r="DS58" s="81" t="str">
        <f>IFERROR(DP58/#REF!*100,"")</f>
        <v/>
      </c>
      <c r="DT58" s="7">
        <f t="shared" si="414"/>
        <v>0</v>
      </c>
      <c r="DU58" s="56"/>
      <c r="DV58" s="57"/>
      <c r="DW58" s="81" t="str">
        <f>IFERROR(DT58/#REF!*100,"")</f>
        <v/>
      </c>
      <c r="DX58" s="7">
        <f t="shared" si="426"/>
        <v>0</v>
      </c>
      <c r="DY58" s="56"/>
      <c r="DZ58" s="57"/>
      <c r="EA58" s="83" t="str">
        <f>IFERROR(DX58/#REF!*100,"")</f>
        <v/>
      </c>
      <c r="EB58" s="28" t="s">
        <v>69</v>
      </c>
      <c r="EC58" s="7">
        <f t="shared" si="415"/>
        <v>0</v>
      </c>
      <c r="ED58" s="56"/>
      <c r="EE58" s="57"/>
      <c r="EF58" s="81" t="str">
        <f>IFERROR(EC58/#REF!*100,"")</f>
        <v/>
      </c>
      <c r="EG58" s="7">
        <f t="shared" si="416"/>
        <v>0</v>
      </c>
      <c r="EH58" s="56"/>
      <c r="EI58" s="57"/>
      <c r="EJ58" s="81" t="str">
        <f>IFERROR(EG58/#REF!*100,"")</f>
        <v/>
      </c>
      <c r="EK58" s="7">
        <f t="shared" si="427"/>
        <v>0</v>
      </c>
      <c r="EL58" s="56"/>
      <c r="EM58" s="57"/>
      <c r="EN58" s="83" t="str">
        <f>IFERROR(EK58/#REF!*100,"")</f>
        <v/>
      </c>
    </row>
    <row r="59" spans="2:144" outlineLevel="1" x14ac:dyDescent="0.3">
      <c r="B59" s="28" t="s">
        <v>70</v>
      </c>
      <c r="C59" s="7">
        <f t="shared" si="395"/>
        <v>0</v>
      </c>
      <c r="D59" s="56"/>
      <c r="E59" s="57"/>
      <c r="F59" s="20" t="str">
        <f>IFERROR(C59/#REF!*100,"")</f>
        <v/>
      </c>
      <c r="G59" s="7">
        <f t="shared" si="396"/>
        <v>0</v>
      </c>
      <c r="H59" s="56"/>
      <c r="I59" s="57"/>
      <c r="J59" s="20" t="str">
        <f>IFERROR(G59/#REF!*100,"")</f>
        <v/>
      </c>
      <c r="K59" s="7">
        <f t="shared" si="417"/>
        <v>0</v>
      </c>
      <c r="L59" s="56"/>
      <c r="M59" s="57"/>
      <c r="N59" s="83" t="str">
        <f>IFERROR(K59/#REF!*100,"")</f>
        <v/>
      </c>
      <c r="O59" s="28" t="s">
        <v>70</v>
      </c>
      <c r="P59" s="7">
        <f t="shared" si="397"/>
        <v>0</v>
      </c>
      <c r="Q59" s="56"/>
      <c r="R59" s="57"/>
      <c r="S59" s="20" t="str">
        <f>IFERROR(P59/#REF!*100,"")</f>
        <v/>
      </c>
      <c r="T59" s="7">
        <f t="shared" si="398"/>
        <v>0</v>
      </c>
      <c r="U59" s="56"/>
      <c r="V59" s="57"/>
      <c r="W59" s="20" t="str">
        <f>IFERROR(T59/#REF!*100,"")</f>
        <v/>
      </c>
      <c r="X59" s="7">
        <f t="shared" si="418"/>
        <v>451</v>
      </c>
      <c r="Y59" s="56">
        <v>451</v>
      </c>
      <c r="Z59" s="57"/>
      <c r="AA59" s="83" t="str">
        <f>IFERROR(X59/#REF!*100,"")</f>
        <v/>
      </c>
      <c r="AB59" s="28" t="s">
        <v>70</v>
      </c>
      <c r="AC59" s="7">
        <f t="shared" si="399"/>
        <v>0</v>
      </c>
      <c r="AD59" s="56"/>
      <c r="AE59" s="57"/>
      <c r="AF59" s="20" t="str">
        <f>IFERROR(AC59/#REF!*100,"")</f>
        <v/>
      </c>
      <c r="AG59" s="7">
        <f t="shared" si="400"/>
        <v>0</v>
      </c>
      <c r="AH59" s="56"/>
      <c r="AI59" s="57"/>
      <c r="AJ59" s="20" t="str">
        <f>IFERROR(AG59/#REF!*100,"")</f>
        <v/>
      </c>
      <c r="AK59" s="7">
        <f t="shared" si="419"/>
        <v>0</v>
      </c>
      <c r="AL59" s="56"/>
      <c r="AM59" s="57"/>
      <c r="AN59" s="83" t="str">
        <f>IFERROR(AK59/#REF!*100,"")</f>
        <v/>
      </c>
      <c r="AO59" s="28" t="s">
        <v>70</v>
      </c>
      <c r="AP59" s="7">
        <f t="shared" si="401"/>
        <v>0</v>
      </c>
      <c r="AQ59" s="56"/>
      <c r="AR59" s="57"/>
      <c r="AS59" s="20" t="str">
        <f>IFERROR(AP59/#REF!*100,"")</f>
        <v/>
      </c>
      <c r="AT59" s="7">
        <f t="shared" si="402"/>
        <v>0</v>
      </c>
      <c r="AU59" s="56"/>
      <c r="AV59" s="57"/>
      <c r="AW59" s="20" t="str">
        <f>IFERROR(AT59/#REF!*100,"")</f>
        <v/>
      </c>
      <c r="AX59" s="7">
        <f t="shared" si="420"/>
        <v>0</v>
      </c>
      <c r="AY59" s="56"/>
      <c r="AZ59" s="57"/>
      <c r="BA59" s="83" t="str">
        <f>IFERROR(AX59/#REF!*100,"")</f>
        <v/>
      </c>
      <c r="BB59" s="28" t="s">
        <v>70</v>
      </c>
      <c r="BC59" s="7">
        <f t="shared" si="403"/>
        <v>0</v>
      </c>
      <c r="BD59" s="56"/>
      <c r="BE59" s="57"/>
      <c r="BF59" s="20" t="str">
        <f>IFERROR(BC59/#REF!*100,"")</f>
        <v/>
      </c>
      <c r="BG59" s="7">
        <f t="shared" si="404"/>
        <v>0</v>
      </c>
      <c r="BH59" s="56"/>
      <c r="BI59" s="57"/>
      <c r="BJ59" s="20" t="str">
        <f>IFERROR(BG59/#REF!*100,"")</f>
        <v/>
      </c>
      <c r="BK59" s="7">
        <f t="shared" si="421"/>
        <v>0</v>
      </c>
      <c r="BL59" s="56"/>
      <c r="BM59" s="57"/>
      <c r="BN59" s="83" t="str">
        <f>IFERROR(BK59/#REF!*100,"")</f>
        <v/>
      </c>
      <c r="BO59" s="28" t="s">
        <v>70</v>
      </c>
      <c r="BP59" s="7">
        <f t="shared" si="405"/>
        <v>0</v>
      </c>
      <c r="BQ59" s="56"/>
      <c r="BR59" s="57"/>
      <c r="BS59" s="20" t="str">
        <f>IFERROR(BP59/#REF!*100,"")</f>
        <v/>
      </c>
      <c r="BT59" s="7">
        <f t="shared" si="406"/>
        <v>0</v>
      </c>
      <c r="BU59" s="56"/>
      <c r="BV59" s="57"/>
      <c r="BW59" s="20" t="str">
        <f>IFERROR(BT59/#REF!*100,"")</f>
        <v/>
      </c>
      <c r="BX59" s="7">
        <f t="shared" si="422"/>
        <v>0</v>
      </c>
      <c r="BY59" s="56"/>
      <c r="BZ59" s="57"/>
      <c r="CA59" s="83" t="str">
        <f>IFERROR(BX59/#REF!*100,"")</f>
        <v/>
      </c>
      <c r="CB59" s="28" t="s">
        <v>70</v>
      </c>
      <c r="CC59" s="7">
        <f t="shared" si="407"/>
        <v>0</v>
      </c>
      <c r="CD59" s="56"/>
      <c r="CE59" s="57"/>
      <c r="CF59" s="20" t="str">
        <f>IFERROR(CC59/#REF!*100,"")</f>
        <v/>
      </c>
      <c r="CG59" s="7">
        <f t="shared" si="408"/>
        <v>0</v>
      </c>
      <c r="CH59" s="56"/>
      <c r="CI59" s="57"/>
      <c r="CJ59" s="20" t="str">
        <f>IFERROR(CG59/#REF!*100,"")</f>
        <v/>
      </c>
      <c r="CK59" s="7">
        <f t="shared" si="423"/>
        <v>0</v>
      </c>
      <c r="CL59" s="56"/>
      <c r="CM59" s="57"/>
      <c r="CN59" s="83" t="str">
        <f>IFERROR(CK59/#REF!*100,"")</f>
        <v/>
      </c>
      <c r="CO59" s="28" t="s">
        <v>70</v>
      </c>
      <c r="CP59" s="7">
        <f t="shared" si="409"/>
        <v>0</v>
      </c>
      <c r="CQ59" s="56"/>
      <c r="CR59" s="57"/>
      <c r="CS59" s="20" t="str">
        <f>IFERROR(CP59/#REF!*100,"")</f>
        <v/>
      </c>
      <c r="CT59" s="7">
        <f t="shared" si="410"/>
        <v>0</v>
      </c>
      <c r="CU59" s="56"/>
      <c r="CV59" s="57"/>
      <c r="CW59" s="20" t="str">
        <f>IFERROR(CT59/#REF!*100,"")</f>
        <v/>
      </c>
      <c r="CX59" s="7">
        <f t="shared" si="424"/>
        <v>0</v>
      </c>
      <c r="CY59" s="56"/>
      <c r="CZ59" s="57"/>
      <c r="DA59" s="83" t="str">
        <f>IFERROR(CX59/#REF!*100,"")</f>
        <v/>
      </c>
      <c r="DB59" s="28" t="s">
        <v>70</v>
      </c>
      <c r="DC59" s="7">
        <f t="shared" si="411"/>
        <v>0</v>
      </c>
      <c r="DD59" s="56"/>
      <c r="DE59" s="57"/>
      <c r="DF59" s="20" t="str">
        <f>IFERROR(DC59/#REF!*100,"")</f>
        <v/>
      </c>
      <c r="DG59" s="7">
        <f t="shared" si="412"/>
        <v>0</v>
      </c>
      <c r="DH59" s="56"/>
      <c r="DI59" s="57"/>
      <c r="DJ59" s="20" t="str">
        <f>IFERROR(DG59/#REF!*100,"")</f>
        <v/>
      </c>
      <c r="DK59" s="7">
        <f t="shared" si="425"/>
        <v>0</v>
      </c>
      <c r="DL59" s="56"/>
      <c r="DM59" s="57"/>
      <c r="DN59" s="83" t="str">
        <f>IFERROR(DK59/#REF!*100,"")</f>
        <v/>
      </c>
      <c r="DO59" s="28" t="s">
        <v>70</v>
      </c>
      <c r="DP59" s="7">
        <f t="shared" si="413"/>
        <v>0</v>
      </c>
      <c r="DQ59" s="56"/>
      <c r="DR59" s="57"/>
      <c r="DS59" s="20" t="str">
        <f>IFERROR(DP59/#REF!*100,"")</f>
        <v/>
      </c>
      <c r="DT59" s="7">
        <f t="shared" si="414"/>
        <v>0</v>
      </c>
      <c r="DU59" s="56"/>
      <c r="DV59" s="57"/>
      <c r="DW59" s="20" t="str">
        <f>IFERROR(DT59/#REF!*100,"")</f>
        <v/>
      </c>
      <c r="DX59" s="7">
        <f t="shared" si="426"/>
        <v>0</v>
      </c>
      <c r="DY59" s="56"/>
      <c r="DZ59" s="57"/>
      <c r="EA59" s="83" t="str">
        <f>IFERROR(DX59/#REF!*100,"")</f>
        <v/>
      </c>
      <c r="EB59" s="28" t="s">
        <v>70</v>
      </c>
      <c r="EC59" s="7">
        <f t="shared" si="415"/>
        <v>0</v>
      </c>
      <c r="ED59" s="56"/>
      <c r="EE59" s="57"/>
      <c r="EF59" s="20" t="str">
        <f>IFERROR(EC59/#REF!*100,"")</f>
        <v/>
      </c>
      <c r="EG59" s="7">
        <f t="shared" si="416"/>
        <v>0</v>
      </c>
      <c r="EH59" s="56"/>
      <c r="EI59" s="57"/>
      <c r="EJ59" s="20" t="str">
        <f>IFERROR(EG59/#REF!*100,"")</f>
        <v/>
      </c>
      <c r="EK59" s="7">
        <f t="shared" si="427"/>
        <v>0</v>
      </c>
      <c r="EL59" s="56"/>
      <c r="EM59" s="57"/>
      <c r="EN59" s="83" t="str">
        <f>IFERROR(EK59/#REF!*100,"")</f>
        <v/>
      </c>
    </row>
    <row r="60" spans="2:144" outlineLevel="1" x14ac:dyDescent="0.3">
      <c r="B60" s="28"/>
      <c r="C60" s="7"/>
      <c r="D60" s="56"/>
      <c r="E60" s="57"/>
      <c r="F60" s="20"/>
      <c r="G60" s="7"/>
      <c r="H60" s="56"/>
      <c r="I60" s="57"/>
      <c r="J60" s="20"/>
      <c r="K60" s="7"/>
      <c r="L60" s="56"/>
      <c r="M60" s="57"/>
      <c r="N60" s="23"/>
      <c r="O60" s="28"/>
      <c r="P60" s="7"/>
      <c r="Q60" s="56"/>
      <c r="R60" s="57"/>
      <c r="S60" s="20"/>
      <c r="T60" s="7"/>
      <c r="U60" s="56"/>
      <c r="V60" s="57"/>
      <c r="W60" s="20"/>
      <c r="X60" s="7"/>
      <c r="Y60" s="56"/>
      <c r="Z60" s="57"/>
      <c r="AA60" s="23"/>
      <c r="AB60" s="28"/>
      <c r="AC60" s="7"/>
      <c r="AD60" s="56"/>
      <c r="AE60" s="57"/>
      <c r="AF60" s="20"/>
      <c r="AG60" s="7"/>
      <c r="AH60" s="56"/>
      <c r="AI60" s="57"/>
      <c r="AJ60" s="20"/>
      <c r="AK60" s="7"/>
      <c r="AL60" s="56"/>
      <c r="AM60" s="57"/>
      <c r="AN60" s="23"/>
      <c r="AO60" s="28"/>
      <c r="AP60" s="7"/>
      <c r="AQ60" s="56"/>
      <c r="AR60" s="57"/>
      <c r="AS60" s="20"/>
      <c r="AT60" s="7"/>
      <c r="AU60" s="56"/>
      <c r="AV60" s="57"/>
      <c r="AW60" s="20"/>
      <c r="AX60" s="7"/>
      <c r="AY60" s="56"/>
      <c r="AZ60" s="57"/>
      <c r="BA60" s="23"/>
      <c r="BB60" s="28"/>
      <c r="BC60" s="7"/>
      <c r="BD60" s="56"/>
      <c r="BE60" s="57"/>
      <c r="BF60" s="20"/>
      <c r="BG60" s="7"/>
      <c r="BH60" s="56"/>
      <c r="BI60" s="57"/>
      <c r="BJ60" s="20"/>
      <c r="BK60" s="7"/>
      <c r="BL60" s="56"/>
      <c r="BM60" s="57"/>
      <c r="BN60" s="23"/>
      <c r="BO60" s="28"/>
      <c r="BP60" s="7"/>
      <c r="BQ60" s="56"/>
      <c r="BR60" s="57"/>
      <c r="BS60" s="20"/>
      <c r="BT60" s="7"/>
      <c r="BU60" s="56"/>
      <c r="BV60" s="57"/>
      <c r="BW60" s="20"/>
      <c r="BX60" s="7"/>
      <c r="BY60" s="56"/>
      <c r="BZ60" s="57"/>
      <c r="CA60" s="23"/>
      <c r="CB60" s="28"/>
      <c r="CC60" s="7"/>
      <c r="CD60" s="56"/>
      <c r="CE60" s="57"/>
      <c r="CF60" s="20"/>
      <c r="CG60" s="7"/>
      <c r="CH60" s="56"/>
      <c r="CI60" s="57"/>
      <c r="CJ60" s="20"/>
      <c r="CK60" s="7"/>
      <c r="CL60" s="56"/>
      <c r="CM60" s="57"/>
      <c r="CN60" s="23"/>
      <c r="CO60" s="28"/>
      <c r="CP60" s="7"/>
      <c r="CQ60" s="56"/>
      <c r="CR60" s="57"/>
      <c r="CS60" s="20"/>
      <c r="CT60" s="7"/>
      <c r="CU60" s="56"/>
      <c r="CV60" s="57"/>
      <c r="CW60" s="20"/>
      <c r="CX60" s="7"/>
      <c r="CY60" s="56"/>
      <c r="CZ60" s="57"/>
      <c r="DA60" s="23"/>
      <c r="DB60" s="28"/>
      <c r="DC60" s="7"/>
      <c r="DD60" s="56"/>
      <c r="DE60" s="57"/>
      <c r="DF60" s="20"/>
      <c r="DG60" s="7"/>
      <c r="DH60" s="56"/>
      <c r="DI60" s="57"/>
      <c r="DJ60" s="20"/>
      <c r="DK60" s="7"/>
      <c r="DL60" s="56"/>
      <c r="DM60" s="57"/>
      <c r="DN60" s="23"/>
      <c r="DO60" s="28"/>
      <c r="DP60" s="7"/>
      <c r="DQ60" s="56"/>
      <c r="DR60" s="57"/>
      <c r="DS60" s="20"/>
      <c r="DT60" s="7"/>
      <c r="DU60" s="56"/>
      <c r="DV60" s="57"/>
      <c r="DW60" s="20"/>
      <c r="DX60" s="7"/>
      <c r="DY60" s="56"/>
      <c r="DZ60" s="57"/>
      <c r="EA60" s="23"/>
      <c r="EB60" s="28"/>
      <c r="EC60" s="7"/>
      <c r="ED60" s="56"/>
      <c r="EE60" s="57"/>
      <c r="EF60" s="20"/>
      <c r="EG60" s="7"/>
      <c r="EH60" s="56"/>
      <c r="EI60" s="57"/>
      <c r="EJ60" s="20"/>
      <c r="EK60" s="7"/>
      <c r="EL60" s="56"/>
      <c r="EM60" s="57"/>
      <c r="EN60" s="23"/>
    </row>
    <row r="61" spans="2:144" outlineLevel="1" x14ac:dyDescent="0.3">
      <c r="B61" s="33" t="s">
        <v>80</v>
      </c>
      <c r="C61" s="34">
        <f t="shared" ref="C61:C66" si="428">D61-E61</f>
        <v>1459</v>
      </c>
      <c r="D61" s="65">
        <v>1459</v>
      </c>
      <c r="E61" s="66"/>
      <c r="F61" s="35"/>
      <c r="G61" s="34">
        <f t="shared" ref="G61:G66" si="429">H61-I61</f>
        <v>1785</v>
      </c>
      <c r="H61" s="65">
        <v>1785</v>
      </c>
      <c r="I61" s="66"/>
      <c r="J61" s="36"/>
      <c r="K61" s="37">
        <f t="shared" ref="K61:K66" si="430">L61-M61</f>
        <v>1299</v>
      </c>
      <c r="L61" s="60">
        <v>1299</v>
      </c>
      <c r="M61" s="61"/>
      <c r="N61" s="38"/>
      <c r="O61" s="33" t="s">
        <v>80</v>
      </c>
      <c r="P61" s="34">
        <f t="shared" ref="P61:P66" si="431">Q61-R61</f>
        <v>1759</v>
      </c>
      <c r="Q61" s="65">
        <v>1759</v>
      </c>
      <c r="R61" s="66"/>
      <c r="S61" s="35"/>
      <c r="T61" s="34">
        <f t="shared" ref="T61:T66" si="432">U61-V61</f>
        <v>0</v>
      </c>
      <c r="U61" s="65"/>
      <c r="V61" s="66"/>
      <c r="W61" s="36"/>
      <c r="X61" s="37">
        <f t="shared" ref="X61:X66" si="433">Y61-Z61</f>
        <v>1299</v>
      </c>
      <c r="Y61" s="60">
        <v>1299</v>
      </c>
      <c r="Z61" s="61"/>
      <c r="AA61" s="38"/>
      <c r="AB61" s="33" t="s">
        <v>80</v>
      </c>
      <c r="AC61" s="34">
        <f t="shared" ref="AC61:AC66" si="434">AD61-AE61</f>
        <v>0</v>
      </c>
      <c r="AD61" s="65"/>
      <c r="AE61" s="66"/>
      <c r="AF61" s="35"/>
      <c r="AG61" s="34">
        <f t="shared" ref="AG61:AG66" si="435">AH61-AI61</f>
        <v>0</v>
      </c>
      <c r="AH61" s="65"/>
      <c r="AI61" s="66"/>
      <c r="AJ61" s="36"/>
      <c r="AK61" s="37">
        <f t="shared" ref="AK61:AK66" si="436">AL61-AM61</f>
        <v>0</v>
      </c>
      <c r="AL61" s="60"/>
      <c r="AM61" s="61"/>
      <c r="AN61" s="38"/>
      <c r="AO61" s="33" t="s">
        <v>85</v>
      </c>
      <c r="AP61" s="34">
        <f t="shared" ref="AP61:AP66" si="437">AQ61-AR61</f>
        <v>1448</v>
      </c>
      <c r="AQ61" s="65">
        <v>1448</v>
      </c>
      <c r="AR61" s="66"/>
      <c r="AS61" s="35"/>
      <c r="AT61" s="34">
        <f t="shared" ref="AT61:AT66" si="438">AU61-AV61</f>
        <v>1299</v>
      </c>
      <c r="AU61" s="65">
        <v>1299</v>
      </c>
      <c r="AV61" s="66"/>
      <c r="AW61" s="36"/>
      <c r="AX61" s="37">
        <f t="shared" ref="AX61:AX66" si="439">AY61-AZ61</f>
        <v>0</v>
      </c>
      <c r="AY61" s="60"/>
      <c r="AZ61" s="61"/>
      <c r="BA61" s="38"/>
      <c r="BB61" s="33" t="s">
        <v>85</v>
      </c>
      <c r="BC61" s="34">
        <f t="shared" ref="BC61:BC66" si="440">BD61-BE61</f>
        <v>1448</v>
      </c>
      <c r="BD61" s="65">
        <v>1448</v>
      </c>
      <c r="BE61" s="66"/>
      <c r="BF61" s="35"/>
      <c r="BG61" s="34">
        <f t="shared" ref="BG61:BG66" si="441">BH61-BI61</f>
        <v>1299</v>
      </c>
      <c r="BH61" s="65">
        <v>1299</v>
      </c>
      <c r="BI61" s="66"/>
      <c r="BJ61" s="36"/>
      <c r="BK61" s="37">
        <f t="shared" ref="BK61:BK66" si="442">BL61-BM61</f>
        <v>0</v>
      </c>
      <c r="BL61" s="60"/>
      <c r="BM61" s="61"/>
      <c r="BN61" s="38"/>
      <c r="BO61" s="33" t="s">
        <v>85</v>
      </c>
      <c r="BP61" s="34">
        <f t="shared" ref="BP61:BP66" si="443">BQ61-BR61</f>
        <v>1446</v>
      </c>
      <c r="BQ61" s="65">
        <v>1446</v>
      </c>
      <c r="BR61" s="66"/>
      <c r="BS61" s="35"/>
      <c r="BT61" s="34">
        <f t="shared" ref="BT61:BT66" si="444">BU61-BV61</f>
        <v>1299</v>
      </c>
      <c r="BU61" s="65">
        <v>1299</v>
      </c>
      <c r="BV61" s="66"/>
      <c r="BW61" s="36"/>
      <c r="BX61" s="37">
        <f t="shared" ref="BX61:BX66" si="445">BY61-BZ61</f>
        <v>1299</v>
      </c>
      <c r="BY61" s="60">
        <v>1299</v>
      </c>
      <c r="BZ61" s="61"/>
      <c r="CA61" s="38"/>
      <c r="CB61" s="33" t="s">
        <v>85</v>
      </c>
      <c r="CC61" s="34">
        <f t="shared" ref="CC61:CC66" si="446">CD61-CE61</f>
        <v>0</v>
      </c>
      <c r="CD61" s="65"/>
      <c r="CE61" s="66"/>
      <c r="CF61" s="35"/>
      <c r="CG61" s="34">
        <f t="shared" ref="CG61:CG66" si="447">CH61-CI61</f>
        <v>0</v>
      </c>
      <c r="CH61" s="65"/>
      <c r="CI61" s="66"/>
      <c r="CJ61" s="36"/>
      <c r="CK61" s="37">
        <f t="shared" ref="CK61:CK66" si="448">CL61-CM61</f>
        <v>0</v>
      </c>
      <c r="CL61" s="60"/>
      <c r="CM61" s="61"/>
      <c r="CN61" s="38"/>
      <c r="CO61" s="33" t="s">
        <v>85</v>
      </c>
      <c r="CP61" s="34">
        <f t="shared" ref="CP61:CP66" si="449">CQ61-CR61</f>
        <v>1446</v>
      </c>
      <c r="CQ61" s="65">
        <v>1446</v>
      </c>
      <c r="CR61" s="66"/>
      <c r="CS61" s="35"/>
      <c r="CT61" s="34">
        <f t="shared" ref="CT61:CT66" si="450">CU61-CV61</f>
        <v>1299</v>
      </c>
      <c r="CU61" s="65">
        <v>1299</v>
      </c>
      <c r="CV61" s="66"/>
      <c r="CW61" s="36"/>
      <c r="CX61" s="37">
        <f t="shared" ref="CX61:CX66" si="451">CY61-CZ61</f>
        <v>0</v>
      </c>
      <c r="CY61" s="60"/>
      <c r="CZ61" s="61"/>
      <c r="DA61" s="38"/>
      <c r="DB61" s="33" t="s">
        <v>85</v>
      </c>
      <c r="DC61" s="34">
        <f t="shared" ref="DC61:DC66" si="452">DD61-DE61</f>
        <v>1446</v>
      </c>
      <c r="DD61" s="65">
        <v>1446</v>
      </c>
      <c r="DE61" s="66"/>
      <c r="DF61" s="35"/>
      <c r="DG61" s="34">
        <f t="shared" ref="DG61:DG66" si="453">DH61-DI61</f>
        <v>1299</v>
      </c>
      <c r="DH61" s="65">
        <v>1299</v>
      </c>
      <c r="DI61" s="66"/>
      <c r="DJ61" s="36"/>
      <c r="DK61" s="37">
        <f t="shared" ref="DK61:DK66" si="454">DL61-DM61</f>
        <v>0</v>
      </c>
      <c r="DL61" s="60"/>
      <c r="DM61" s="61"/>
      <c r="DN61" s="38"/>
      <c r="DO61" s="33" t="s">
        <v>85</v>
      </c>
      <c r="DP61" s="34">
        <f t="shared" ref="DP61:DP66" si="455">DQ61-DR61</f>
        <v>1449</v>
      </c>
      <c r="DQ61" s="65">
        <v>1449</v>
      </c>
      <c r="DR61" s="66"/>
      <c r="DS61" s="35"/>
      <c r="DT61" s="34">
        <f t="shared" ref="DT61:DT66" si="456">DU61-DV61</f>
        <v>1299</v>
      </c>
      <c r="DU61" s="65">
        <v>1299</v>
      </c>
      <c r="DV61" s="66"/>
      <c r="DW61" s="36"/>
      <c r="DX61" s="37">
        <f t="shared" ref="DX61:DX66" si="457">DY61-DZ61</f>
        <v>1279</v>
      </c>
      <c r="DY61" s="60">
        <v>1279</v>
      </c>
      <c r="DZ61" s="61"/>
      <c r="EA61" s="38"/>
      <c r="EB61" s="33" t="s">
        <v>85</v>
      </c>
      <c r="EC61" s="34">
        <f t="shared" ref="EC61:EC66" si="458">ED61-EE61</f>
        <v>1449</v>
      </c>
      <c r="ED61" s="65">
        <v>1449</v>
      </c>
      <c r="EE61" s="66"/>
      <c r="EF61" s="35"/>
      <c r="EG61" s="34">
        <f t="shared" ref="EG61:EG66" si="459">EH61-EI61</f>
        <v>1299</v>
      </c>
      <c r="EH61" s="65">
        <v>1299</v>
      </c>
      <c r="EI61" s="66"/>
      <c r="EJ61" s="36"/>
      <c r="EK61" s="37">
        <f t="shared" ref="EK61:EK66" si="460">EL61-EM61</f>
        <v>1279</v>
      </c>
      <c r="EL61" s="60">
        <v>1279</v>
      </c>
      <c r="EM61" s="61"/>
      <c r="EN61" s="38"/>
    </row>
    <row r="62" spans="2:144" outlineLevel="1" x14ac:dyDescent="0.3">
      <c r="B62" s="33" t="s">
        <v>75</v>
      </c>
      <c r="C62" s="37">
        <f t="shared" si="428"/>
        <v>1076</v>
      </c>
      <c r="D62" s="60">
        <v>1076</v>
      </c>
      <c r="E62" s="61"/>
      <c r="F62" s="35"/>
      <c r="G62" s="37">
        <f t="shared" si="429"/>
        <v>1049</v>
      </c>
      <c r="H62" s="60">
        <v>1049</v>
      </c>
      <c r="I62" s="61"/>
      <c r="J62" s="36"/>
      <c r="K62" s="37">
        <f t="shared" si="430"/>
        <v>949</v>
      </c>
      <c r="L62" s="60">
        <v>949</v>
      </c>
      <c r="M62" s="61"/>
      <c r="N62" s="38"/>
      <c r="O62" s="33" t="s">
        <v>75</v>
      </c>
      <c r="P62" s="37">
        <f t="shared" si="431"/>
        <v>1076</v>
      </c>
      <c r="Q62" s="60">
        <v>1076</v>
      </c>
      <c r="R62" s="61"/>
      <c r="S62" s="35"/>
      <c r="T62" s="37">
        <f t="shared" si="432"/>
        <v>0</v>
      </c>
      <c r="U62" s="60"/>
      <c r="V62" s="61"/>
      <c r="W62" s="36"/>
      <c r="X62" s="37">
        <f t="shared" si="433"/>
        <v>749</v>
      </c>
      <c r="Y62" s="60">
        <v>749</v>
      </c>
      <c r="Z62" s="61"/>
      <c r="AA62" s="38"/>
      <c r="AB62" s="33" t="s">
        <v>75</v>
      </c>
      <c r="AC62" s="37">
        <f t="shared" si="434"/>
        <v>0</v>
      </c>
      <c r="AD62" s="60"/>
      <c r="AE62" s="61"/>
      <c r="AF62" s="35"/>
      <c r="AG62" s="37">
        <f t="shared" si="435"/>
        <v>0</v>
      </c>
      <c r="AH62" s="60"/>
      <c r="AI62" s="61"/>
      <c r="AJ62" s="36"/>
      <c r="AK62" s="37">
        <f t="shared" si="436"/>
        <v>0</v>
      </c>
      <c r="AL62" s="60"/>
      <c r="AM62" s="61"/>
      <c r="AN62" s="38"/>
      <c r="AO62" s="33" t="s">
        <v>86</v>
      </c>
      <c r="AP62" s="37">
        <f t="shared" si="437"/>
        <v>939</v>
      </c>
      <c r="AQ62" s="60">
        <v>939</v>
      </c>
      <c r="AR62" s="61"/>
      <c r="AS62" s="35"/>
      <c r="AT62" s="37">
        <f t="shared" si="438"/>
        <v>899</v>
      </c>
      <c r="AU62" s="60">
        <v>899</v>
      </c>
      <c r="AV62" s="61"/>
      <c r="AW62" s="36"/>
      <c r="AX62" s="37">
        <f t="shared" si="439"/>
        <v>0</v>
      </c>
      <c r="AY62" s="60"/>
      <c r="AZ62" s="61"/>
      <c r="BA62" s="38"/>
      <c r="BB62" s="33" t="s">
        <v>86</v>
      </c>
      <c r="BC62" s="37">
        <f t="shared" si="440"/>
        <v>1199</v>
      </c>
      <c r="BD62" s="60">
        <v>1199</v>
      </c>
      <c r="BE62" s="61"/>
      <c r="BF62" s="35"/>
      <c r="BG62" s="37">
        <f t="shared" si="441"/>
        <v>899</v>
      </c>
      <c r="BH62" s="60">
        <v>899</v>
      </c>
      <c r="BI62" s="61"/>
      <c r="BJ62" s="36"/>
      <c r="BK62" s="37">
        <f t="shared" si="442"/>
        <v>0</v>
      </c>
      <c r="BL62" s="60"/>
      <c r="BM62" s="61"/>
      <c r="BN62" s="38"/>
      <c r="BO62" s="33" t="s">
        <v>86</v>
      </c>
      <c r="BP62" s="37">
        <f t="shared" si="443"/>
        <v>899</v>
      </c>
      <c r="BQ62" s="60">
        <v>899</v>
      </c>
      <c r="BR62" s="61"/>
      <c r="BS62" s="35"/>
      <c r="BT62" s="37">
        <f t="shared" si="444"/>
        <v>899</v>
      </c>
      <c r="BU62" s="60">
        <v>899</v>
      </c>
      <c r="BV62" s="61"/>
      <c r="BW62" s="36"/>
      <c r="BX62" s="37">
        <f t="shared" si="445"/>
        <v>899</v>
      </c>
      <c r="BY62" s="60">
        <v>899</v>
      </c>
      <c r="BZ62" s="61"/>
      <c r="CA62" s="38"/>
      <c r="CB62" s="33" t="s">
        <v>86</v>
      </c>
      <c r="CC62" s="37">
        <f t="shared" si="446"/>
        <v>0</v>
      </c>
      <c r="CD62" s="60"/>
      <c r="CE62" s="61"/>
      <c r="CF62" s="35"/>
      <c r="CG62" s="37">
        <f t="shared" si="447"/>
        <v>0</v>
      </c>
      <c r="CH62" s="60"/>
      <c r="CI62" s="61"/>
      <c r="CJ62" s="36"/>
      <c r="CK62" s="37">
        <f t="shared" si="448"/>
        <v>0</v>
      </c>
      <c r="CL62" s="60"/>
      <c r="CM62" s="61"/>
      <c r="CN62" s="38"/>
      <c r="CO62" s="33" t="s">
        <v>86</v>
      </c>
      <c r="CP62" s="37">
        <f t="shared" si="449"/>
        <v>899</v>
      </c>
      <c r="CQ62" s="60">
        <v>899</v>
      </c>
      <c r="CR62" s="61"/>
      <c r="CS62" s="35"/>
      <c r="CT62" s="37">
        <f t="shared" si="450"/>
        <v>899</v>
      </c>
      <c r="CU62" s="60">
        <v>899</v>
      </c>
      <c r="CV62" s="61"/>
      <c r="CW62" s="36"/>
      <c r="CX62" s="37">
        <f t="shared" si="451"/>
        <v>0</v>
      </c>
      <c r="CY62" s="60"/>
      <c r="CZ62" s="61"/>
      <c r="DA62" s="38"/>
      <c r="DB62" s="33" t="s">
        <v>86</v>
      </c>
      <c r="DC62" s="37">
        <f t="shared" si="452"/>
        <v>979</v>
      </c>
      <c r="DD62" s="60">
        <v>979</v>
      </c>
      <c r="DE62" s="61"/>
      <c r="DF62" s="35"/>
      <c r="DG62" s="37">
        <f t="shared" si="453"/>
        <v>899</v>
      </c>
      <c r="DH62" s="60">
        <v>899</v>
      </c>
      <c r="DI62" s="61"/>
      <c r="DJ62" s="36"/>
      <c r="DK62" s="37">
        <f t="shared" si="454"/>
        <v>0</v>
      </c>
      <c r="DL62" s="60"/>
      <c r="DM62" s="61"/>
      <c r="DN62" s="38"/>
      <c r="DO62" s="33" t="s">
        <v>86</v>
      </c>
      <c r="DP62" s="37">
        <f t="shared" si="455"/>
        <v>949</v>
      </c>
      <c r="DQ62" s="60">
        <v>949</v>
      </c>
      <c r="DR62" s="61"/>
      <c r="DS62" s="35"/>
      <c r="DT62" s="37">
        <f t="shared" si="456"/>
        <v>949</v>
      </c>
      <c r="DU62" s="60">
        <v>949</v>
      </c>
      <c r="DV62" s="61"/>
      <c r="DW62" s="36"/>
      <c r="DX62" s="37">
        <f t="shared" si="457"/>
        <v>899</v>
      </c>
      <c r="DY62" s="60">
        <v>899</v>
      </c>
      <c r="DZ62" s="61"/>
      <c r="EA62" s="38"/>
      <c r="EB62" s="33" t="s">
        <v>86</v>
      </c>
      <c r="EC62" s="37">
        <f t="shared" si="458"/>
        <v>949</v>
      </c>
      <c r="ED62" s="60">
        <v>949</v>
      </c>
      <c r="EE62" s="61"/>
      <c r="EF62" s="35"/>
      <c r="EG62" s="37">
        <f t="shared" si="459"/>
        <v>949</v>
      </c>
      <c r="EH62" s="60">
        <v>949</v>
      </c>
      <c r="EI62" s="61"/>
      <c r="EJ62" s="36"/>
      <c r="EK62" s="37">
        <f t="shared" si="460"/>
        <v>899</v>
      </c>
      <c r="EL62" s="60">
        <v>899</v>
      </c>
      <c r="EM62" s="61"/>
      <c r="EN62" s="38"/>
    </row>
    <row r="63" spans="2:144" outlineLevel="1" x14ac:dyDescent="0.3">
      <c r="B63" s="33" t="s">
        <v>76</v>
      </c>
      <c r="C63" s="37">
        <f t="shared" si="428"/>
        <v>808</v>
      </c>
      <c r="D63" s="60">
        <v>808</v>
      </c>
      <c r="E63" s="61"/>
      <c r="F63" s="35"/>
      <c r="G63" s="37">
        <f t="shared" si="429"/>
        <v>0</v>
      </c>
      <c r="H63" s="60"/>
      <c r="I63" s="61"/>
      <c r="J63" s="36"/>
      <c r="K63" s="37">
        <f t="shared" si="430"/>
        <v>649</v>
      </c>
      <c r="L63" s="60">
        <v>649</v>
      </c>
      <c r="M63" s="61"/>
      <c r="N63" s="38"/>
      <c r="O63" s="33" t="s">
        <v>76</v>
      </c>
      <c r="P63" s="37">
        <f t="shared" si="431"/>
        <v>808</v>
      </c>
      <c r="Q63" s="60">
        <v>808</v>
      </c>
      <c r="R63" s="61"/>
      <c r="S63" s="35"/>
      <c r="T63" s="37">
        <f t="shared" si="432"/>
        <v>0</v>
      </c>
      <c r="U63" s="60"/>
      <c r="V63" s="61"/>
      <c r="W63" s="36"/>
      <c r="X63" s="37">
        <f t="shared" si="433"/>
        <v>649</v>
      </c>
      <c r="Y63" s="60">
        <v>649</v>
      </c>
      <c r="Z63" s="61"/>
      <c r="AA63" s="38"/>
      <c r="AB63" s="33" t="s">
        <v>76</v>
      </c>
      <c r="AC63" s="37">
        <f t="shared" si="434"/>
        <v>0</v>
      </c>
      <c r="AD63" s="60"/>
      <c r="AE63" s="61"/>
      <c r="AF63" s="35"/>
      <c r="AG63" s="37">
        <f t="shared" si="435"/>
        <v>0</v>
      </c>
      <c r="AH63" s="60"/>
      <c r="AI63" s="61"/>
      <c r="AJ63" s="36"/>
      <c r="AK63" s="37">
        <f t="shared" si="436"/>
        <v>0</v>
      </c>
      <c r="AL63" s="60"/>
      <c r="AM63" s="61"/>
      <c r="AN63" s="38"/>
      <c r="AO63" s="33" t="s">
        <v>87</v>
      </c>
      <c r="AP63" s="37">
        <f t="shared" si="437"/>
        <v>679</v>
      </c>
      <c r="AQ63" s="60">
        <v>679</v>
      </c>
      <c r="AR63" s="61"/>
      <c r="AS63" s="35"/>
      <c r="AT63" s="37">
        <f t="shared" si="438"/>
        <v>699</v>
      </c>
      <c r="AU63" s="60">
        <v>699</v>
      </c>
      <c r="AV63" s="61"/>
      <c r="AW63" s="36"/>
      <c r="AX63" s="37">
        <f t="shared" si="439"/>
        <v>0</v>
      </c>
      <c r="AY63" s="60"/>
      <c r="AZ63" s="61"/>
      <c r="BA63" s="38"/>
      <c r="BB63" s="33" t="s">
        <v>87</v>
      </c>
      <c r="BC63" s="37">
        <f t="shared" si="440"/>
        <v>669</v>
      </c>
      <c r="BD63" s="60">
        <v>669</v>
      </c>
      <c r="BE63" s="61"/>
      <c r="BF63" s="35"/>
      <c r="BG63" s="37">
        <f t="shared" si="441"/>
        <v>699</v>
      </c>
      <c r="BH63" s="60">
        <v>699</v>
      </c>
      <c r="BI63" s="61"/>
      <c r="BJ63" s="36"/>
      <c r="BK63" s="37">
        <f t="shared" si="442"/>
        <v>0</v>
      </c>
      <c r="BL63" s="60"/>
      <c r="BM63" s="61"/>
      <c r="BN63" s="38"/>
      <c r="BO63" s="33" t="s">
        <v>87</v>
      </c>
      <c r="BP63" s="37">
        <f t="shared" si="443"/>
        <v>669</v>
      </c>
      <c r="BQ63" s="60">
        <v>669</v>
      </c>
      <c r="BR63" s="61"/>
      <c r="BS63" s="35"/>
      <c r="BT63" s="37">
        <f t="shared" si="444"/>
        <v>699</v>
      </c>
      <c r="BU63" s="60">
        <v>699</v>
      </c>
      <c r="BV63" s="61"/>
      <c r="BW63" s="36"/>
      <c r="BX63" s="37">
        <f t="shared" si="445"/>
        <v>679</v>
      </c>
      <c r="BY63" s="60">
        <v>679</v>
      </c>
      <c r="BZ63" s="61"/>
      <c r="CA63" s="38"/>
      <c r="CB63" s="33" t="s">
        <v>87</v>
      </c>
      <c r="CC63" s="37">
        <f t="shared" si="446"/>
        <v>0</v>
      </c>
      <c r="CD63" s="60"/>
      <c r="CE63" s="61"/>
      <c r="CF63" s="35"/>
      <c r="CG63" s="37">
        <f t="shared" si="447"/>
        <v>0</v>
      </c>
      <c r="CH63" s="60"/>
      <c r="CI63" s="61"/>
      <c r="CJ63" s="36"/>
      <c r="CK63" s="37">
        <f t="shared" si="448"/>
        <v>0</v>
      </c>
      <c r="CL63" s="60"/>
      <c r="CM63" s="61"/>
      <c r="CN63" s="38"/>
      <c r="CO63" s="33" t="s">
        <v>87</v>
      </c>
      <c r="CP63" s="37">
        <f t="shared" si="449"/>
        <v>669</v>
      </c>
      <c r="CQ63" s="60">
        <v>669</v>
      </c>
      <c r="CR63" s="61"/>
      <c r="CS63" s="35"/>
      <c r="CT63" s="37">
        <f t="shared" si="450"/>
        <v>699</v>
      </c>
      <c r="CU63" s="60">
        <v>699</v>
      </c>
      <c r="CV63" s="61"/>
      <c r="CW63" s="36"/>
      <c r="CX63" s="37">
        <f t="shared" si="451"/>
        <v>0</v>
      </c>
      <c r="CY63" s="60"/>
      <c r="CZ63" s="61"/>
      <c r="DA63" s="38"/>
      <c r="DB63" s="33" t="s">
        <v>87</v>
      </c>
      <c r="DC63" s="37">
        <f t="shared" si="452"/>
        <v>689</v>
      </c>
      <c r="DD63" s="60">
        <v>689</v>
      </c>
      <c r="DE63" s="61"/>
      <c r="DF63" s="35"/>
      <c r="DG63" s="37">
        <f t="shared" si="453"/>
        <v>699</v>
      </c>
      <c r="DH63" s="60">
        <v>699</v>
      </c>
      <c r="DI63" s="61"/>
      <c r="DJ63" s="36"/>
      <c r="DK63" s="37">
        <f t="shared" si="454"/>
        <v>0</v>
      </c>
      <c r="DL63" s="60"/>
      <c r="DM63" s="61"/>
      <c r="DN63" s="38"/>
      <c r="DO63" s="33" t="s">
        <v>87</v>
      </c>
      <c r="DP63" s="37">
        <f t="shared" si="455"/>
        <v>713</v>
      </c>
      <c r="DQ63" s="60">
        <v>713</v>
      </c>
      <c r="DR63" s="61"/>
      <c r="DS63" s="35"/>
      <c r="DT63" s="37">
        <f t="shared" si="456"/>
        <v>699</v>
      </c>
      <c r="DU63" s="60">
        <v>699</v>
      </c>
      <c r="DV63" s="61"/>
      <c r="DW63" s="36"/>
      <c r="DX63" s="37">
        <f t="shared" si="457"/>
        <v>699</v>
      </c>
      <c r="DY63" s="60">
        <v>699</v>
      </c>
      <c r="DZ63" s="61"/>
      <c r="EA63" s="38"/>
      <c r="EB63" s="33" t="s">
        <v>87</v>
      </c>
      <c r="EC63" s="37">
        <f t="shared" si="458"/>
        <v>713</v>
      </c>
      <c r="ED63" s="60">
        <v>713</v>
      </c>
      <c r="EE63" s="61"/>
      <c r="EF63" s="35"/>
      <c r="EG63" s="37">
        <f t="shared" si="459"/>
        <v>699</v>
      </c>
      <c r="EH63" s="60">
        <v>699</v>
      </c>
      <c r="EI63" s="61"/>
      <c r="EJ63" s="36"/>
      <c r="EK63" s="37">
        <f t="shared" si="460"/>
        <v>699</v>
      </c>
      <c r="EL63" s="60">
        <v>699</v>
      </c>
      <c r="EM63" s="61"/>
      <c r="EN63" s="38"/>
    </row>
    <row r="64" spans="2:144" outlineLevel="1" x14ac:dyDescent="0.3">
      <c r="B64" s="33" t="s">
        <v>77</v>
      </c>
      <c r="C64" s="37">
        <f t="shared" si="428"/>
        <v>644</v>
      </c>
      <c r="D64" s="60">
        <v>644</v>
      </c>
      <c r="E64" s="61"/>
      <c r="F64" s="35"/>
      <c r="G64" s="37">
        <f t="shared" si="429"/>
        <v>549</v>
      </c>
      <c r="H64" s="60">
        <v>549</v>
      </c>
      <c r="I64" s="61"/>
      <c r="J64" s="36"/>
      <c r="K64" s="37">
        <f t="shared" si="430"/>
        <v>499</v>
      </c>
      <c r="L64" s="60">
        <v>499</v>
      </c>
      <c r="M64" s="61"/>
      <c r="N64" s="38"/>
      <c r="O64" s="33" t="s">
        <v>77</v>
      </c>
      <c r="P64" s="37">
        <f t="shared" si="431"/>
        <v>646</v>
      </c>
      <c r="Q64" s="60">
        <v>646</v>
      </c>
      <c r="R64" s="61"/>
      <c r="S64" s="35"/>
      <c r="T64" s="37">
        <f t="shared" si="432"/>
        <v>499</v>
      </c>
      <c r="U64" s="60">
        <v>499</v>
      </c>
      <c r="V64" s="61"/>
      <c r="W64" s="36"/>
      <c r="X64" s="37">
        <f t="shared" si="433"/>
        <v>473</v>
      </c>
      <c r="Y64" s="60">
        <v>473</v>
      </c>
      <c r="Z64" s="61"/>
      <c r="AA64" s="38"/>
      <c r="AB64" s="33" t="s">
        <v>77</v>
      </c>
      <c r="AC64" s="37">
        <f t="shared" si="434"/>
        <v>0</v>
      </c>
      <c r="AD64" s="60"/>
      <c r="AE64" s="61"/>
      <c r="AF64" s="35"/>
      <c r="AG64" s="37">
        <f t="shared" si="435"/>
        <v>0</v>
      </c>
      <c r="AH64" s="60"/>
      <c r="AI64" s="61"/>
      <c r="AJ64" s="36"/>
      <c r="AK64" s="37">
        <f t="shared" si="436"/>
        <v>0</v>
      </c>
      <c r="AL64" s="60"/>
      <c r="AM64" s="61"/>
      <c r="AN64" s="38"/>
      <c r="AO64" s="33" t="s">
        <v>88</v>
      </c>
      <c r="AP64" s="37">
        <f t="shared" si="437"/>
        <v>499</v>
      </c>
      <c r="AQ64" s="60">
        <v>499</v>
      </c>
      <c r="AR64" s="61"/>
      <c r="AS64" s="35"/>
      <c r="AT64" s="37">
        <f t="shared" si="438"/>
        <v>499</v>
      </c>
      <c r="AU64" s="60">
        <v>499</v>
      </c>
      <c r="AV64" s="61"/>
      <c r="AW64" s="36"/>
      <c r="AX64" s="37">
        <f t="shared" si="439"/>
        <v>0</v>
      </c>
      <c r="AY64" s="60"/>
      <c r="AZ64" s="61"/>
      <c r="BA64" s="38"/>
      <c r="BB64" s="33" t="s">
        <v>88</v>
      </c>
      <c r="BC64" s="37">
        <f t="shared" si="440"/>
        <v>489</v>
      </c>
      <c r="BD64" s="60">
        <v>489</v>
      </c>
      <c r="BE64" s="61"/>
      <c r="BF64" s="35"/>
      <c r="BG64" s="37">
        <f t="shared" si="441"/>
        <v>499</v>
      </c>
      <c r="BH64" s="60">
        <v>499</v>
      </c>
      <c r="BI64" s="61"/>
      <c r="BJ64" s="36"/>
      <c r="BK64" s="37">
        <f t="shared" si="442"/>
        <v>0</v>
      </c>
      <c r="BL64" s="60"/>
      <c r="BM64" s="61"/>
      <c r="BN64" s="38"/>
      <c r="BO64" s="33" t="s">
        <v>88</v>
      </c>
      <c r="BP64" s="37">
        <f t="shared" si="443"/>
        <v>489</v>
      </c>
      <c r="BQ64" s="60">
        <v>489</v>
      </c>
      <c r="BR64" s="61"/>
      <c r="BS64" s="35"/>
      <c r="BT64" s="37">
        <f t="shared" si="444"/>
        <v>499</v>
      </c>
      <c r="BU64" s="60">
        <v>499</v>
      </c>
      <c r="BV64" s="61"/>
      <c r="BW64" s="36"/>
      <c r="BX64" s="37">
        <f t="shared" si="445"/>
        <v>489</v>
      </c>
      <c r="BY64" s="60">
        <v>489</v>
      </c>
      <c r="BZ64" s="61"/>
      <c r="CA64" s="38"/>
      <c r="CB64" s="33" t="s">
        <v>88</v>
      </c>
      <c r="CC64" s="37">
        <f t="shared" si="446"/>
        <v>0</v>
      </c>
      <c r="CD64" s="60"/>
      <c r="CE64" s="61"/>
      <c r="CF64" s="35"/>
      <c r="CG64" s="37">
        <f t="shared" si="447"/>
        <v>0</v>
      </c>
      <c r="CH64" s="60"/>
      <c r="CI64" s="61"/>
      <c r="CJ64" s="36"/>
      <c r="CK64" s="37">
        <f t="shared" si="448"/>
        <v>0</v>
      </c>
      <c r="CL64" s="60"/>
      <c r="CM64" s="61"/>
      <c r="CN64" s="38"/>
      <c r="CO64" s="33" t="s">
        <v>88</v>
      </c>
      <c r="CP64" s="37">
        <f t="shared" si="449"/>
        <v>489</v>
      </c>
      <c r="CQ64" s="60">
        <v>489</v>
      </c>
      <c r="CR64" s="61"/>
      <c r="CS64" s="35"/>
      <c r="CT64" s="37">
        <f t="shared" si="450"/>
        <v>499</v>
      </c>
      <c r="CU64" s="60">
        <v>499</v>
      </c>
      <c r="CV64" s="61"/>
      <c r="CW64" s="36"/>
      <c r="CX64" s="37">
        <f t="shared" si="451"/>
        <v>0</v>
      </c>
      <c r="CY64" s="60"/>
      <c r="CZ64" s="61"/>
      <c r="DA64" s="38"/>
      <c r="DB64" s="33" t="s">
        <v>88</v>
      </c>
      <c r="DC64" s="37">
        <f t="shared" si="452"/>
        <v>489</v>
      </c>
      <c r="DD64" s="60">
        <v>489</v>
      </c>
      <c r="DE64" s="61"/>
      <c r="DF64" s="35"/>
      <c r="DG64" s="37">
        <f t="shared" si="453"/>
        <v>499</v>
      </c>
      <c r="DH64" s="60">
        <v>499</v>
      </c>
      <c r="DI64" s="61"/>
      <c r="DJ64" s="36"/>
      <c r="DK64" s="37">
        <f t="shared" si="454"/>
        <v>0</v>
      </c>
      <c r="DL64" s="60"/>
      <c r="DM64" s="61"/>
      <c r="DN64" s="38"/>
      <c r="DO64" s="33" t="s">
        <v>88</v>
      </c>
      <c r="DP64" s="37">
        <f t="shared" si="455"/>
        <v>469</v>
      </c>
      <c r="DQ64" s="60">
        <v>469</v>
      </c>
      <c r="DR64" s="61"/>
      <c r="DS64" s="35"/>
      <c r="DT64" s="37">
        <f t="shared" si="456"/>
        <v>529</v>
      </c>
      <c r="DU64" s="60">
        <v>529</v>
      </c>
      <c r="DV64" s="61"/>
      <c r="DW64" s="36"/>
      <c r="DX64" s="37">
        <f t="shared" si="457"/>
        <v>499</v>
      </c>
      <c r="DY64" s="60">
        <v>499</v>
      </c>
      <c r="DZ64" s="61"/>
      <c r="EA64" s="38"/>
      <c r="EB64" s="33" t="s">
        <v>88</v>
      </c>
      <c r="EC64" s="37">
        <f t="shared" si="458"/>
        <v>469</v>
      </c>
      <c r="ED64" s="60">
        <v>469</v>
      </c>
      <c r="EE64" s="61"/>
      <c r="EF64" s="35"/>
      <c r="EG64" s="37">
        <f t="shared" si="459"/>
        <v>529</v>
      </c>
      <c r="EH64" s="60">
        <v>529</v>
      </c>
      <c r="EI64" s="61"/>
      <c r="EJ64" s="36"/>
      <c r="EK64" s="37">
        <f t="shared" si="460"/>
        <v>499</v>
      </c>
      <c r="EL64" s="60">
        <v>499</v>
      </c>
      <c r="EM64" s="61"/>
      <c r="EN64" s="38"/>
    </row>
    <row r="65" spans="2:144" outlineLevel="1" x14ac:dyDescent="0.3">
      <c r="B65" s="33" t="s">
        <v>78</v>
      </c>
      <c r="C65" s="37">
        <f t="shared" si="428"/>
        <v>696</v>
      </c>
      <c r="D65" s="60">
        <v>696</v>
      </c>
      <c r="E65" s="61"/>
      <c r="F65" s="36"/>
      <c r="G65" s="37">
        <f t="shared" si="429"/>
        <v>529</v>
      </c>
      <c r="H65" s="60">
        <v>529</v>
      </c>
      <c r="I65" s="61"/>
      <c r="J65" s="36"/>
      <c r="K65" s="40">
        <f t="shared" si="430"/>
        <v>499</v>
      </c>
      <c r="L65" s="71">
        <v>499</v>
      </c>
      <c r="M65" s="72"/>
      <c r="N65" s="39"/>
      <c r="O65" s="33" t="s">
        <v>78</v>
      </c>
      <c r="P65" s="37">
        <f t="shared" si="431"/>
        <v>682</v>
      </c>
      <c r="Q65" s="60">
        <v>682</v>
      </c>
      <c r="R65" s="61"/>
      <c r="S65" s="36"/>
      <c r="T65" s="37">
        <f t="shared" si="432"/>
        <v>479</v>
      </c>
      <c r="U65" s="60">
        <v>479</v>
      </c>
      <c r="V65" s="61"/>
      <c r="W65" s="36"/>
      <c r="X65" s="40">
        <f t="shared" si="433"/>
        <v>479</v>
      </c>
      <c r="Y65" s="71">
        <v>479</v>
      </c>
      <c r="Z65" s="72"/>
      <c r="AA65" s="39"/>
      <c r="AB65" s="33" t="s">
        <v>78</v>
      </c>
      <c r="AC65" s="37">
        <f t="shared" si="434"/>
        <v>0</v>
      </c>
      <c r="AD65" s="60"/>
      <c r="AE65" s="61"/>
      <c r="AF65" s="36"/>
      <c r="AG65" s="37">
        <f t="shared" si="435"/>
        <v>0</v>
      </c>
      <c r="AH65" s="60"/>
      <c r="AI65" s="61"/>
      <c r="AJ65" s="36"/>
      <c r="AK65" s="40">
        <f t="shared" si="436"/>
        <v>0</v>
      </c>
      <c r="AL65" s="71"/>
      <c r="AM65" s="72"/>
      <c r="AN65" s="39"/>
      <c r="AO65" s="33" t="s">
        <v>89</v>
      </c>
      <c r="AP65" s="37">
        <f t="shared" si="437"/>
        <v>489</v>
      </c>
      <c r="AQ65" s="60">
        <v>489</v>
      </c>
      <c r="AR65" s="61"/>
      <c r="AS65" s="36"/>
      <c r="AT65" s="37">
        <f t="shared" si="438"/>
        <v>499</v>
      </c>
      <c r="AU65" s="60">
        <v>499</v>
      </c>
      <c r="AV65" s="61"/>
      <c r="AW65" s="36"/>
      <c r="AX65" s="40">
        <f t="shared" si="439"/>
        <v>0</v>
      </c>
      <c r="AY65" s="71"/>
      <c r="AZ65" s="72"/>
      <c r="BA65" s="39"/>
      <c r="BB65" s="33" t="s">
        <v>89</v>
      </c>
      <c r="BC65" s="37">
        <f t="shared" si="440"/>
        <v>489</v>
      </c>
      <c r="BD65" s="60">
        <v>489</v>
      </c>
      <c r="BE65" s="61"/>
      <c r="BF65" s="36"/>
      <c r="BG65" s="37">
        <f t="shared" si="441"/>
        <v>499</v>
      </c>
      <c r="BH65" s="60">
        <v>499</v>
      </c>
      <c r="BI65" s="61"/>
      <c r="BJ65" s="36"/>
      <c r="BK65" s="40">
        <f t="shared" si="442"/>
        <v>0</v>
      </c>
      <c r="BL65" s="71"/>
      <c r="BM65" s="72"/>
      <c r="BN65" s="39"/>
      <c r="BO65" s="33" t="s">
        <v>89</v>
      </c>
      <c r="BP65" s="37">
        <f t="shared" si="443"/>
        <v>489</v>
      </c>
      <c r="BQ65" s="60">
        <v>489</v>
      </c>
      <c r="BR65" s="61"/>
      <c r="BS65" s="36"/>
      <c r="BT65" s="37">
        <f t="shared" si="444"/>
        <v>499</v>
      </c>
      <c r="BU65" s="60">
        <v>499</v>
      </c>
      <c r="BV65" s="61"/>
      <c r="BW65" s="36"/>
      <c r="BX65" s="40">
        <f t="shared" si="445"/>
        <v>489</v>
      </c>
      <c r="BY65" s="71">
        <v>489</v>
      </c>
      <c r="BZ65" s="72"/>
      <c r="CA65" s="39"/>
      <c r="CB65" s="33" t="s">
        <v>89</v>
      </c>
      <c r="CC65" s="37">
        <f t="shared" si="446"/>
        <v>0</v>
      </c>
      <c r="CD65" s="60"/>
      <c r="CE65" s="61"/>
      <c r="CF65" s="36"/>
      <c r="CG65" s="37">
        <f t="shared" si="447"/>
        <v>0</v>
      </c>
      <c r="CH65" s="60"/>
      <c r="CI65" s="61"/>
      <c r="CJ65" s="36"/>
      <c r="CK65" s="40">
        <f t="shared" si="448"/>
        <v>0</v>
      </c>
      <c r="CL65" s="71"/>
      <c r="CM65" s="72"/>
      <c r="CN65" s="39"/>
      <c r="CO65" s="33" t="s">
        <v>89</v>
      </c>
      <c r="CP65" s="37">
        <f t="shared" si="449"/>
        <v>498</v>
      </c>
      <c r="CQ65" s="60">
        <v>498</v>
      </c>
      <c r="CR65" s="61"/>
      <c r="CS65" s="36"/>
      <c r="CT65" s="37">
        <f t="shared" si="450"/>
        <v>499</v>
      </c>
      <c r="CU65" s="60">
        <v>499</v>
      </c>
      <c r="CV65" s="61"/>
      <c r="CW65" s="36"/>
      <c r="CX65" s="40">
        <f t="shared" si="451"/>
        <v>0</v>
      </c>
      <c r="CY65" s="71"/>
      <c r="CZ65" s="72"/>
      <c r="DA65" s="39"/>
      <c r="DB65" s="33" t="s">
        <v>89</v>
      </c>
      <c r="DC65" s="37">
        <f t="shared" si="452"/>
        <v>498</v>
      </c>
      <c r="DD65" s="60">
        <v>498</v>
      </c>
      <c r="DE65" s="61"/>
      <c r="DF65" s="36"/>
      <c r="DG65" s="37">
        <f t="shared" si="453"/>
        <v>499</v>
      </c>
      <c r="DH65" s="60">
        <v>499</v>
      </c>
      <c r="DI65" s="61"/>
      <c r="DJ65" s="36"/>
      <c r="DK65" s="40">
        <f t="shared" si="454"/>
        <v>0</v>
      </c>
      <c r="DL65" s="71"/>
      <c r="DM65" s="72"/>
      <c r="DN65" s="39"/>
      <c r="DO65" s="33" t="s">
        <v>89</v>
      </c>
      <c r="DP65" s="37">
        <f t="shared" si="455"/>
        <v>498</v>
      </c>
      <c r="DQ65" s="60">
        <v>498</v>
      </c>
      <c r="DR65" s="61"/>
      <c r="DS65" s="36"/>
      <c r="DT65" s="37">
        <f t="shared" si="456"/>
        <v>499</v>
      </c>
      <c r="DU65" s="60">
        <v>499</v>
      </c>
      <c r="DV65" s="61"/>
      <c r="DW65" s="36"/>
      <c r="DX65" s="40">
        <f t="shared" si="457"/>
        <v>489</v>
      </c>
      <c r="DY65" s="71">
        <v>489</v>
      </c>
      <c r="DZ65" s="72"/>
      <c r="EA65" s="39"/>
      <c r="EB65" s="33" t="s">
        <v>89</v>
      </c>
      <c r="EC65" s="37">
        <f t="shared" si="458"/>
        <v>498</v>
      </c>
      <c r="ED65" s="60">
        <v>498</v>
      </c>
      <c r="EE65" s="61"/>
      <c r="EF65" s="36"/>
      <c r="EG65" s="37">
        <f t="shared" si="459"/>
        <v>499</v>
      </c>
      <c r="EH65" s="60">
        <v>499</v>
      </c>
      <c r="EI65" s="61"/>
      <c r="EJ65" s="36"/>
      <c r="EK65" s="40">
        <f t="shared" si="460"/>
        <v>489</v>
      </c>
      <c r="EL65" s="71">
        <v>489</v>
      </c>
      <c r="EM65" s="72"/>
      <c r="EN65" s="39"/>
    </row>
    <row r="66" spans="2:144" outlineLevel="1" x14ac:dyDescent="0.3">
      <c r="B66" s="33" t="s">
        <v>79</v>
      </c>
      <c r="C66" s="37">
        <f t="shared" si="428"/>
        <v>533</v>
      </c>
      <c r="D66" s="60">
        <v>533</v>
      </c>
      <c r="E66" s="61"/>
      <c r="F66" s="36"/>
      <c r="G66" s="37">
        <f t="shared" si="429"/>
        <v>429</v>
      </c>
      <c r="H66" s="60">
        <v>429</v>
      </c>
      <c r="I66" s="61"/>
      <c r="J66" s="36"/>
      <c r="K66" s="37">
        <f t="shared" si="430"/>
        <v>349</v>
      </c>
      <c r="L66" s="60">
        <v>349</v>
      </c>
      <c r="M66" s="61"/>
      <c r="N66" s="39"/>
      <c r="O66" s="33" t="s">
        <v>79</v>
      </c>
      <c r="P66" s="37">
        <f t="shared" si="431"/>
        <v>379</v>
      </c>
      <c r="Q66" s="60">
        <v>379</v>
      </c>
      <c r="R66" s="61"/>
      <c r="S66" s="36"/>
      <c r="T66" s="37">
        <f t="shared" si="432"/>
        <v>399</v>
      </c>
      <c r="U66" s="60">
        <v>399</v>
      </c>
      <c r="V66" s="61"/>
      <c r="W66" s="36"/>
      <c r="X66" s="37">
        <f t="shared" si="433"/>
        <v>348</v>
      </c>
      <c r="Y66" s="60">
        <v>348</v>
      </c>
      <c r="Z66" s="61"/>
      <c r="AA66" s="39"/>
      <c r="AB66" s="33" t="s">
        <v>79</v>
      </c>
      <c r="AC66" s="37">
        <f t="shared" si="434"/>
        <v>0</v>
      </c>
      <c r="AD66" s="60"/>
      <c r="AE66" s="61"/>
      <c r="AF66" s="36"/>
      <c r="AG66" s="37">
        <f t="shared" si="435"/>
        <v>0</v>
      </c>
      <c r="AH66" s="60"/>
      <c r="AI66" s="61"/>
      <c r="AJ66" s="36"/>
      <c r="AK66" s="37">
        <f t="shared" si="436"/>
        <v>0</v>
      </c>
      <c r="AL66" s="60"/>
      <c r="AM66" s="61"/>
      <c r="AN66" s="39"/>
      <c r="AO66" s="33" t="s">
        <v>90</v>
      </c>
      <c r="AP66" s="37">
        <f t="shared" si="437"/>
        <v>449</v>
      </c>
      <c r="AQ66" s="60">
        <v>449</v>
      </c>
      <c r="AR66" s="61"/>
      <c r="AS66" s="36"/>
      <c r="AT66" s="37">
        <f t="shared" si="438"/>
        <v>449</v>
      </c>
      <c r="AU66" s="60">
        <v>449</v>
      </c>
      <c r="AV66" s="61"/>
      <c r="AW66" s="36"/>
      <c r="AX66" s="37">
        <f t="shared" si="439"/>
        <v>0</v>
      </c>
      <c r="AY66" s="60"/>
      <c r="AZ66" s="61"/>
      <c r="BA66" s="39"/>
      <c r="BB66" s="33" t="s">
        <v>90</v>
      </c>
      <c r="BC66" s="37">
        <f t="shared" si="440"/>
        <v>549</v>
      </c>
      <c r="BD66" s="60">
        <v>549</v>
      </c>
      <c r="BE66" s="61"/>
      <c r="BF66" s="36"/>
      <c r="BG66" s="37">
        <f t="shared" si="441"/>
        <v>449</v>
      </c>
      <c r="BH66" s="60">
        <v>449</v>
      </c>
      <c r="BI66" s="61"/>
      <c r="BJ66" s="36"/>
      <c r="BK66" s="37">
        <f t="shared" si="442"/>
        <v>0</v>
      </c>
      <c r="BL66" s="60"/>
      <c r="BM66" s="61"/>
      <c r="BN66" s="39"/>
      <c r="BO66" s="33" t="s">
        <v>90</v>
      </c>
      <c r="BP66" s="37">
        <f t="shared" si="443"/>
        <v>539</v>
      </c>
      <c r="BQ66" s="60">
        <v>539</v>
      </c>
      <c r="BR66" s="61"/>
      <c r="BS66" s="36"/>
      <c r="BT66" s="37">
        <f t="shared" si="444"/>
        <v>0</v>
      </c>
      <c r="BU66" s="60"/>
      <c r="BV66" s="61"/>
      <c r="BW66" s="36"/>
      <c r="BX66" s="37">
        <f t="shared" si="445"/>
        <v>449</v>
      </c>
      <c r="BY66" s="60">
        <v>449</v>
      </c>
      <c r="BZ66" s="61"/>
      <c r="CA66" s="39"/>
      <c r="CB66" s="33" t="s">
        <v>90</v>
      </c>
      <c r="CC66" s="37">
        <f t="shared" si="446"/>
        <v>0</v>
      </c>
      <c r="CD66" s="60"/>
      <c r="CE66" s="61"/>
      <c r="CF66" s="36"/>
      <c r="CG66" s="37">
        <f t="shared" si="447"/>
        <v>0</v>
      </c>
      <c r="CH66" s="60"/>
      <c r="CI66" s="61"/>
      <c r="CJ66" s="36"/>
      <c r="CK66" s="37">
        <f t="shared" si="448"/>
        <v>0</v>
      </c>
      <c r="CL66" s="60"/>
      <c r="CM66" s="61"/>
      <c r="CN66" s="39"/>
      <c r="CO66" s="33" t="s">
        <v>90</v>
      </c>
      <c r="CP66" s="37">
        <f t="shared" si="449"/>
        <v>539</v>
      </c>
      <c r="CQ66" s="60">
        <v>539</v>
      </c>
      <c r="CR66" s="61"/>
      <c r="CS66" s="36"/>
      <c r="CT66" s="37">
        <f t="shared" si="450"/>
        <v>0</v>
      </c>
      <c r="CU66" s="60"/>
      <c r="CV66" s="61"/>
      <c r="CW66" s="36"/>
      <c r="CX66" s="37">
        <f t="shared" si="451"/>
        <v>0</v>
      </c>
      <c r="CY66" s="60"/>
      <c r="CZ66" s="61"/>
      <c r="DA66" s="39"/>
      <c r="DB66" s="33" t="s">
        <v>90</v>
      </c>
      <c r="DC66" s="37">
        <f t="shared" si="452"/>
        <v>0</v>
      </c>
      <c r="DD66" s="60"/>
      <c r="DE66" s="61"/>
      <c r="DF66" s="36"/>
      <c r="DG66" s="37">
        <f t="shared" si="453"/>
        <v>0</v>
      </c>
      <c r="DH66" s="60"/>
      <c r="DI66" s="61"/>
      <c r="DJ66" s="36"/>
      <c r="DK66" s="37">
        <f t="shared" si="454"/>
        <v>0</v>
      </c>
      <c r="DL66" s="60"/>
      <c r="DM66" s="61"/>
      <c r="DN66" s="39"/>
      <c r="DO66" s="33" t="s">
        <v>90</v>
      </c>
      <c r="DP66" s="37">
        <f t="shared" si="455"/>
        <v>549</v>
      </c>
      <c r="DQ66" s="60">
        <v>549</v>
      </c>
      <c r="DR66" s="61"/>
      <c r="DS66" s="36"/>
      <c r="DT66" s="37">
        <f t="shared" si="456"/>
        <v>479</v>
      </c>
      <c r="DU66" s="60">
        <v>479</v>
      </c>
      <c r="DV66" s="61"/>
      <c r="DW66" s="36"/>
      <c r="DX66" s="37">
        <f t="shared" si="457"/>
        <v>449</v>
      </c>
      <c r="DY66" s="60">
        <v>449</v>
      </c>
      <c r="DZ66" s="61"/>
      <c r="EA66" s="39"/>
      <c r="EB66" s="33" t="s">
        <v>90</v>
      </c>
      <c r="EC66" s="37">
        <f t="shared" si="458"/>
        <v>549</v>
      </c>
      <c r="ED66" s="60">
        <v>549</v>
      </c>
      <c r="EE66" s="61"/>
      <c r="EF66" s="36"/>
      <c r="EG66" s="37">
        <f t="shared" si="459"/>
        <v>479</v>
      </c>
      <c r="EH66" s="60">
        <v>479</v>
      </c>
      <c r="EI66" s="61"/>
      <c r="EJ66" s="36"/>
      <c r="EK66" s="37">
        <f t="shared" si="460"/>
        <v>449</v>
      </c>
      <c r="EL66" s="60">
        <v>449</v>
      </c>
      <c r="EM66" s="61"/>
      <c r="EN66" s="39"/>
    </row>
    <row r="67" spans="2:144" outlineLevel="1" x14ac:dyDescent="0.3">
      <c r="B67" s="33"/>
      <c r="C67" s="37"/>
      <c r="D67" s="60"/>
      <c r="E67" s="61"/>
      <c r="F67" s="35"/>
      <c r="G67" s="37"/>
      <c r="H67" s="60"/>
      <c r="I67" s="61"/>
      <c r="J67" s="35"/>
      <c r="K67" s="37"/>
      <c r="L67" s="60"/>
      <c r="M67" s="61"/>
      <c r="N67" s="38"/>
      <c r="O67" s="33"/>
      <c r="P67" s="37"/>
      <c r="Q67" s="60"/>
      <c r="R67" s="61"/>
      <c r="S67" s="35"/>
      <c r="T67" s="37"/>
      <c r="U67" s="60"/>
      <c r="V67" s="61"/>
      <c r="W67" s="35"/>
      <c r="X67" s="37"/>
      <c r="Y67" s="60"/>
      <c r="Z67" s="61"/>
      <c r="AA67" s="38"/>
      <c r="AB67" s="33"/>
      <c r="AC67" s="37"/>
      <c r="AD67" s="60"/>
      <c r="AE67" s="61"/>
      <c r="AF67" s="35"/>
      <c r="AG67" s="37"/>
      <c r="AH67" s="60"/>
      <c r="AI67" s="61"/>
      <c r="AJ67" s="35"/>
      <c r="AK67" s="37"/>
      <c r="AL67" s="60"/>
      <c r="AM67" s="61"/>
      <c r="AN67" s="38"/>
      <c r="AO67" s="33"/>
      <c r="AP67" s="37"/>
      <c r="AQ67" s="60"/>
      <c r="AR67" s="61"/>
      <c r="AS67" s="35"/>
      <c r="AT67" s="37"/>
      <c r="AU67" s="60"/>
      <c r="AV67" s="61"/>
      <c r="AW67" s="35"/>
      <c r="AX67" s="37"/>
      <c r="AY67" s="60"/>
      <c r="AZ67" s="61"/>
      <c r="BA67" s="38"/>
      <c r="BB67" s="33"/>
      <c r="BC67" s="37"/>
      <c r="BD67" s="60"/>
      <c r="BE67" s="61"/>
      <c r="BF67" s="35"/>
      <c r="BG67" s="37"/>
      <c r="BH67" s="60"/>
      <c r="BI67" s="61"/>
      <c r="BJ67" s="35"/>
      <c r="BK67" s="37"/>
      <c r="BL67" s="60"/>
      <c r="BM67" s="61"/>
      <c r="BN67" s="38"/>
      <c r="BO67" s="33"/>
      <c r="BP67" s="37"/>
      <c r="BQ67" s="60"/>
      <c r="BR67" s="61"/>
      <c r="BS67" s="35"/>
      <c r="BT67" s="37"/>
      <c r="BU67" s="60"/>
      <c r="BV67" s="61"/>
      <c r="BW67" s="35"/>
      <c r="BX67" s="37"/>
      <c r="BY67" s="60"/>
      <c r="BZ67" s="61"/>
      <c r="CA67" s="38"/>
      <c r="CB67" s="33"/>
      <c r="CC67" s="37"/>
      <c r="CD67" s="60"/>
      <c r="CE67" s="61"/>
      <c r="CF67" s="35"/>
      <c r="CG67" s="37"/>
      <c r="CH67" s="60"/>
      <c r="CI67" s="61"/>
      <c r="CJ67" s="35"/>
      <c r="CK67" s="37"/>
      <c r="CL67" s="60"/>
      <c r="CM67" s="61"/>
      <c r="CN67" s="38"/>
      <c r="CO67" s="33"/>
      <c r="CP67" s="37"/>
      <c r="CQ67" s="60"/>
      <c r="CR67" s="61"/>
      <c r="CS67" s="35"/>
      <c r="CT67" s="37"/>
      <c r="CU67" s="60"/>
      <c r="CV67" s="61"/>
      <c r="CW67" s="35"/>
      <c r="CX67" s="37"/>
      <c r="CY67" s="60"/>
      <c r="CZ67" s="61"/>
      <c r="DA67" s="38"/>
      <c r="DB67" s="33"/>
      <c r="DC67" s="37"/>
      <c r="DD67" s="60"/>
      <c r="DE67" s="61"/>
      <c r="DF67" s="35"/>
      <c r="DG67" s="37"/>
      <c r="DH67" s="60"/>
      <c r="DI67" s="61"/>
      <c r="DJ67" s="35"/>
      <c r="DK67" s="37"/>
      <c r="DL67" s="60"/>
      <c r="DM67" s="61"/>
      <c r="DN67" s="38"/>
      <c r="DO67" s="33"/>
      <c r="DP67" s="37"/>
      <c r="DQ67" s="60"/>
      <c r="DR67" s="61"/>
      <c r="DS67" s="35"/>
      <c r="DT67" s="37"/>
      <c r="DU67" s="60"/>
      <c r="DV67" s="61"/>
      <c r="DW67" s="35"/>
      <c r="DX67" s="37"/>
      <c r="DY67" s="60"/>
      <c r="DZ67" s="61"/>
      <c r="EA67" s="38"/>
      <c r="EB67" s="33"/>
      <c r="EC67" s="37"/>
      <c r="ED67" s="60"/>
      <c r="EE67" s="61"/>
      <c r="EF67" s="35"/>
      <c r="EG67" s="37"/>
      <c r="EH67" s="60"/>
      <c r="EI67" s="61"/>
      <c r="EJ67" s="35"/>
      <c r="EK67" s="37"/>
      <c r="EL67" s="60"/>
      <c r="EM67" s="61"/>
      <c r="EN67" s="38"/>
    </row>
    <row r="68" spans="2:144" outlineLevel="1" x14ac:dyDescent="0.3">
      <c r="B68" s="33" t="s">
        <v>71</v>
      </c>
      <c r="C68" s="34">
        <f t="shared" ref="C68:C69" si="461">D68-E68</f>
        <v>0</v>
      </c>
      <c r="D68" s="65"/>
      <c r="E68" s="66"/>
      <c r="F68" s="35"/>
      <c r="G68" s="34">
        <f t="shared" ref="G68:G71" si="462">H68-I68</f>
        <v>1799</v>
      </c>
      <c r="H68" s="65">
        <v>1799</v>
      </c>
      <c r="I68" s="66"/>
      <c r="J68" s="36"/>
      <c r="K68" s="37">
        <f t="shared" ref="K68:K71" si="463">L68-M68</f>
        <v>1649</v>
      </c>
      <c r="L68" s="60">
        <v>1649</v>
      </c>
      <c r="M68" s="61"/>
      <c r="N68" s="38"/>
      <c r="O68" s="33" t="s">
        <v>71</v>
      </c>
      <c r="P68" s="34">
        <f t="shared" ref="P68:P69" si="464">Q68-R68</f>
        <v>0</v>
      </c>
      <c r="Q68" s="65"/>
      <c r="R68" s="66"/>
      <c r="S68" s="35"/>
      <c r="T68" s="34">
        <f t="shared" ref="T68:T71" si="465">U68-V68</f>
        <v>1599</v>
      </c>
      <c r="U68" s="65">
        <v>1599</v>
      </c>
      <c r="V68" s="66"/>
      <c r="W68" s="36"/>
      <c r="X68" s="37">
        <f t="shared" ref="X68:X71" si="466">Y68-Z68</f>
        <v>1599</v>
      </c>
      <c r="Y68" s="60">
        <v>1599</v>
      </c>
      <c r="Z68" s="61"/>
      <c r="AA68" s="38"/>
      <c r="AB68" s="33" t="s">
        <v>71</v>
      </c>
      <c r="AC68" s="34">
        <f t="shared" ref="AC68:AC69" si="467">AD68-AE68</f>
        <v>0</v>
      </c>
      <c r="AD68" s="65"/>
      <c r="AE68" s="66"/>
      <c r="AF68" s="35"/>
      <c r="AG68" s="34">
        <f t="shared" ref="AG68:AG71" si="468">AH68-AI68</f>
        <v>0</v>
      </c>
      <c r="AH68" s="65"/>
      <c r="AI68" s="66"/>
      <c r="AJ68" s="36"/>
      <c r="AK68" s="37">
        <f t="shared" ref="AK68:AK71" si="469">AL68-AM68</f>
        <v>0</v>
      </c>
      <c r="AL68" s="60"/>
      <c r="AM68" s="61"/>
      <c r="AN68" s="38"/>
      <c r="AO68" s="33" t="s">
        <v>71</v>
      </c>
      <c r="AP68" s="34">
        <f t="shared" ref="AP68:AP69" si="470">AQ68-AR68</f>
        <v>1919</v>
      </c>
      <c r="AQ68" s="65">
        <v>1919</v>
      </c>
      <c r="AR68" s="66"/>
      <c r="AS68" s="35"/>
      <c r="AT68" s="34">
        <f t="shared" ref="AT68:AT71" si="471">AU68-AV68</f>
        <v>1599</v>
      </c>
      <c r="AU68" s="65">
        <v>1599</v>
      </c>
      <c r="AV68" s="66"/>
      <c r="AW68" s="36"/>
      <c r="AX68" s="37">
        <f t="shared" ref="AX68:AX71" si="472">AY68-AZ68</f>
        <v>0</v>
      </c>
      <c r="AY68" s="60"/>
      <c r="AZ68" s="61"/>
      <c r="BA68" s="38"/>
      <c r="BB68" s="33" t="s">
        <v>71</v>
      </c>
      <c r="BC68" s="34">
        <f t="shared" ref="BC68:BC69" si="473">BD68-BE68</f>
        <v>1758</v>
      </c>
      <c r="BD68" s="65">
        <v>1758</v>
      </c>
      <c r="BE68" s="66"/>
      <c r="BF68" s="35"/>
      <c r="BG68" s="34">
        <f t="shared" ref="BG68:BG71" si="474">BH68-BI68</f>
        <v>1599</v>
      </c>
      <c r="BH68" s="65">
        <v>1599</v>
      </c>
      <c r="BI68" s="66"/>
      <c r="BJ68" s="36"/>
      <c r="BK68" s="37">
        <f t="shared" ref="BK68:BK71" si="475">BL68-BM68</f>
        <v>0</v>
      </c>
      <c r="BL68" s="60"/>
      <c r="BM68" s="61"/>
      <c r="BN68" s="38"/>
      <c r="BO68" s="33" t="s">
        <v>71</v>
      </c>
      <c r="BP68" s="34">
        <f t="shared" ref="BP68:BP69" si="476">BQ68-BR68</f>
        <v>1784</v>
      </c>
      <c r="BQ68" s="65">
        <v>1784</v>
      </c>
      <c r="BR68" s="66"/>
      <c r="BS68" s="35"/>
      <c r="BT68" s="34">
        <f t="shared" ref="BT68:BT71" si="477">BU68-BV68</f>
        <v>1599</v>
      </c>
      <c r="BU68" s="65">
        <v>1599</v>
      </c>
      <c r="BV68" s="66"/>
      <c r="BW68" s="36"/>
      <c r="BX68" s="37">
        <f t="shared" ref="BX68:BX71" si="478">BY68-BZ68</f>
        <v>1589</v>
      </c>
      <c r="BY68" s="60">
        <v>1589</v>
      </c>
      <c r="BZ68" s="61"/>
      <c r="CA68" s="38"/>
      <c r="CB68" s="33" t="s">
        <v>71</v>
      </c>
      <c r="CC68" s="34">
        <f t="shared" ref="CC68:CC69" si="479">CD68-CE68</f>
        <v>0</v>
      </c>
      <c r="CD68" s="65"/>
      <c r="CE68" s="66"/>
      <c r="CF68" s="35"/>
      <c r="CG68" s="34">
        <f t="shared" ref="CG68:CG71" si="480">CH68-CI68</f>
        <v>0</v>
      </c>
      <c r="CH68" s="65"/>
      <c r="CI68" s="66"/>
      <c r="CJ68" s="36"/>
      <c r="CK68" s="37">
        <f t="shared" ref="CK68:CK71" si="481">CL68-CM68</f>
        <v>0</v>
      </c>
      <c r="CL68" s="60"/>
      <c r="CM68" s="61"/>
      <c r="CN68" s="38"/>
      <c r="CO68" s="33" t="s">
        <v>71</v>
      </c>
      <c r="CP68" s="34">
        <f t="shared" ref="CP68:CP69" si="482">CQ68-CR68</f>
        <v>1784</v>
      </c>
      <c r="CQ68" s="65">
        <v>1784</v>
      </c>
      <c r="CR68" s="66"/>
      <c r="CS68" s="35"/>
      <c r="CT68" s="34">
        <f t="shared" ref="CT68:CT71" si="483">CU68-CV68</f>
        <v>1599</v>
      </c>
      <c r="CU68" s="65">
        <v>1599</v>
      </c>
      <c r="CV68" s="66"/>
      <c r="CW68" s="36"/>
      <c r="CX68" s="37">
        <f t="shared" ref="CX68:CX71" si="484">CY68-CZ68</f>
        <v>0</v>
      </c>
      <c r="CY68" s="60"/>
      <c r="CZ68" s="61"/>
      <c r="DA68" s="38"/>
      <c r="DB68" s="33" t="s">
        <v>71</v>
      </c>
      <c r="DC68" s="34">
        <f t="shared" ref="DC68:DC69" si="485">DD68-DE68</f>
        <v>1836</v>
      </c>
      <c r="DD68" s="65">
        <v>1836</v>
      </c>
      <c r="DE68" s="66"/>
      <c r="DF68" s="35"/>
      <c r="DG68" s="34">
        <f t="shared" ref="DG68:DG71" si="486">DH68-DI68</f>
        <v>1599</v>
      </c>
      <c r="DH68" s="65">
        <v>1599</v>
      </c>
      <c r="DI68" s="66"/>
      <c r="DJ68" s="36"/>
      <c r="DK68" s="37">
        <f t="shared" ref="DK68:DK71" si="487">DL68-DM68</f>
        <v>0</v>
      </c>
      <c r="DL68" s="60"/>
      <c r="DM68" s="61"/>
      <c r="DN68" s="38"/>
      <c r="DO68" s="33" t="s">
        <v>71</v>
      </c>
      <c r="DP68" s="34">
        <f t="shared" ref="DP68:DP69" si="488">DQ68-DR68</f>
        <v>1762</v>
      </c>
      <c r="DQ68" s="65">
        <v>1762</v>
      </c>
      <c r="DR68" s="66"/>
      <c r="DS68" s="35"/>
      <c r="DT68" s="34">
        <f t="shared" ref="DT68:DT71" si="489">DU68-DV68</f>
        <v>1599</v>
      </c>
      <c r="DU68" s="65">
        <v>1599</v>
      </c>
      <c r="DV68" s="66"/>
      <c r="DW68" s="36"/>
      <c r="DX68" s="37">
        <f t="shared" ref="DX68:DX71" si="490">DY68-DZ68</f>
        <v>649</v>
      </c>
      <c r="DY68" s="60">
        <v>649</v>
      </c>
      <c r="DZ68" s="61"/>
      <c r="EA68" s="38"/>
      <c r="EB68" s="33" t="s">
        <v>71</v>
      </c>
      <c r="EC68" s="34">
        <f t="shared" ref="EC68:EC69" si="491">ED68-EE68</f>
        <v>1762</v>
      </c>
      <c r="ED68" s="65">
        <v>1762</v>
      </c>
      <c r="EE68" s="66"/>
      <c r="EF68" s="35"/>
      <c r="EG68" s="34">
        <f t="shared" ref="EG68:EG71" si="492">EH68-EI68</f>
        <v>1599</v>
      </c>
      <c r="EH68" s="65">
        <v>1599</v>
      </c>
      <c r="EI68" s="66"/>
      <c r="EJ68" s="36"/>
      <c r="EK68" s="37">
        <f t="shared" ref="EK68:EK71" si="493">EL68-EM68</f>
        <v>649</v>
      </c>
      <c r="EL68" s="60">
        <v>649</v>
      </c>
      <c r="EM68" s="61"/>
      <c r="EN68" s="38"/>
    </row>
    <row r="69" spans="2:144" outlineLevel="1" x14ac:dyDescent="0.3">
      <c r="B69" s="33" t="s">
        <v>72</v>
      </c>
      <c r="C69" s="37">
        <f t="shared" si="461"/>
        <v>1776</v>
      </c>
      <c r="D69" s="60">
        <v>1776</v>
      </c>
      <c r="E69" s="61"/>
      <c r="F69" s="35"/>
      <c r="G69" s="37">
        <f t="shared" si="462"/>
        <v>1299</v>
      </c>
      <c r="H69" s="60">
        <v>1299</v>
      </c>
      <c r="I69" s="61"/>
      <c r="J69" s="36"/>
      <c r="K69" s="37">
        <f t="shared" si="463"/>
        <v>1199</v>
      </c>
      <c r="L69" s="60">
        <v>1199</v>
      </c>
      <c r="M69" s="61"/>
      <c r="N69" s="38"/>
      <c r="O69" s="33" t="s">
        <v>72</v>
      </c>
      <c r="P69" s="37">
        <f t="shared" si="464"/>
        <v>1089</v>
      </c>
      <c r="Q69" s="60">
        <v>1089</v>
      </c>
      <c r="R69" s="61"/>
      <c r="S69" s="35"/>
      <c r="T69" s="37">
        <f t="shared" si="465"/>
        <v>999</v>
      </c>
      <c r="U69" s="60">
        <v>999</v>
      </c>
      <c r="V69" s="61"/>
      <c r="W69" s="36"/>
      <c r="X69" s="37">
        <f t="shared" si="466"/>
        <v>1290</v>
      </c>
      <c r="Y69" s="60">
        <v>1290</v>
      </c>
      <c r="Z69" s="61"/>
      <c r="AA69" s="38"/>
      <c r="AB69" s="33" t="s">
        <v>72</v>
      </c>
      <c r="AC69" s="37">
        <f t="shared" si="467"/>
        <v>0</v>
      </c>
      <c r="AD69" s="60"/>
      <c r="AE69" s="61"/>
      <c r="AF69" s="35"/>
      <c r="AG69" s="37">
        <f t="shared" si="468"/>
        <v>0</v>
      </c>
      <c r="AH69" s="60"/>
      <c r="AI69" s="61"/>
      <c r="AJ69" s="36"/>
      <c r="AK69" s="37">
        <f t="shared" si="469"/>
        <v>0</v>
      </c>
      <c r="AL69" s="60"/>
      <c r="AM69" s="61"/>
      <c r="AN69" s="38"/>
      <c r="AO69" s="33" t="s">
        <v>72</v>
      </c>
      <c r="AP69" s="37">
        <f t="shared" si="470"/>
        <v>1771</v>
      </c>
      <c r="AQ69" s="60">
        <v>1771</v>
      </c>
      <c r="AR69" s="61"/>
      <c r="AS69" s="35"/>
      <c r="AT69" s="37">
        <f t="shared" si="471"/>
        <v>1049</v>
      </c>
      <c r="AU69" s="60">
        <v>1049</v>
      </c>
      <c r="AV69" s="61"/>
      <c r="AW69" s="36"/>
      <c r="AX69" s="37">
        <f t="shared" si="472"/>
        <v>0</v>
      </c>
      <c r="AY69" s="60"/>
      <c r="AZ69" s="61"/>
      <c r="BA69" s="38"/>
      <c r="BB69" s="33" t="s">
        <v>72</v>
      </c>
      <c r="BC69" s="37">
        <f t="shared" si="473"/>
        <v>1835</v>
      </c>
      <c r="BD69" s="60">
        <v>1835</v>
      </c>
      <c r="BE69" s="61"/>
      <c r="BF69" s="35"/>
      <c r="BG69" s="37">
        <f t="shared" si="474"/>
        <v>1099</v>
      </c>
      <c r="BH69" s="60">
        <v>1099</v>
      </c>
      <c r="BI69" s="61"/>
      <c r="BJ69" s="36"/>
      <c r="BK69" s="37">
        <f t="shared" si="475"/>
        <v>0</v>
      </c>
      <c r="BL69" s="60"/>
      <c r="BM69" s="61"/>
      <c r="BN69" s="38"/>
      <c r="BO69" s="33" t="s">
        <v>72</v>
      </c>
      <c r="BP69" s="37">
        <f t="shared" si="476"/>
        <v>1835</v>
      </c>
      <c r="BQ69" s="60">
        <v>1835</v>
      </c>
      <c r="BR69" s="61"/>
      <c r="BS69" s="35"/>
      <c r="BT69" s="37">
        <f t="shared" si="477"/>
        <v>1099</v>
      </c>
      <c r="BU69" s="60">
        <v>1099</v>
      </c>
      <c r="BV69" s="61"/>
      <c r="BW69" s="36"/>
      <c r="BX69" s="37">
        <f t="shared" si="478"/>
        <v>1079</v>
      </c>
      <c r="BY69" s="60">
        <v>1079</v>
      </c>
      <c r="BZ69" s="61"/>
      <c r="CA69" s="38"/>
      <c r="CB69" s="33" t="s">
        <v>72</v>
      </c>
      <c r="CC69" s="37">
        <f t="shared" si="479"/>
        <v>0</v>
      </c>
      <c r="CD69" s="60"/>
      <c r="CE69" s="61"/>
      <c r="CF69" s="35"/>
      <c r="CG69" s="37">
        <f t="shared" si="480"/>
        <v>0</v>
      </c>
      <c r="CH69" s="60"/>
      <c r="CI69" s="61"/>
      <c r="CJ69" s="36"/>
      <c r="CK69" s="37">
        <f t="shared" si="481"/>
        <v>0</v>
      </c>
      <c r="CL69" s="60"/>
      <c r="CM69" s="61"/>
      <c r="CN69" s="38"/>
      <c r="CO69" s="33" t="s">
        <v>72</v>
      </c>
      <c r="CP69" s="37">
        <f t="shared" si="482"/>
        <v>1878</v>
      </c>
      <c r="CQ69" s="60">
        <v>1878</v>
      </c>
      <c r="CR69" s="61"/>
      <c r="CS69" s="35"/>
      <c r="CT69" s="37">
        <f t="shared" si="483"/>
        <v>1099</v>
      </c>
      <c r="CU69" s="60">
        <v>1099</v>
      </c>
      <c r="CV69" s="61"/>
      <c r="CW69" s="36"/>
      <c r="CX69" s="37">
        <f t="shared" si="484"/>
        <v>0</v>
      </c>
      <c r="CY69" s="60"/>
      <c r="CZ69" s="61"/>
      <c r="DA69" s="38"/>
      <c r="DB69" s="33" t="s">
        <v>72</v>
      </c>
      <c r="DC69" s="37">
        <f t="shared" si="485"/>
        <v>1878</v>
      </c>
      <c r="DD69" s="60">
        <v>1878</v>
      </c>
      <c r="DE69" s="61"/>
      <c r="DF69" s="35"/>
      <c r="DG69" s="37">
        <f t="shared" si="486"/>
        <v>1099</v>
      </c>
      <c r="DH69" s="60">
        <v>1099</v>
      </c>
      <c r="DI69" s="61"/>
      <c r="DJ69" s="36"/>
      <c r="DK69" s="37">
        <f t="shared" si="487"/>
        <v>0</v>
      </c>
      <c r="DL69" s="60"/>
      <c r="DM69" s="61"/>
      <c r="DN69" s="38"/>
      <c r="DO69" s="33" t="s">
        <v>72</v>
      </c>
      <c r="DP69" s="37">
        <f t="shared" si="488"/>
        <v>1878</v>
      </c>
      <c r="DQ69" s="60">
        <v>1878</v>
      </c>
      <c r="DR69" s="61"/>
      <c r="DS69" s="35"/>
      <c r="DT69" s="37">
        <f t="shared" si="489"/>
        <v>999</v>
      </c>
      <c r="DU69" s="60">
        <v>999</v>
      </c>
      <c r="DV69" s="61"/>
      <c r="DW69" s="36"/>
      <c r="DX69" s="37">
        <f t="shared" si="490"/>
        <v>1079</v>
      </c>
      <c r="DY69" s="60">
        <v>1079</v>
      </c>
      <c r="DZ69" s="61"/>
      <c r="EA69" s="38"/>
      <c r="EB69" s="33" t="s">
        <v>72</v>
      </c>
      <c r="EC69" s="37">
        <f t="shared" si="491"/>
        <v>1878</v>
      </c>
      <c r="ED69" s="60">
        <v>1878</v>
      </c>
      <c r="EE69" s="61"/>
      <c r="EF69" s="35"/>
      <c r="EG69" s="37">
        <f t="shared" si="492"/>
        <v>999</v>
      </c>
      <c r="EH69" s="60">
        <v>999</v>
      </c>
      <c r="EI69" s="61"/>
      <c r="EJ69" s="36"/>
      <c r="EK69" s="37">
        <f t="shared" si="493"/>
        <v>1079</v>
      </c>
      <c r="EL69" s="60">
        <v>1079</v>
      </c>
      <c r="EM69" s="61"/>
      <c r="EN69" s="38"/>
    </row>
    <row r="70" spans="2:144" outlineLevel="1" x14ac:dyDescent="0.3">
      <c r="B70" s="33" t="s">
        <v>73</v>
      </c>
      <c r="C70" s="37">
        <f>D70-E70</f>
        <v>749</v>
      </c>
      <c r="D70" s="60">
        <v>749</v>
      </c>
      <c r="E70" s="61"/>
      <c r="F70" s="35"/>
      <c r="G70" s="37">
        <f t="shared" si="462"/>
        <v>829</v>
      </c>
      <c r="H70" s="60">
        <v>829</v>
      </c>
      <c r="I70" s="61"/>
      <c r="J70" s="36"/>
      <c r="K70" s="37">
        <f t="shared" si="463"/>
        <v>749</v>
      </c>
      <c r="L70" s="60">
        <v>749</v>
      </c>
      <c r="M70" s="61"/>
      <c r="N70" s="38"/>
      <c r="O70" s="33" t="s">
        <v>73</v>
      </c>
      <c r="P70" s="37">
        <f>Q70-R70</f>
        <v>749</v>
      </c>
      <c r="Q70" s="60">
        <v>749</v>
      </c>
      <c r="R70" s="61"/>
      <c r="S70" s="35"/>
      <c r="T70" s="37">
        <f t="shared" si="465"/>
        <v>799</v>
      </c>
      <c r="U70" s="60">
        <v>799</v>
      </c>
      <c r="V70" s="61"/>
      <c r="W70" s="36"/>
      <c r="X70" s="37">
        <f t="shared" si="466"/>
        <v>1031</v>
      </c>
      <c r="Y70" s="60">
        <v>1031</v>
      </c>
      <c r="Z70" s="61"/>
      <c r="AA70" s="38"/>
      <c r="AB70" s="33" t="s">
        <v>73</v>
      </c>
      <c r="AC70" s="37">
        <f>AD70-AE70</f>
        <v>0</v>
      </c>
      <c r="AD70" s="60"/>
      <c r="AE70" s="61"/>
      <c r="AF70" s="35"/>
      <c r="AG70" s="37">
        <f t="shared" si="468"/>
        <v>0</v>
      </c>
      <c r="AH70" s="60"/>
      <c r="AI70" s="61"/>
      <c r="AJ70" s="36"/>
      <c r="AK70" s="37">
        <f t="shared" si="469"/>
        <v>0</v>
      </c>
      <c r="AL70" s="60"/>
      <c r="AM70" s="61"/>
      <c r="AN70" s="38"/>
      <c r="AO70" s="33" t="s">
        <v>73</v>
      </c>
      <c r="AP70" s="37">
        <f>AQ70-AR70</f>
        <v>739</v>
      </c>
      <c r="AQ70" s="60">
        <v>739</v>
      </c>
      <c r="AR70" s="61"/>
      <c r="AS70" s="35"/>
      <c r="AT70" s="37">
        <f t="shared" si="471"/>
        <v>749</v>
      </c>
      <c r="AU70" s="60">
        <v>749</v>
      </c>
      <c r="AV70" s="61"/>
      <c r="AW70" s="36"/>
      <c r="AX70" s="37">
        <f t="shared" si="472"/>
        <v>0</v>
      </c>
      <c r="AY70" s="60"/>
      <c r="AZ70" s="61"/>
      <c r="BA70" s="38"/>
      <c r="BB70" s="33" t="s">
        <v>73</v>
      </c>
      <c r="BC70" s="37">
        <f>BD70-BE70</f>
        <v>927</v>
      </c>
      <c r="BD70" s="60">
        <v>927</v>
      </c>
      <c r="BE70" s="61"/>
      <c r="BF70" s="35"/>
      <c r="BG70" s="37">
        <f t="shared" si="474"/>
        <v>749</v>
      </c>
      <c r="BH70" s="60">
        <v>749</v>
      </c>
      <c r="BI70" s="61"/>
      <c r="BJ70" s="36"/>
      <c r="BK70" s="37">
        <f t="shared" si="475"/>
        <v>0</v>
      </c>
      <c r="BL70" s="60"/>
      <c r="BM70" s="61"/>
      <c r="BN70" s="38"/>
      <c r="BO70" s="33" t="s">
        <v>73</v>
      </c>
      <c r="BP70" s="37">
        <f>BQ70-BR70</f>
        <v>799</v>
      </c>
      <c r="BQ70" s="60">
        <v>799</v>
      </c>
      <c r="BR70" s="61"/>
      <c r="BS70" s="35"/>
      <c r="BT70" s="37">
        <f t="shared" si="477"/>
        <v>749</v>
      </c>
      <c r="BU70" s="60">
        <v>749</v>
      </c>
      <c r="BV70" s="61"/>
      <c r="BW70" s="36"/>
      <c r="BX70" s="37">
        <f t="shared" si="478"/>
        <v>869</v>
      </c>
      <c r="BY70" s="60">
        <v>869</v>
      </c>
      <c r="BZ70" s="61"/>
      <c r="CA70" s="38"/>
      <c r="CB70" s="33" t="s">
        <v>73</v>
      </c>
      <c r="CC70" s="37">
        <f>CD70-CE70</f>
        <v>0</v>
      </c>
      <c r="CD70" s="60"/>
      <c r="CE70" s="61"/>
      <c r="CF70" s="35"/>
      <c r="CG70" s="37">
        <f t="shared" si="480"/>
        <v>0</v>
      </c>
      <c r="CH70" s="60"/>
      <c r="CI70" s="61"/>
      <c r="CJ70" s="36"/>
      <c r="CK70" s="37">
        <f t="shared" si="481"/>
        <v>0</v>
      </c>
      <c r="CL70" s="60"/>
      <c r="CM70" s="61"/>
      <c r="CN70" s="38"/>
      <c r="CO70" s="33" t="s">
        <v>73</v>
      </c>
      <c r="CP70" s="37">
        <f>CQ70-CR70</f>
        <v>854</v>
      </c>
      <c r="CQ70" s="60">
        <v>854</v>
      </c>
      <c r="CR70" s="61"/>
      <c r="CS70" s="35"/>
      <c r="CT70" s="37">
        <f t="shared" si="483"/>
        <v>749</v>
      </c>
      <c r="CU70" s="60">
        <v>749</v>
      </c>
      <c r="CV70" s="61"/>
      <c r="CW70" s="36"/>
      <c r="CX70" s="37">
        <f t="shared" si="484"/>
        <v>0</v>
      </c>
      <c r="CY70" s="60"/>
      <c r="CZ70" s="61"/>
      <c r="DA70" s="38"/>
      <c r="DB70" s="33" t="s">
        <v>73</v>
      </c>
      <c r="DC70" s="37">
        <f>DD70-DE70</f>
        <v>854</v>
      </c>
      <c r="DD70" s="60">
        <v>854</v>
      </c>
      <c r="DE70" s="61"/>
      <c r="DF70" s="35"/>
      <c r="DG70" s="37">
        <f t="shared" si="486"/>
        <v>749</v>
      </c>
      <c r="DH70" s="60">
        <v>749</v>
      </c>
      <c r="DI70" s="61"/>
      <c r="DJ70" s="36"/>
      <c r="DK70" s="37">
        <f t="shared" si="487"/>
        <v>0</v>
      </c>
      <c r="DL70" s="60"/>
      <c r="DM70" s="61"/>
      <c r="DN70" s="38"/>
      <c r="DO70" s="33" t="s">
        <v>73</v>
      </c>
      <c r="DP70" s="37">
        <f>DQ70-DR70</f>
        <v>963</v>
      </c>
      <c r="DQ70" s="60">
        <v>963</v>
      </c>
      <c r="DR70" s="61"/>
      <c r="DS70" s="35"/>
      <c r="DT70" s="37">
        <f t="shared" si="489"/>
        <v>799</v>
      </c>
      <c r="DU70" s="60">
        <v>799</v>
      </c>
      <c r="DV70" s="61"/>
      <c r="DW70" s="36"/>
      <c r="DX70" s="37">
        <f t="shared" si="490"/>
        <v>799</v>
      </c>
      <c r="DY70" s="60">
        <v>799</v>
      </c>
      <c r="DZ70" s="61"/>
      <c r="EA70" s="38"/>
      <c r="EB70" s="33" t="s">
        <v>73</v>
      </c>
      <c r="EC70" s="37">
        <f>ED70-EE70</f>
        <v>963</v>
      </c>
      <c r="ED70" s="60">
        <v>963</v>
      </c>
      <c r="EE70" s="61"/>
      <c r="EF70" s="35"/>
      <c r="EG70" s="37">
        <f t="shared" si="492"/>
        <v>799</v>
      </c>
      <c r="EH70" s="60">
        <v>799</v>
      </c>
      <c r="EI70" s="61"/>
      <c r="EJ70" s="36"/>
      <c r="EK70" s="37">
        <f t="shared" si="493"/>
        <v>799</v>
      </c>
      <c r="EL70" s="60">
        <v>799</v>
      </c>
      <c r="EM70" s="61"/>
      <c r="EN70" s="38"/>
    </row>
    <row r="71" spans="2:144" outlineLevel="1" x14ac:dyDescent="0.3">
      <c r="B71" s="33" t="s">
        <v>74</v>
      </c>
      <c r="C71" s="37">
        <f>D71-E71</f>
        <v>834</v>
      </c>
      <c r="D71" s="60">
        <v>834</v>
      </c>
      <c r="E71" s="61"/>
      <c r="F71" s="35"/>
      <c r="G71" s="37">
        <f t="shared" si="462"/>
        <v>649</v>
      </c>
      <c r="H71" s="60">
        <v>649</v>
      </c>
      <c r="I71" s="61"/>
      <c r="J71" s="36"/>
      <c r="K71" s="37">
        <f t="shared" si="463"/>
        <v>649</v>
      </c>
      <c r="L71" s="60">
        <v>649</v>
      </c>
      <c r="M71" s="61"/>
      <c r="N71" s="38"/>
      <c r="O71" s="33" t="s">
        <v>74</v>
      </c>
      <c r="P71" s="37">
        <f>Q71-R71</f>
        <v>629</v>
      </c>
      <c r="Q71" s="60">
        <v>629</v>
      </c>
      <c r="R71" s="61"/>
      <c r="S71" s="35"/>
      <c r="T71" s="37">
        <f t="shared" si="465"/>
        <v>599</v>
      </c>
      <c r="U71" s="60">
        <v>599</v>
      </c>
      <c r="V71" s="61"/>
      <c r="W71" s="36"/>
      <c r="X71" s="37">
        <f t="shared" si="466"/>
        <v>657</v>
      </c>
      <c r="Y71" s="60">
        <v>657</v>
      </c>
      <c r="Z71" s="61"/>
      <c r="AA71" s="38"/>
      <c r="AB71" s="33" t="s">
        <v>74</v>
      </c>
      <c r="AC71" s="37">
        <f>AD71-AE71</f>
        <v>0</v>
      </c>
      <c r="AD71" s="60"/>
      <c r="AE71" s="61"/>
      <c r="AF71" s="35"/>
      <c r="AG71" s="37">
        <f t="shared" si="468"/>
        <v>0</v>
      </c>
      <c r="AH71" s="60"/>
      <c r="AI71" s="61"/>
      <c r="AJ71" s="36"/>
      <c r="AK71" s="37">
        <f t="shared" si="469"/>
        <v>0</v>
      </c>
      <c r="AL71" s="60"/>
      <c r="AM71" s="61"/>
      <c r="AN71" s="38"/>
      <c r="AO71" s="33" t="s">
        <v>74</v>
      </c>
      <c r="AP71" s="37">
        <f>AQ71-AR71</f>
        <v>639</v>
      </c>
      <c r="AQ71" s="60">
        <v>639</v>
      </c>
      <c r="AR71" s="61"/>
      <c r="AS71" s="35"/>
      <c r="AT71" s="37">
        <f t="shared" si="471"/>
        <v>599</v>
      </c>
      <c r="AU71" s="60">
        <v>599</v>
      </c>
      <c r="AV71" s="61"/>
      <c r="AW71" s="36"/>
      <c r="AX71" s="37">
        <f t="shared" si="472"/>
        <v>0</v>
      </c>
      <c r="AY71" s="60"/>
      <c r="AZ71" s="61"/>
      <c r="BA71" s="38"/>
      <c r="BB71" s="33" t="s">
        <v>74</v>
      </c>
      <c r="BC71" s="37">
        <f>BD71-BE71</f>
        <v>817</v>
      </c>
      <c r="BD71" s="60">
        <v>817</v>
      </c>
      <c r="BE71" s="61"/>
      <c r="BF71" s="35"/>
      <c r="BG71" s="37">
        <f t="shared" si="474"/>
        <v>629</v>
      </c>
      <c r="BH71" s="60">
        <v>629</v>
      </c>
      <c r="BI71" s="61"/>
      <c r="BJ71" s="36"/>
      <c r="BK71" s="37">
        <f t="shared" si="475"/>
        <v>0</v>
      </c>
      <c r="BL71" s="60"/>
      <c r="BM71" s="61"/>
      <c r="BN71" s="38"/>
      <c r="BO71" s="33" t="s">
        <v>74</v>
      </c>
      <c r="BP71" s="37">
        <f>BQ71-BR71</f>
        <v>649</v>
      </c>
      <c r="BQ71" s="60">
        <v>649</v>
      </c>
      <c r="BR71" s="61"/>
      <c r="BS71" s="35"/>
      <c r="BT71" s="37">
        <f t="shared" si="477"/>
        <v>629</v>
      </c>
      <c r="BU71" s="60">
        <v>629</v>
      </c>
      <c r="BV71" s="61"/>
      <c r="BW71" s="36"/>
      <c r="BX71" s="37">
        <f t="shared" si="478"/>
        <v>649</v>
      </c>
      <c r="BY71" s="60">
        <v>649</v>
      </c>
      <c r="BZ71" s="61"/>
      <c r="CA71" s="38"/>
      <c r="CB71" s="33" t="s">
        <v>74</v>
      </c>
      <c r="CC71" s="37">
        <f>CD71-CE71</f>
        <v>0</v>
      </c>
      <c r="CD71" s="60"/>
      <c r="CE71" s="61"/>
      <c r="CF71" s="35"/>
      <c r="CG71" s="37">
        <f t="shared" si="480"/>
        <v>0</v>
      </c>
      <c r="CH71" s="60"/>
      <c r="CI71" s="61"/>
      <c r="CJ71" s="36"/>
      <c r="CK71" s="37">
        <f t="shared" si="481"/>
        <v>0</v>
      </c>
      <c r="CL71" s="60"/>
      <c r="CM71" s="61"/>
      <c r="CN71" s="38"/>
      <c r="CO71" s="33" t="s">
        <v>74</v>
      </c>
      <c r="CP71" s="37">
        <f>CQ71-CR71</f>
        <v>729</v>
      </c>
      <c r="CQ71" s="60">
        <v>729</v>
      </c>
      <c r="CR71" s="61"/>
      <c r="CS71" s="35"/>
      <c r="CT71" s="37">
        <f t="shared" si="483"/>
        <v>629</v>
      </c>
      <c r="CU71" s="60">
        <v>629</v>
      </c>
      <c r="CV71" s="61"/>
      <c r="CW71" s="36"/>
      <c r="CX71" s="37">
        <f t="shared" si="484"/>
        <v>0</v>
      </c>
      <c r="CY71" s="60"/>
      <c r="CZ71" s="61"/>
      <c r="DA71" s="38"/>
      <c r="DB71" s="33" t="s">
        <v>74</v>
      </c>
      <c r="DC71" s="37">
        <f>DD71-DE71</f>
        <v>686</v>
      </c>
      <c r="DD71" s="60">
        <v>686</v>
      </c>
      <c r="DE71" s="61"/>
      <c r="DF71" s="35"/>
      <c r="DG71" s="37">
        <f t="shared" si="486"/>
        <v>629</v>
      </c>
      <c r="DH71" s="60">
        <v>629</v>
      </c>
      <c r="DI71" s="61"/>
      <c r="DJ71" s="36"/>
      <c r="DK71" s="37">
        <f t="shared" si="487"/>
        <v>0</v>
      </c>
      <c r="DL71" s="60"/>
      <c r="DM71" s="61"/>
      <c r="DN71" s="38"/>
      <c r="DO71" s="33" t="s">
        <v>74</v>
      </c>
      <c r="DP71" s="37">
        <f>DQ71-DR71</f>
        <v>729</v>
      </c>
      <c r="DQ71" s="60">
        <v>729</v>
      </c>
      <c r="DR71" s="61"/>
      <c r="DS71" s="35"/>
      <c r="DT71" s="37">
        <f t="shared" si="489"/>
        <v>599</v>
      </c>
      <c r="DU71" s="60">
        <v>599</v>
      </c>
      <c r="DV71" s="61"/>
      <c r="DW71" s="36"/>
      <c r="DX71" s="37">
        <f t="shared" si="490"/>
        <v>649</v>
      </c>
      <c r="DY71" s="60">
        <v>649</v>
      </c>
      <c r="DZ71" s="61"/>
      <c r="EA71" s="38"/>
      <c r="EB71" s="33" t="s">
        <v>74</v>
      </c>
      <c r="EC71" s="37">
        <f>ED71-EE71</f>
        <v>729</v>
      </c>
      <c r="ED71" s="60">
        <v>729</v>
      </c>
      <c r="EE71" s="61"/>
      <c r="EF71" s="35"/>
      <c r="EG71" s="37">
        <f t="shared" si="492"/>
        <v>599</v>
      </c>
      <c r="EH71" s="60">
        <v>599</v>
      </c>
      <c r="EI71" s="61"/>
      <c r="EJ71" s="36"/>
      <c r="EK71" s="37">
        <f t="shared" si="493"/>
        <v>649</v>
      </c>
      <c r="EL71" s="60">
        <v>649</v>
      </c>
      <c r="EM71" s="61"/>
      <c r="EN71" s="38"/>
    </row>
    <row r="72" spans="2:144" outlineLevel="1" x14ac:dyDescent="0.3">
      <c r="B72" s="33"/>
      <c r="C72" s="37"/>
      <c r="D72" s="60"/>
      <c r="E72" s="61"/>
      <c r="F72" s="36"/>
      <c r="G72" s="37"/>
      <c r="H72" s="60"/>
      <c r="I72" s="61"/>
      <c r="J72" s="36"/>
      <c r="K72" s="37"/>
      <c r="L72" s="60"/>
      <c r="M72" s="61"/>
      <c r="N72" s="39"/>
      <c r="O72" s="33"/>
      <c r="P72" s="37"/>
      <c r="Q72" s="60"/>
      <c r="R72" s="61"/>
      <c r="S72" s="36"/>
      <c r="T72" s="37"/>
      <c r="U72" s="60"/>
      <c r="V72" s="61"/>
      <c r="W72" s="36"/>
      <c r="X72" s="37"/>
      <c r="Y72" s="60"/>
      <c r="Z72" s="61"/>
      <c r="AA72" s="39"/>
      <c r="AB72" s="33"/>
      <c r="AC72" s="37"/>
      <c r="AD72" s="60"/>
      <c r="AE72" s="61"/>
      <c r="AF72" s="36"/>
      <c r="AG72" s="37"/>
      <c r="AH72" s="60"/>
      <c r="AI72" s="61"/>
      <c r="AJ72" s="36"/>
      <c r="AK72" s="37"/>
      <c r="AL72" s="60"/>
      <c r="AM72" s="61"/>
      <c r="AN72" s="39"/>
      <c r="AO72" s="33"/>
      <c r="AP72" s="37"/>
      <c r="AQ72" s="60"/>
      <c r="AR72" s="61"/>
      <c r="AS72" s="36"/>
      <c r="AT72" s="37"/>
      <c r="AU72" s="60"/>
      <c r="AV72" s="61"/>
      <c r="AW72" s="36"/>
      <c r="AX72" s="37"/>
      <c r="AY72" s="60"/>
      <c r="AZ72" s="61"/>
      <c r="BA72" s="39"/>
      <c r="BB72" s="33"/>
      <c r="BC72" s="37"/>
      <c r="BD72" s="60"/>
      <c r="BE72" s="61"/>
      <c r="BF72" s="36"/>
      <c r="BG72" s="37"/>
      <c r="BH72" s="60"/>
      <c r="BI72" s="61"/>
      <c r="BJ72" s="36"/>
      <c r="BK72" s="37"/>
      <c r="BL72" s="60"/>
      <c r="BM72" s="61"/>
      <c r="BN72" s="39"/>
      <c r="BO72" s="33"/>
      <c r="BP72" s="37"/>
      <c r="BQ72" s="60"/>
      <c r="BR72" s="61"/>
      <c r="BS72" s="36"/>
      <c r="BT72" s="37"/>
      <c r="BU72" s="60"/>
      <c r="BV72" s="61"/>
      <c r="BW72" s="36"/>
      <c r="BX72" s="37"/>
      <c r="BY72" s="60"/>
      <c r="BZ72" s="61"/>
      <c r="CA72" s="39"/>
      <c r="CB72" s="33"/>
      <c r="CC72" s="37"/>
      <c r="CD72" s="60"/>
      <c r="CE72" s="61"/>
      <c r="CF72" s="36"/>
      <c r="CG72" s="37"/>
      <c r="CH72" s="60"/>
      <c r="CI72" s="61"/>
      <c r="CJ72" s="36"/>
      <c r="CK72" s="37"/>
      <c r="CL72" s="60"/>
      <c r="CM72" s="61"/>
      <c r="CN72" s="39"/>
      <c r="CO72" s="33"/>
      <c r="CP72" s="37"/>
      <c r="CQ72" s="60"/>
      <c r="CR72" s="61"/>
      <c r="CS72" s="36"/>
      <c r="CT72" s="37"/>
      <c r="CU72" s="60"/>
      <c r="CV72" s="61"/>
      <c r="CW72" s="36"/>
      <c r="CX72" s="37"/>
      <c r="CY72" s="60"/>
      <c r="CZ72" s="61"/>
      <c r="DA72" s="39"/>
      <c r="DB72" s="33"/>
      <c r="DC72" s="37"/>
      <c r="DD72" s="60"/>
      <c r="DE72" s="61"/>
      <c r="DF72" s="36"/>
      <c r="DG72" s="37"/>
      <c r="DH72" s="60"/>
      <c r="DI72" s="61"/>
      <c r="DJ72" s="36"/>
      <c r="DK72" s="37"/>
      <c r="DL72" s="60"/>
      <c r="DM72" s="61"/>
      <c r="DN72" s="39"/>
      <c r="DO72" s="33"/>
      <c r="DP72" s="37"/>
      <c r="DQ72" s="60"/>
      <c r="DR72" s="61"/>
      <c r="DS72" s="36"/>
      <c r="DT72" s="37"/>
      <c r="DU72" s="60"/>
      <c r="DV72" s="61"/>
      <c r="DW72" s="36"/>
      <c r="DX72" s="37"/>
      <c r="DY72" s="60"/>
      <c r="DZ72" s="61"/>
      <c r="EA72" s="39"/>
      <c r="EB72" s="33"/>
      <c r="EC72" s="37"/>
      <c r="ED72" s="60"/>
      <c r="EE72" s="61"/>
      <c r="EF72" s="36"/>
      <c r="EG72" s="37"/>
      <c r="EH72" s="60"/>
      <c r="EI72" s="61"/>
      <c r="EJ72" s="36"/>
      <c r="EK72" s="37"/>
      <c r="EL72" s="60"/>
      <c r="EM72" s="61"/>
      <c r="EN72" s="39"/>
    </row>
    <row r="73" spans="2:144" outlineLevel="1" x14ac:dyDescent="0.3">
      <c r="B73" s="27" t="s">
        <v>22</v>
      </c>
      <c r="C73" s="6">
        <f t="shared" ref="C73:C85" si="494">D73-E73</f>
        <v>0</v>
      </c>
      <c r="D73" s="54"/>
      <c r="E73" s="55"/>
      <c r="F73" s="19" t="str">
        <f t="shared" ref="F73:F78" si="495">IFERROR(C73/C80*100,"")</f>
        <v/>
      </c>
      <c r="G73" s="6">
        <f t="shared" ref="G73:G85" si="496">H73-I73</f>
        <v>999</v>
      </c>
      <c r="H73" s="54">
        <v>999</v>
      </c>
      <c r="I73" s="55"/>
      <c r="J73" s="19">
        <f t="shared" ref="J73:J78" si="497">IFERROR(G73/G80*100,"")</f>
        <v>80.629539951573847</v>
      </c>
      <c r="K73" s="11">
        <f t="shared" ref="K73:K85" si="498">L73-M73</f>
        <v>1045</v>
      </c>
      <c r="L73" s="73">
        <v>1045</v>
      </c>
      <c r="M73" s="74"/>
      <c r="N73" s="22">
        <f t="shared" ref="N73:N78" si="499">IFERROR(K73/K80*100,"")</f>
        <v>99.618684461391808</v>
      </c>
      <c r="O73" s="27" t="s">
        <v>22</v>
      </c>
      <c r="P73" s="6">
        <f t="shared" ref="P73:P85" si="500">Q73-R73</f>
        <v>0</v>
      </c>
      <c r="Q73" s="54"/>
      <c r="R73" s="55"/>
      <c r="S73" s="19">
        <f t="shared" ref="S73:S78" si="501">IFERROR(P73/P80*100,"")</f>
        <v>0</v>
      </c>
      <c r="T73" s="6">
        <f t="shared" ref="T73:T85" si="502">U73-V73</f>
        <v>999</v>
      </c>
      <c r="U73" s="54">
        <v>999</v>
      </c>
      <c r="V73" s="55"/>
      <c r="W73" s="19" t="str">
        <f t="shared" ref="W73:W78" si="503">IFERROR(T73/T80*100,"")</f>
        <v/>
      </c>
      <c r="X73" s="11">
        <f t="shared" ref="X73:X85" si="504">Y73-Z73</f>
        <v>1087</v>
      </c>
      <c r="Y73" s="73">
        <v>1087</v>
      </c>
      <c r="Z73" s="74"/>
      <c r="AA73" s="22">
        <f t="shared" ref="AA73:AA78" si="505">IFERROR(X73/X80*100,"")</f>
        <v>92.431972789115648</v>
      </c>
      <c r="AB73" s="27" t="s">
        <v>22</v>
      </c>
      <c r="AC73" s="6">
        <f t="shared" ref="AC73:AC85" si="506">AD73-AE73</f>
        <v>0</v>
      </c>
      <c r="AD73" s="54"/>
      <c r="AE73" s="55"/>
      <c r="AF73" s="19" t="str">
        <f t="shared" ref="AF73:AF78" si="507">IFERROR(AC73/AC80*100,"")</f>
        <v/>
      </c>
      <c r="AG73" s="6">
        <f t="shared" ref="AG73:AG85" si="508">AH73-AI73</f>
        <v>0</v>
      </c>
      <c r="AH73" s="54"/>
      <c r="AI73" s="55"/>
      <c r="AJ73" s="19" t="str">
        <f t="shared" ref="AJ73:AJ78" si="509">IFERROR(AG73/AG80*100,"")</f>
        <v/>
      </c>
      <c r="AK73" s="11">
        <f t="shared" ref="AK73:AK85" si="510">AL73-AM73</f>
        <v>0</v>
      </c>
      <c r="AL73" s="73"/>
      <c r="AM73" s="74"/>
      <c r="AN73" s="22" t="str">
        <f t="shared" ref="AN73:AN78" si="511">IFERROR(AK73/AK80*100,"")</f>
        <v/>
      </c>
      <c r="AO73" s="27" t="s">
        <v>22</v>
      </c>
      <c r="AP73" s="6">
        <f t="shared" ref="AP73:AP85" si="512">AQ73-AR73</f>
        <v>0</v>
      </c>
      <c r="AQ73" s="54"/>
      <c r="AR73" s="55"/>
      <c r="AS73" s="19">
        <f t="shared" ref="AS73:AS78" si="513">IFERROR(AP73/AP80*100,"")</f>
        <v>0</v>
      </c>
      <c r="AT73" s="6">
        <f t="shared" ref="AT73:AT85" si="514">AU73-AV73</f>
        <v>0</v>
      </c>
      <c r="AU73" s="54"/>
      <c r="AV73" s="55"/>
      <c r="AW73" s="19" t="str">
        <f t="shared" ref="AW73:AW78" si="515">IFERROR(AT73/AT80*100,"")</f>
        <v/>
      </c>
      <c r="AX73" s="11">
        <f t="shared" ref="AX73:AX85" si="516">AY73-AZ73</f>
        <v>0</v>
      </c>
      <c r="AY73" s="73"/>
      <c r="AZ73" s="74"/>
      <c r="BA73" s="22" t="str">
        <f t="shared" ref="BA73:BA78" si="517">IFERROR(AX73/AX80*100,"")</f>
        <v/>
      </c>
      <c r="BB73" s="27" t="s">
        <v>22</v>
      </c>
      <c r="BC73" s="6">
        <f t="shared" ref="BC73:BC85" si="518">BD73-BE73</f>
        <v>0</v>
      </c>
      <c r="BD73" s="54"/>
      <c r="BE73" s="55"/>
      <c r="BF73" s="19">
        <f t="shared" ref="BF73:BF78" si="519">IFERROR(BC73/BC80*100,"")</f>
        <v>0</v>
      </c>
      <c r="BG73" s="6">
        <f t="shared" ref="BG73:BG85" si="520">BH73-BI73</f>
        <v>999</v>
      </c>
      <c r="BH73" s="54">
        <v>999</v>
      </c>
      <c r="BI73" s="55"/>
      <c r="BJ73" s="19">
        <f t="shared" ref="BJ73:BJ78" si="521">IFERROR(BG73/BG80*100,"")</f>
        <v>90.900818926296637</v>
      </c>
      <c r="BK73" s="11">
        <f t="shared" ref="BK73:BK85" si="522">BL73-BM73</f>
        <v>0</v>
      </c>
      <c r="BL73" s="73"/>
      <c r="BM73" s="74"/>
      <c r="BN73" s="22" t="str">
        <f t="shared" ref="BN73:BN78" si="523">IFERROR(BK73/BK80*100,"")</f>
        <v/>
      </c>
      <c r="BO73" s="27" t="s">
        <v>22</v>
      </c>
      <c r="BP73" s="6">
        <f t="shared" ref="BP73:BP85" si="524">BQ73-BR73</f>
        <v>0</v>
      </c>
      <c r="BQ73" s="54"/>
      <c r="BR73" s="55"/>
      <c r="BS73" s="19">
        <f t="shared" ref="BS73:BS78" si="525">IFERROR(BP73/BP80*100,"")</f>
        <v>0</v>
      </c>
      <c r="BT73" s="6">
        <f t="shared" ref="BT73:BT85" si="526">BU73-BV73</f>
        <v>0</v>
      </c>
      <c r="BU73" s="54"/>
      <c r="BV73" s="55"/>
      <c r="BW73" s="19" t="str">
        <f t="shared" ref="BW73:BW78" si="527">IFERROR(BT73/BT80*100,"")</f>
        <v/>
      </c>
      <c r="BX73" s="11">
        <f t="shared" ref="BX73:BX85" si="528">BY73-BZ73</f>
        <v>999</v>
      </c>
      <c r="BY73" s="73">
        <v>999</v>
      </c>
      <c r="BZ73" s="74"/>
      <c r="CA73" s="22" t="str">
        <f t="shared" ref="CA73:CA78" si="529">IFERROR(BX73/BX80*100,"")</f>
        <v/>
      </c>
      <c r="CB73" s="27" t="s">
        <v>22</v>
      </c>
      <c r="CC73" s="6">
        <f t="shared" ref="CC73:CC85" si="530">CD73-CE73</f>
        <v>0</v>
      </c>
      <c r="CD73" s="54"/>
      <c r="CE73" s="55"/>
      <c r="CF73" s="19" t="str">
        <f t="shared" ref="CF73:CF78" si="531">IFERROR(CC73/CC80*100,"")</f>
        <v/>
      </c>
      <c r="CG73" s="6">
        <f t="shared" ref="CG73:CG85" si="532">CH73-CI73</f>
        <v>0</v>
      </c>
      <c r="CH73" s="54"/>
      <c r="CI73" s="55"/>
      <c r="CJ73" s="19" t="str">
        <f t="shared" ref="CJ73:CJ78" si="533">IFERROR(CG73/CG80*100,"")</f>
        <v/>
      </c>
      <c r="CK73" s="11">
        <f t="shared" ref="CK73:CK85" si="534">CL73-CM73</f>
        <v>0</v>
      </c>
      <c r="CL73" s="73"/>
      <c r="CM73" s="74"/>
      <c r="CN73" s="22" t="str">
        <f t="shared" ref="CN73:CN78" si="535">IFERROR(CK73/CK80*100,"")</f>
        <v/>
      </c>
      <c r="CO73" s="27" t="s">
        <v>22</v>
      </c>
      <c r="CP73" s="6">
        <f t="shared" ref="CP73:CP85" si="536">CQ73-CR73</f>
        <v>1377</v>
      </c>
      <c r="CQ73" s="54">
        <v>1377</v>
      </c>
      <c r="CR73" s="55"/>
      <c r="CS73" s="19">
        <f t="shared" ref="CS73:CS78" si="537">IFERROR(CP73/CP80*100,"")</f>
        <v>110.86956521739131</v>
      </c>
      <c r="CT73" s="6">
        <f t="shared" ref="CT73:CT85" si="538">CU73-CV73</f>
        <v>999</v>
      </c>
      <c r="CU73" s="54">
        <v>999</v>
      </c>
      <c r="CV73" s="55"/>
      <c r="CW73" s="19">
        <f t="shared" ref="CW73:CW78" si="539">IFERROR(CT73/CT80*100,"")</f>
        <v>90.900818926296637</v>
      </c>
      <c r="CX73" s="11">
        <f t="shared" ref="CX73:CX85" si="540">CY73-CZ73</f>
        <v>0</v>
      </c>
      <c r="CY73" s="73"/>
      <c r="CZ73" s="74"/>
      <c r="DA73" s="22" t="str">
        <f t="shared" ref="DA73:DA78" si="541">IFERROR(CX73/CX80*100,"")</f>
        <v/>
      </c>
      <c r="DB73" s="27" t="s">
        <v>22</v>
      </c>
      <c r="DC73" s="6">
        <f t="shared" ref="DC73:DC85" si="542">DD73-DE73</f>
        <v>0</v>
      </c>
      <c r="DD73" s="54"/>
      <c r="DE73" s="55"/>
      <c r="DF73" s="19">
        <f t="shared" ref="DF73:DF78" si="543">IFERROR(DC73/DC80*100,"")</f>
        <v>0</v>
      </c>
      <c r="DG73" s="6">
        <f t="shared" ref="DG73:DG85" si="544">DH73-DI73</f>
        <v>999</v>
      </c>
      <c r="DH73" s="54">
        <v>999</v>
      </c>
      <c r="DI73" s="55"/>
      <c r="DJ73" s="19">
        <f t="shared" ref="DJ73:DJ78" si="545">IFERROR(DG73/DG80*100,"")</f>
        <v>90.900818926296637</v>
      </c>
      <c r="DK73" s="11">
        <f t="shared" ref="DK73:DK85" si="546">DL73-DM73</f>
        <v>799</v>
      </c>
      <c r="DL73" s="73">
        <v>799</v>
      </c>
      <c r="DM73" s="74"/>
      <c r="DN73" s="22">
        <f t="shared" ref="DN73:DN78" si="547">IFERROR(DK73/DK80*100,"")</f>
        <v>76.167778836987608</v>
      </c>
      <c r="DO73" s="27" t="s">
        <v>22</v>
      </c>
      <c r="DP73" s="6">
        <f t="shared" ref="DP73:DP85" si="548">DQ73-DR73</f>
        <v>0</v>
      </c>
      <c r="DQ73" s="54"/>
      <c r="DR73" s="55"/>
      <c r="DS73" s="19">
        <f t="shared" ref="DS73:DS78" si="549">IFERROR(DP73/DP80*100,"")</f>
        <v>0</v>
      </c>
      <c r="DT73" s="6">
        <f t="shared" ref="DT73:DT85" si="550">DU73-DV73</f>
        <v>999</v>
      </c>
      <c r="DU73" s="54">
        <v>999</v>
      </c>
      <c r="DV73" s="55"/>
      <c r="DW73" s="19">
        <f t="shared" ref="DW73:DW78" si="551">IFERROR(DT73/DT80*100,"")</f>
        <v>90.900818926296637</v>
      </c>
      <c r="DX73" s="11">
        <f t="shared" ref="DX73:DX85" si="552">DY73-DZ73</f>
        <v>799</v>
      </c>
      <c r="DY73" s="73">
        <v>799</v>
      </c>
      <c r="DZ73" s="74"/>
      <c r="EA73" s="22">
        <f t="shared" ref="EA73:EA78" si="553">IFERROR(DX73/DX80*100,"")</f>
        <v>88.876529477196883</v>
      </c>
      <c r="EB73" s="27" t="s">
        <v>22</v>
      </c>
      <c r="EC73" s="6">
        <f t="shared" ref="EC73:EC85" si="554">ED73-EE73</f>
        <v>0</v>
      </c>
      <c r="ED73" s="54"/>
      <c r="EE73" s="55"/>
      <c r="EF73" s="19">
        <f t="shared" ref="EF73:EF78" si="555">IFERROR(EC73/EC80*100,"")</f>
        <v>0</v>
      </c>
      <c r="EG73" s="6">
        <f t="shared" ref="EG73:EG85" si="556">EH73-EI73</f>
        <v>999</v>
      </c>
      <c r="EH73" s="54">
        <v>999</v>
      </c>
      <c r="EI73" s="55"/>
      <c r="EJ73" s="19">
        <f t="shared" ref="EJ73:EJ78" si="557">IFERROR(EG73/EG80*100,"")</f>
        <v>90.900818926296637</v>
      </c>
      <c r="EK73" s="11">
        <f t="shared" ref="EK73:EK85" si="558">EL73-EM73</f>
        <v>799</v>
      </c>
      <c r="EL73" s="73">
        <v>799</v>
      </c>
      <c r="EM73" s="74"/>
      <c r="EN73" s="22">
        <f t="shared" ref="EN73:EN78" si="559">IFERROR(EK73/EK80*100,"")</f>
        <v>88.876529477196883</v>
      </c>
    </row>
    <row r="74" spans="2:144" outlineLevel="1" x14ac:dyDescent="0.3">
      <c r="B74" s="28" t="s">
        <v>21</v>
      </c>
      <c r="C74" s="7">
        <f t="shared" si="494"/>
        <v>0</v>
      </c>
      <c r="D74" s="56"/>
      <c r="E74" s="57"/>
      <c r="F74" s="20">
        <f t="shared" si="495"/>
        <v>0</v>
      </c>
      <c r="G74" s="7">
        <f t="shared" si="496"/>
        <v>0</v>
      </c>
      <c r="H74" s="56"/>
      <c r="I74" s="57"/>
      <c r="J74" s="20">
        <f t="shared" si="497"/>
        <v>0</v>
      </c>
      <c r="K74" s="10">
        <f t="shared" si="498"/>
        <v>647</v>
      </c>
      <c r="L74" s="75">
        <v>647</v>
      </c>
      <c r="M74" s="76"/>
      <c r="N74" s="23">
        <f t="shared" si="499"/>
        <v>80.472636815920396</v>
      </c>
      <c r="O74" s="28" t="s">
        <v>21</v>
      </c>
      <c r="P74" s="7">
        <f t="shared" si="500"/>
        <v>0</v>
      </c>
      <c r="Q74" s="56"/>
      <c r="R74" s="57"/>
      <c r="S74" s="20">
        <f t="shared" si="501"/>
        <v>0</v>
      </c>
      <c r="T74" s="7">
        <f t="shared" si="502"/>
        <v>0</v>
      </c>
      <c r="U74" s="56"/>
      <c r="V74" s="57"/>
      <c r="W74" s="20">
        <f t="shared" si="503"/>
        <v>0</v>
      </c>
      <c r="X74" s="10">
        <f t="shared" si="504"/>
        <v>699</v>
      </c>
      <c r="Y74" s="75">
        <v>699</v>
      </c>
      <c r="Z74" s="76"/>
      <c r="AA74" s="23">
        <f t="shared" si="505"/>
        <v>90.661478599221795</v>
      </c>
      <c r="AB74" s="28" t="s">
        <v>21</v>
      </c>
      <c r="AC74" s="7">
        <f t="shared" si="506"/>
        <v>0</v>
      </c>
      <c r="AD74" s="56"/>
      <c r="AE74" s="57"/>
      <c r="AF74" s="20" t="str">
        <f t="shared" si="507"/>
        <v/>
      </c>
      <c r="AG74" s="7">
        <f t="shared" si="508"/>
        <v>0</v>
      </c>
      <c r="AH74" s="56"/>
      <c r="AI74" s="57"/>
      <c r="AJ74" s="20" t="str">
        <f t="shared" si="509"/>
        <v/>
      </c>
      <c r="AK74" s="10">
        <f t="shared" si="510"/>
        <v>0</v>
      </c>
      <c r="AL74" s="75"/>
      <c r="AM74" s="76"/>
      <c r="AN74" s="23" t="str">
        <f t="shared" si="511"/>
        <v/>
      </c>
      <c r="AO74" s="28" t="s">
        <v>21</v>
      </c>
      <c r="AP74" s="7">
        <f t="shared" si="512"/>
        <v>0</v>
      </c>
      <c r="AQ74" s="56"/>
      <c r="AR74" s="57"/>
      <c r="AS74" s="20">
        <f t="shared" si="513"/>
        <v>0</v>
      </c>
      <c r="AT74" s="7">
        <f t="shared" si="514"/>
        <v>0</v>
      </c>
      <c r="AU74" s="56"/>
      <c r="AV74" s="57"/>
      <c r="AW74" s="20" t="str">
        <f t="shared" si="515"/>
        <v/>
      </c>
      <c r="AX74" s="10">
        <f t="shared" si="516"/>
        <v>0</v>
      </c>
      <c r="AY74" s="75"/>
      <c r="AZ74" s="76"/>
      <c r="BA74" s="23" t="str">
        <f t="shared" si="517"/>
        <v/>
      </c>
      <c r="BB74" s="28" t="s">
        <v>21</v>
      </c>
      <c r="BC74" s="7">
        <f t="shared" si="518"/>
        <v>0</v>
      </c>
      <c r="BD74" s="56"/>
      <c r="BE74" s="57"/>
      <c r="BF74" s="20">
        <f t="shared" si="519"/>
        <v>0</v>
      </c>
      <c r="BG74" s="7">
        <f t="shared" si="520"/>
        <v>0</v>
      </c>
      <c r="BH74" s="56"/>
      <c r="BI74" s="57"/>
      <c r="BJ74" s="20">
        <f t="shared" si="521"/>
        <v>0</v>
      </c>
      <c r="BK74" s="10">
        <f t="shared" si="522"/>
        <v>0</v>
      </c>
      <c r="BL74" s="75"/>
      <c r="BM74" s="76"/>
      <c r="BN74" s="23" t="str">
        <f t="shared" si="523"/>
        <v/>
      </c>
      <c r="BO74" s="28" t="s">
        <v>21</v>
      </c>
      <c r="BP74" s="7">
        <f t="shared" si="524"/>
        <v>0</v>
      </c>
      <c r="BQ74" s="56"/>
      <c r="BR74" s="57"/>
      <c r="BS74" s="20">
        <f t="shared" si="525"/>
        <v>0</v>
      </c>
      <c r="BT74" s="7">
        <f t="shared" si="526"/>
        <v>0</v>
      </c>
      <c r="BU74" s="56"/>
      <c r="BV74" s="57"/>
      <c r="BW74" s="20" t="str">
        <f t="shared" si="527"/>
        <v/>
      </c>
      <c r="BX74" s="10">
        <f t="shared" si="528"/>
        <v>567</v>
      </c>
      <c r="BY74" s="75">
        <v>567</v>
      </c>
      <c r="BZ74" s="76"/>
      <c r="CA74" s="23">
        <f t="shared" si="529"/>
        <v>81.115879828326172</v>
      </c>
      <c r="CB74" s="28" t="s">
        <v>21</v>
      </c>
      <c r="CC74" s="7">
        <f t="shared" si="530"/>
        <v>0</v>
      </c>
      <c r="CD74" s="56"/>
      <c r="CE74" s="57"/>
      <c r="CF74" s="20" t="str">
        <f t="shared" si="531"/>
        <v/>
      </c>
      <c r="CG74" s="7">
        <f t="shared" si="532"/>
        <v>0</v>
      </c>
      <c r="CH74" s="56"/>
      <c r="CI74" s="57"/>
      <c r="CJ74" s="20" t="str">
        <f t="shared" si="533"/>
        <v/>
      </c>
      <c r="CK74" s="10">
        <f t="shared" si="534"/>
        <v>0</v>
      </c>
      <c r="CL74" s="75"/>
      <c r="CM74" s="76"/>
      <c r="CN74" s="23" t="str">
        <f t="shared" si="535"/>
        <v/>
      </c>
      <c r="CO74" s="28" t="s">
        <v>21</v>
      </c>
      <c r="CP74" s="7">
        <f t="shared" si="536"/>
        <v>737</v>
      </c>
      <c r="CQ74" s="56">
        <v>737</v>
      </c>
      <c r="CR74" s="57"/>
      <c r="CS74" s="20">
        <f t="shared" si="537"/>
        <v>105.43633762517884</v>
      </c>
      <c r="CT74" s="7">
        <f t="shared" si="538"/>
        <v>0</v>
      </c>
      <c r="CU74" s="56"/>
      <c r="CV74" s="57"/>
      <c r="CW74" s="20">
        <f t="shared" si="539"/>
        <v>0</v>
      </c>
      <c r="CX74" s="10">
        <f t="shared" si="540"/>
        <v>0</v>
      </c>
      <c r="CY74" s="75"/>
      <c r="CZ74" s="76"/>
      <c r="DA74" s="23" t="str">
        <f t="shared" si="541"/>
        <v/>
      </c>
      <c r="DB74" s="28" t="s">
        <v>21</v>
      </c>
      <c r="DC74" s="7">
        <f t="shared" si="542"/>
        <v>0</v>
      </c>
      <c r="DD74" s="56"/>
      <c r="DE74" s="57"/>
      <c r="DF74" s="20">
        <f t="shared" si="543"/>
        <v>0</v>
      </c>
      <c r="DG74" s="7">
        <f t="shared" si="544"/>
        <v>0</v>
      </c>
      <c r="DH74" s="56"/>
      <c r="DI74" s="57"/>
      <c r="DJ74" s="20">
        <f t="shared" si="545"/>
        <v>0</v>
      </c>
      <c r="DK74" s="10">
        <f t="shared" si="546"/>
        <v>652</v>
      </c>
      <c r="DL74" s="75">
        <v>652</v>
      </c>
      <c r="DM74" s="76"/>
      <c r="DN74" s="23">
        <f t="shared" si="547"/>
        <v>97.458893871449931</v>
      </c>
      <c r="DO74" s="28" t="s">
        <v>21</v>
      </c>
      <c r="DP74" s="7">
        <f t="shared" si="548"/>
        <v>0</v>
      </c>
      <c r="DQ74" s="56"/>
      <c r="DR74" s="57"/>
      <c r="DS74" s="20">
        <f t="shared" si="549"/>
        <v>0</v>
      </c>
      <c r="DT74" s="7">
        <f t="shared" si="550"/>
        <v>0</v>
      </c>
      <c r="DU74" s="56"/>
      <c r="DV74" s="57"/>
      <c r="DW74" s="20">
        <f t="shared" si="551"/>
        <v>0</v>
      </c>
      <c r="DX74" s="10">
        <f t="shared" si="552"/>
        <v>653</v>
      </c>
      <c r="DY74" s="75">
        <v>653</v>
      </c>
      <c r="DZ74" s="76"/>
      <c r="EA74" s="23">
        <f t="shared" si="553"/>
        <v>97.608370702541109</v>
      </c>
      <c r="EB74" s="28" t="s">
        <v>21</v>
      </c>
      <c r="EC74" s="7">
        <f t="shared" si="554"/>
        <v>0</v>
      </c>
      <c r="ED74" s="56"/>
      <c r="EE74" s="57"/>
      <c r="EF74" s="20">
        <f t="shared" si="555"/>
        <v>0</v>
      </c>
      <c r="EG74" s="7">
        <f t="shared" si="556"/>
        <v>0</v>
      </c>
      <c r="EH74" s="56"/>
      <c r="EI74" s="57"/>
      <c r="EJ74" s="20">
        <f t="shared" si="557"/>
        <v>0</v>
      </c>
      <c r="EK74" s="10">
        <f t="shared" si="558"/>
        <v>653</v>
      </c>
      <c r="EL74" s="75">
        <v>653</v>
      </c>
      <c r="EM74" s="76"/>
      <c r="EN74" s="23">
        <f t="shared" si="559"/>
        <v>97.608370702541109</v>
      </c>
    </row>
    <row r="75" spans="2:144" outlineLevel="1" x14ac:dyDescent="0.3">
      <c r="B75" s="28" t="s">
        <v>20</v>
      </c>
      <c r="C75" s="7">
        <f t="shared" si="494"/>
        <v>549</v>
      </c>
      <c r="D75" s="56">
        <v>549</v>
      </c>
      <c r="E75" s="57"/>
      <c r="F75" s="20">
        <f t="shared" si="495"/>
        <v>91.652754590984969</v>
      </c>
      <c r="G75" s="7">
        <f t="shared" si="496"/>
        <v>0</v>
      </c>
      <c r="H75" s="56"/>
      <c r="I75" s="57"/>
      <c r="J75" s="20">
        <f t="shared" si="497"/>
        <v>0</v>
      </c>
      <c r="K75" s="10">
        <f t="shared" si="498"/>
        <v>549</v>
      </c>
      <c r="L75" s="75">
        <v>549</v>
      </c>
      <c r="M75" s="76"/>
      <c r="N75" s="23">
        <f t="shared" si="499"/>
        <v>101.85528756957329</v>
      </c>
      <c r="O75" s="28" t="s">
        <v>20</v>
      </c>
      <c r="P75" s="7">
        <f t="shared" si="500"/>
        <v>549</v>
      </c>
      <c r="Q75" s="56">
        <v>549</v>
      </c>
      <c r="R75" s="57"/>
      <c r="S75" s="20">
        <f t="shared" si="501"/>
        <v>91.652754590984969</v>
      </c>
      <c r="T75" s="7">
        <f t="shared" si="502"/>
        <v>0</v>
      </c>
      <c r="U75" s="56"/>
      <c r="V75" s="57"/>
      <c r="W75" s="20">
        <f t="shared" si="503"/>
        <v>0</v>
      </c>
      <c r="X75" s="10">
        <f t="shared" si="504"/>
        <v>549</v>
      </c>
      <c r="Y75" s="75">
        <v>549</v>
      </c>
      <c r="Z75" s="76"/>
      <c r="AA75" s="23">
        <f t="shared" si="505"/>
        <v>89.559543230016317</v>
      </c>
      <c r="AB75" s="28" t="s">
        <v>20</v>
      </c>
      <c r="AC75" s="7">
        <f t="shared" si="506"/>
        <v>0</v>
      </c>
      <c r="AD75" s="56"/>
      <c r="AE75" s="57"/>
      <c r="AF75" s="20" t="str">
        <f t="shared" si="507"/>
        <v/>
      </c>
      <c r="AG75" s="7">
        <f t="shared" si="508"/>
        <v>0</v>
      </c>
      <c r="AH75" s="56"/>
      <c r="AI75" s="57"/>
      <c r="AJ75" s="20" t="str">
        <f t="shared" si="509"/>
        <v/>
      </c>
      <c r="AK75" s="10">
        <f t="shared" si="510"/>
        <v>0</v>
      </c>
      <c r="AL75" s="75"/>
      <c r="AM75" s="76"/>
      <c r="AN75" s="23" t="str">
        <f t="shared" si="511"/>
        <v/>
      </c>
      <c r="AO75" s="28" t="s">
        <v>20</v>
      </c>
      <c r="AP75" s="7">
        <f t="shared" si="512"/>
        <v>539</v>
      </c>
      <c r="AQ75" s="56">
        <v>539</v>
      </c>
      <c r="AR75" s="57"/>
      <c r="AS75" s="20">
        <f t="shared" si="513"/>
        <v>89.98330550918196</v>
      </c>
      <c r="AT75" s="7">
        <f t="shared" si="514"/>
        <v>0</v>
      </c>
      <c r="AU75" s="56"/>
      <c r="AV75" s="57"/>
      <c r="AW75" s="20" t="str">
        <f t="shared" si="515"/>
        <v/>
      </c>
      <c r="AX75" s="10">
        <f t="shared" si="516"/>
        <v>0</v>
      </c>
      <c r="AY75" s="75"/>
      <c r="AZ75" s="76"/>
      <c r="BA75" s="23" t="str">
        <f t="shared" si="517"/>
        <v/>
      </c>
      <c r="BB75" s="28" t="s">
        <v>20</v>
      </c>
      <c r="BC75" s="7">
        <f t="shared" si="518"/>
        <v>599</v>
      </c>
      <c r="BD75" s="56">
        <v>599</v>
      </c>
      <c r="BE75" s="57"/>
      <c r="BF75" s="20">
        <f t="shared" si="519"/>
        <v>101.52542372881356</v>
      </c>
      <c r="BG75" s="7">
        <f t="shared" si="520"/>
        <v>0</v>
      </c>
      <c r="BH75" s="56"/>
      <c r="BI75" s="57"/>
      <c r="BJ75" s="20">
        <f t="shared" si="521"/>
        <v>0</v>
      </c>
      <c r="BK75" s="10">
        <f t="shared" si="522"/>
        <v>0</v>
      </c>
      <c r="BL75" s="75"/>
      <c r="BM75" s="76"/>
      <c r="BN75" s="23" t="str">
        <f t="shared" si="523"/>
        <v/>
      </c>
      <c r="BO75" s="28" t="s">
        <v>20</v>
      </c>
      <c r="BP75" s="7">
        <f t="shared" si="524"/>
        <v>599</v>
      </c>
      <c r="BQ75" s="56">
        <v>599</v>
      </c>
      <c r="BR75" s="57"/>
      <c r="BS75" s="20">
        <f t="shared" si="525"/>
        <v>101.52542372881356</v>
      </c>
      <c r="BT75" s="7">
        <f t="shared" si="526"/>
        <v>0</v>
      </c>
      <c r="BU75" s="56"/>
      <c r="BV75" s="57"/>
      <c r="BW75" s="20" t="str">
        <f t="shared" si="527"/>
        <v/>
      </c>
      <c r="BX75" s="10">
        <f t="shared" si="528"/>
        <v>0</v>
      </c>
      <c r="BY75" s="75"/>
      <c r="BZ75" s="76"/>
      <c r="CA75" s="23">
        <f t="shared" si="529"/>
        <v>0</v>
      </c>
      <c r="CB75" s="28" t="s">
        <v>20</v>
      </c>
      <c r="CC75" s="7">
        <f t="shared" si="530"/>
        <v>0</v>
      </c>
      <c r="CD75" s="56"/>
      <c r="CE75" s="57"/>
      <c r="CF75" s="20" t="str">
        <f t="shared" si="531"/>
        <v/>
      </c>
      <c r="CG75" s="7">
        <f t="shared" si="532"/>
        <v>0</v>
      </c>
      <c r="CH75" s="56"/>
      <c r="CI75" s="57"/>
      <c r="CJ75" s="20" t="str">
        <f t="shared" si="533"/>
        <v/>
      </c>
      <c r="CK75" s="10">
        <f t="shared" si="534"/>
        <v>0</v>
      </c>
      <c r="CL75" s="75"/>
      <c r="CM75" s="76"/>
      <c r="CN75" s="23" t="str">
        <f t="shared" si="535"/>
        <v/>
      </c>
      <c r="CO75" s="28" t="s">
        <v>20</v>
      </c>
      <c r="CP75" s="7">
        <f t="shared" si="536"/>
        <v>804</v>
      </c>
      <c r="CQ75" s="56">
        <v>804</v>
      </c>
      <c r="CR75" s="57"/>
      <c r="CS75" s="20">
        <f t="shared" si="537"/>
        <v>136.27118644067798</v>
      </c>
      <c r="CT75" s="7">
        <f t="shared" si="538"/>
        <v>0</v>
      </c>
      <c r="CU75" s="56"/>
      <c r="CV75" s="57"/>
      <c r="CW75" s="20">
        <f t="shared" si="539"/>
        <v>0</v>
      </c>
      <c r="CX75" s="10">
        <f t="shared" si="540"/>
        <v>0</v>
      </c>
      <c r="CY75" s="75"/>
      <c r="CZ75" s="76"/>
      <c r="DA75" s="23" t="str">
        <f t="shared" si="541"/>
        <v/>
      </c>
      <c r="DB75" s="28" t="s">
        <v>20</v>
      </c>
      <c r="DC75" s="7">
        <f t="shared" si="542"/>
        <v>599</v>
      </c>
      <c r="DD75" s="56">
        <v>599</v>
      </c>
      <c r="DE75" s="57"/>
      <c r="DF75" s="20">
        <f t="shared" si="543"/>
        <v>101.52542372881356</v>
      </c>
      <c r="DG75" s="7">
        <f t="shared" si="544"/>
        <v>0</v>
      </c>
      <c r="DH75" s="56"/>
      <c r="DI75" s="57"/>
      <c r="DJ75" s="20">
        <f t="shared" si="545"/>
        <v>0</v>
      </c>
      <c r="DK75" s="10">
        <f t="shared" si="546"/>
        <v>469</v>
      </c>
      <c r="DL75" s="75">
        <v>469</v>
      </c>
      <c r="DM75" s="76"/>
      <c r="DN75" s="23">
        <f t="shared" si="547"/>
        <v>81.001727115716747</v>
      </c>
      <c r="DO75" s="28" t="s">
        <v>20</v>
      </c>
      <c r="DP75" s="7">
        <f t="shared" si="548"/>
        <v>599</v>
      </c>
      <c r="DQ75" s="56">
        <v>599</v>
      </c>
      <c r="DR75" s="57"/>
      <c r="DS75" s="20">
        <f t="shared" si="549"/>
        <v>101.52542372881356</v>
      </c>
      <c r="DT75" s="7">
        <f t="shared" si="550"/>
        <v>0</v>
      </c>
      <c r="DU75" s="56"/>
      <c r="DV75" s="57"/>
      <c r="DW75" s="20">
        <f t="shared" si="551"/>
        <v>0</v>
      </c>
      <c r="DX75" s="10">
        <f t="shared" si="552"/>
        <v>0</v>
      </c>
      <c r="DY75" s="75"/>
      <c r="DZ75" s="76"/>
      <c r="EA75" s="23">
        <f t="shared" si="553"/>
        <v>0</v>
      </c>
      <c r="EB75" s="28" t="s">
        <v>20</v>
      </c>
      <c r="EC75" s="7">
        <f t="shared" si="554"/>
        <v>599</v>
      </c>
      <c r="ED75" s="56">
        <v>599</v>
      </c>
      <c r="EE75" s="57"/>
      <c r="EF75" s="20">
        <f t="shared" si="555"/>
        <v>101.52542372881356</v>
      </c>
      <c r="EG75" s="7">
        <f t="shared" si="556"/>
        <v>0</v>
      </c>
      <c r="EH75" s="56"/>
      <c r="EI75" s="57"/>
      <c r="EJ75" s="20">
        <f t="shared" si="557"/>
        <v>0</v>
      </c>
      <c r="EK75" s="10">
        <f t="shared" si="558"/>
        <v>0</v>
      </c>
      <c r="EL75" s="75"/>
      <c r="EM75" s="76"/>
      <c r="EN75" s="23">
        <f t="shared" si="559"/>
        <v>0</v>
      </c>
    </row>
    <row r="76" spans="2:144" outlineLevel="1" x14ac:dyDescent="0.3">
      <c r="B76" s="28" t="s">
        <v>19</v>
      </c>
      <c r="C76" s="7">
        <f t="shared" si="494"/>
        <v>429</v>
      </c>
      <c r="D76" s="56">
        <v>429</v>
      </c>
      <c r="E76" s="57"/>
      <c r="F76" s="20">
        <f t="shared" si="495"/>
        <v>85.971943887775552</v>
      </c>
      <c r="G76" s="7">
        <f t="shared" si="496"/>
        <v>429</v>
      </c>
      <c r="H76" s="56">
        <v>429</v>
      </c>
      <c r="I76" s="57"/>
      <c r="J76" s="20">
        <f t="shared" si="497"/>
        <v>89.561586638830889</v>
      </c>
      <c r="K76" s="10">
        <f t="shared" si="498"/>
        <v>454</v>
      </c>
      <c r="L76" s="75">
        <v>454</v>
      </c>
      <c r="M76" s="76"/>
      <c r="N76" s="23">
        <f t="shared" si="499"/>
        <v>101.11358574610246</v>
      </c>
      <c r="O76" s="28" t="s">
        <v>19</v>
      </c>
      <c r="P76" s="7">
        <f t="shared" si="500"/>
        <v>429</v>
      </c>
      <c r="Q76" s="56">
        <v>429</v>
      </c>
      <c r="R76" s="57"/>
      <c r="S76" s="20">
        <f t="shared" si="501"/>
        <v>95.545657015590209</v>
      </c>
      <c r="T76" s="7">
        <f t="shared" si="502"/>
        <v>429</v>
      </c>
      <c r="U76" s="56">
        <v>429</v>
      </c>
      <c r="V76" s="57"/>
      <c r="W76" s="20">
        <f t="shared" si="503"/>
        <v>95.545657015590209</v>
      </c>
      <c r="X76" s="10">
        <f t="shared" si="504"/>
        <v>452</v>
      </c>
      <c r="Y76" s="75">
        <v>452</v>
      </c>
      <c r="Z76" s="76"/>
      <c r="AA76" s="23">
        <f t="shared" si="505"/>
        <v>92.622950819672127</v>
      </c>
      <c r="AB76" s="28" t="s">
        <v>19</v>
      </c>
      <c r="AC76" s="7">
        <f t="shared" si="506"/>
        <v>0</v>
      </c>
      <c r="AD76" s="56"/>
      <c r="AE76" s="57"/>
      <c r="AF76" s="20" t="str">
        <f t="shared" si="507"/>
        <v/>
      </c>
      <c r="AG76" s="7">
        <f t="shared" si="508"/>
        <v>0</v>
      </c>
      <c r="AH76" s="56"/>
      <c r="AI76" s="57"/>
      <c r="AJ76" s="20" t="str">
        <f t="shared" si="509"/>
        <v/>
      </c>
      <c r="AK76" s="10">
        <f t="shared" si="510"/>
        <v>0</v>
      </c>
      <c r="AL76" s="75"/>
      <c r="AM76" s="76"/>
      <c r="AN76" s="23" t="str">
        <f t="shared" si="511"/>
        <v/>
      </c>
      <c r="AO76" s="28" t="s">
        <v>19</v>
      </c>
      <c r="AP76" s="7">
        <f t="shared" si="512"/>
        <v>429</v>
      </c>
      <c r="AQ76" s="56">
        <v>429</v>
      </c>
      <c r="AR76" s="57"/>
      <c r="AS76" s="20">
        <f t="shared" si="513"/>
        <v>85.971943887775552</v>
      </c>
      <c r="AT76" s="7">
        <f t="shared" si="514"/>
        <v>0</v>
      </c>
      <c r="AU76" s="56"/>
      <c r="AV76" s="57"/>
      <c r="AW76" s="20" t="str">
        <f t="shared" si="515"/>
        <v/>
      </c>
      <c r="AX76" s="10">
        <f t="shared" si="516"/>
        <v>0</v>
      </c>
      <c r="AY76" s="75"/>
      <c r="AZ76" s="76"/>
      <c r="BA76" s="23" t="str">
        <f t="shared" si="517"/>
        <v/>
      </c>
      <c r="BB76" s="28" t="s">
        <v>19</v>
      </c>
      <c r="BC76" s="7">
        <f t="shared" si="518"/>
        <v>575</v>
      </c>
      <c r="BD76" s="56">
        <v>575</v>
      </c>
      <c r="BE76" s="57"/>
      <c r="BF76" s="20">
        <f t="shared" si="519"/>
        <v>102.86225402504472</v>
      </c>
      <c r="BG76" s="7">
        <f t="shared" si="520"/>
        <v>429</v>
      </c>
      <c r="BH76" s="56">
        <v>429</v>
      </c>
      <c r="BI76" s="57"/>
      <c r="BJ76" s="20">
        <f t="shared" si="521"/>
        <v>85.971943887775552</v>
      </c>
      <c r="BK76" s="10">
        <f t="shared" si="522"/>
        <v>0</v>
      </c>
      <c r="BL76" s="75"/>
      <c r="BM76" s="76"/>
      <c r="BN76" s="23" t="str">
        <f t="shared" si="523"/>
        <v/>
      </c>
      <c r="BO76" s="28" t="s">
        <v>19</v>
      </c>
      <c r="BP76" s="7">
        <f t="shared" si="524"/>
        <v>0</v>
      </c>
      <c r="BQ76" s="56"/>
      <c r="BR76" s="57"/>
      <c r="BS76" s="20">
        <f t="shared" si="525"/>
        <v>0</v>
      </c>
      <c r="BT76" s="7">
        <f t="shared" si="526"/>
        <v>0</v>
      </c>
      <c r="BU76" s="56"/>
      <c r="BV76" s="57"/>
      <c r="BW76" s="20" t="str">
        <f t="shared" si="527"/>
        <v/>
      </c>
      <c r="BX76" s="10">
        <f t="shared" si="528"/>
        <v>479</v>
      </c>
      <c r="BY76" s="75">
        <v>479</v>
      </c>
      <c r="BZ76" s="76"/>
      <c r="CA76" s="23">
        <f t="shared" si="529"/>
        <v>106.68151447661469</v>
      </c>
      <c r="CB76" s="28" t="s">
        <v>19</v>
      </c>
      <c r="CC76" s="7">
        <f t="shared" si="530"/>
        <v>0</v>
      </c>
      <c r="CD76" s="56"/>
      <c r="CE76" s="57"/>
      <c r="CF76" s="20" t="str">
        <f t="shared" si="531"/>
        <v/>
      </c>
      <c r="CG76" s="7">
        <f t="shared" si="532"/>
        <v>0</v>
      </c>
      <c r="CH76" s="56"/>
      <c r="CI76" s="57"/>
      <c r="CJ76" s="20" t="str">
        <f t="shared" si="533"/>
        <v/>
      </c>
      <c r="CK76" s="10">
        <f t="shared" si="534"/>
        <v>0</v>
      </c>
      <c r="CL76" s="75"/>
      <c r="CM76" s="76"/>
      <c r="CN76" s="23" t="str">
        <f t="shared" si="535"/>
        <v/>
      </c>
      <c r="CO76" s="28" t="s">
        <v>19</v>
      </c>
      <c r="CP76" s="7">
        <f t="shared" si="536"/>
        <v>609</v>
      </c>
      <c r="CQ76" s="56">
        <v>609</v>
      </c>
      <c r="CR76" s="57"/>
      <c r="CS76" s="20">
        <f t="shared" si="537"/>
        <v>122.0440881763527</v>
      </c>
      <c r="CT76" s="7">
        <f t="shared" si="538"/>
        <v>429</v>
      </c>
      <c r="CU76" s="56">
        <v>429</v>
      </c>
      <c r="CV76" s="57"/>
      <c r="CW76" s="20">
        <f t="shared" si="539"/>
        <v>85.971943887775552</v>
      </c>
      <c r="CX76" s="10">
        <f t="shared" si="540"/>
        <v>0</v>
      </c>
      <c r="CY76" s="75"/>
      <c r="CZ76" s="76"/>
      <c r="DA76" s="23" t="str">
        <f t="shared" si="541"/>
        <v/>
      </c>
      <c r="DB76" s="28" t="s">
        <v>19</v>
      </c>
      <c r="DC76" s="7">
        <f t="shared" si="542"/>
        <v>423</v>
      </c>
      <c r="DD76" s="56">
        <v>423</v>
      </c>
      <c r="DE76" s="57"/>
      <c r="DF76" s="20">
        <f t="shared" si="543"/>
        <v>84.769539078156313</v>
      </c>
      <c r="DG76" s="7">
        <f t="shared" si="544"/>
        <v>429</v>
      </c>
      <c r="DH76" s="56">
        <v>429</v>
      </c>
      <c r="DI76" s="57"/>
      <c r="DJ76" s="20">
        <f t="shared" si="545"/>
        <v>85.971943887775552</v>
      </c>
      <c r="DK76" s="10">
        <f t="shared" si="546"/>
        <v>479</v>
      </c>
      <c r="DL76" s="75">
        <v>479</v>
      </c>
      <c r="DM76" s="76"/>
      <c r="DN76" s="23" t="str">
        <f t="shared" si="547"/>
        <v/>
      </c>
      <c r="DO76" s="28" t="s">
        <v>19</v>
      </c>
      <c r="DP76" s="7">
        <f t="shared" si="548"/>
        <v>448</v>
      </c>
      <c r="DQ76" s="56">
        <v>448</v>
      </c>
      <c r="DR76" s="57"/>
      <c r="DS76" s="20">
        <f t="shared" si="549"/>
        <v>89.779559118236477</v>
      </c>
      <c r="DT76" s="7">
        <f t="shared" si="550"/>
        <v>449</v>
      </c>
      <c r="DU76" s="56">
        <v>449</v>
      </c>
      <c r="DV76" s="57"/>
      <c r="DW76" s="20">
        <f t="shared" si="551"/>
        <v>95.735607675906181</v>
      </c>
      <c r="DX76" s="10">
        <f t="shared" si="552"/>
        <v>0</v>
      </c>
      <c r="DY76" s="75"/>
      <c r="DZ76" s="76"/>
      <c r="EA76" s="23">
        <f t="shared" si="553"/>
        <v>0</v>
      </c>
      <c r="EB76" s="28" t="s">
        <v>19</v>
      </c>
      <c r="EC76" s="7">
        <f t="shared" si="554"/>
        <v>448</v>
      </c>
      <c r="ED76" s="56">
        <v>448</v>
      </c>
      <c r="EE76" s="57"/>
      <c r="EF76" s="20">
        <f t="shared" si="555"/>
        <v>89.779559118236477</v>
      </c>
      <c r="EG76" s="7">
        <f t="shared" si="556"/>
        <v>449</v>
      </c>
      <c r="EH76" s="56">
        <v>449</v>
      </c>
      <c r="EI76" s="57"/>
      <c r="EJ76" s="20">
        <f t="shared" si="557"/>
        <v>95.735607675906181</v>
      </c>
      <c r="EK76" s="10">
        <f t="shared" si="558"/>
        <v>0</v>
      </c>
      <c r="EL76" s="75"/>
      <c r="EM76" s="76"/>
      <c r="EN76" s="23">
        <f t="shared" si="559"/>
        <v>0</v>
      </c>
    </row>
    <row r="77" spans="2:144" outlineLevel="1" x14ac:dyDescent="0.3">
      <c r="B77" s="28" t="s">
        <v>18</v>
      </c>
      <c r="C77" s="7">
        <f t="shared" si="494"/>
        <v>359</v>
      </c>
      <c r="D77" s="56">
        <v>359</v>
      </c>
      <c r="E77" s="57"/>
      <c r="F77" s="20">
        <f t="shared" si="495"/>
        <v>79.955456570155903</v>
      </c>
      <c r="G77" s="7">
        <f t="shared" si="496"/>
        <v>0</v>
      </c>
      <c r="H77" s="56"/>
      <c r="I77" s="57"/>
      <c r="J77" s="20">
        <f t="shared" si="497"/>
        <v>0</v>
      </c>
      <c r="K77" s="10">
        <f t="shared" si="498"/>
        <v>299</v>
      </c>
      <c r="L77" s="75">
        <v>299</v>
      </c>
      <c r="M77" s="76"/>
      <c r="N77" s="23">
        <f t="shared" si="499"/>
        <v>63.888888888888886</v>
      </c>
      <c r="O77" s="28" t="s">
        <v>18</v>
      </c>
      <c r="P77" s="7">
        <f t="shared" si="500"/>
        <v>359</v>
      </c>
      <c r="Q77" s="56">
        <v>359</v>
      </c>
      <c r="R77" s="57"/>
      <c r="S77" s="20">
        <f t="shared" si="501"/>
        <v>89.974937343358391</v>
      </c>
      <c r="T77" s="7">
        <f t="shared" si="502"/>
        <v>0</v>
      </c>
      <c r="U77" s="56"/>
      <c r="V77" s="57"/>
      <c r="W77" s="20">
        <f t="shared" si="503"/>
        <v>0</v>
      </c>
      <c r="X77" s="10">
        <f t="shared" si="504"/>
        <v>359</v>
      </c>
      <c r="Y77" s="75">
        <v>359</v>
      </c>
      <c r="Z77" s="76"/>
      <c r="AA77" s="23">
        <f t="shared" si="505"/>
        <v>78.384279475982538</v>
      </c>
      <c r="AB77" s="28" t="s">
        <v>18</v>
      </c>
      <c r="AC77" s="7">
        <f t="shared" si="506"/>
        <v>0</v>
      </c>
      <c r="AD77" s="56"/>
      <c r="AE77" s="57"/>
      <c r="AF77" s="20" t="str">
        <f t="shared" si="507"/>
        <v/>
      </c>
      <c r="AG77" s="7">
        <f t="shared" si="508"/>
        <v>0</v>
      </c>
      <c r="AH77" s="56"/>
      <c r="AI77" s="57"/>
      <c r="AJ77" s="20" t="str">
        <f t="shared" si="509"/>
        <v/>
      </c>
      <c r="AK77" s="10">
        <f t="shared" si="510"/>
        <v>0</v>
      </c>
      <c r="AL77" s="75"/>
      <c r="AM77" s="76"/>
      <c r="AN77" s="23" t="str">
        <f t="shared" si="511"/>
        <v/>
      </c>
      <c r="AO77" s="28" t="s">
        <v>18</v>
      </c>
      <c r="AP77" s="7">
        <f t="shared" si="512"/>
        <v>530</v>
      </c>
      <c r="AQ77" s="56">
        <v>530</v>
      </c>
      <c r="AR77" s="57"/>
      <c r="AS77" s="20">
        <f t="shared" si="513"/>
        <v>118.04008908685968</v>
      </c>
      <c r="AT77" s="7">
        <f t="shared" si="514"/>
        <v>0</v>
      </c>
      <c r="AU77" s="56"/>
      <c r="AV77" s="57"/>
      <c r="AW77" s="20" t="str">
        <f t="shared" si="515"/>
        <v/>
      </c>
      <c r="AX77" s="10">
        <f t="shared" si="516"/>
        <v>0</v>
      </c>
      <c r="AY77" s="75"/>
      <c r="AZ77" s="76"/>
      <c r="BA77" s="23" t="str">
        <f t="shared" si="517"/>
        <v/>
      </c>
      <c r="BB77" s="28" t="s">
        <v>18</v>
      </c>
      <c r="BC77" s="7">
        <f t="shared" si="518"/>
        <v>497</v>
      </c>
      <c r="BD77" s="56">
        <v>497</v>
      </c>
      <c r="BE77" s="57"/>
      <c r="BF77" s="20">
        <f t="shared" si="519"/>
        <v>134.68834688346885</v>
      </c>
      <c r="BG77" s="7">
        <f t="shared" si="520"/>
        <v>0</v>
      </c>
      <c r="BH77" s="56"/>
      <c r="BI77" s="57"/>
      <c r="BJ77" s="20">
        <f t="shared" si="521"/>
        <v>0</v>
      </c>
      <c r="BK77" s="10">
        <f t="shared" si="522"/>
        <v>0</v>
      </c>
      <c r="BL77" s="75"/>
      <c r="BM77" s="76"/>
      <c r="BN77" s="23" t="str">
        <f t="shared" si="523"/>
        <v/>
      </c>
      <c r="BO77" s="28" t="s">
        <v>18</v>
      </c>
      <c r="BP77" s="7">
        <f t="shared" si="524"/>
        <v>685</v>
      </c>
      <c r="BQ77" s="56">
        <v>685</v>
      </c>
      <c r="BR77" s="57"/>
      <c r="BS77" s="20">
        <f t="shared" si="525"/>
        <v>185.63685636856368</v>
      </c>
      <c r="BT77" s="7">
        <f t="shared" si="526"/>
        <v>0</v>
      </c>
      <c r="BU77" s="56"/>
      <c r="BV77" s="57"/>
      <c r="BW77" s="20" t="str">
        <f t="shared" si="527"/>
        <v/>
      </c>
      <c r="BX77" s="10">
        <f t="shared" si="528"/>
        <v>0</v>
      </c>
      <c r="BY77" s="75"/>
      <c r="BZ77" s="76"/>
      <c r="CA77" s="23">
        <f t="shared" si="529"/>
        <v>0</v>
      </c>
      <c r="CB77" s="28" t="s">
        <v>18</v>
      </c>
      <c r="CC77" s="7">
        <f t="shared" si="530"/>
        <v>0</v>
      </c>
      <c r="CD77" s="56"/>
      <c r="CE77" s="57"/>
      <c r="CF77" s="20" t="str">
        <f t="shared" si="531"/>
        <v/>
      </c>
      <c r="CG77" s="7">
        <f t="shared" si="532"/>
        <v>0</v>
      </c>
      <c r="CH77" s="56"/>
      <c r="CI77" s="57"/>
      <c r="CJ77" s="20" t="str">
        <f t="shared" si="533"/>
        <v/>
      </c>
      <c r="CK77" s="10">
        <f t="shared" si="534"/>
        <v>0</v>
      </c>
      <c r="CL77" s="75"/>
      <c r="CM77" s="76"/>
      <c r="CN77" s="23" t="str">
        <f t="shared" si="535"/>
        <v/>
      </c>
      <c r="CO77" s="28" t="s">
        <v>18</v>
      </c>
      <c r="CP77" s="7">
        <f t="shared" si="536"/>
        <v>552</v>
      </c>
      <c r="CQ77" s="56">
        <v>552</v>
      </c>
      <c r="CR77" s="57"/>
      <c r="CS77" s="20">
        <f t="shared" si="537"/>
        <v>135.62653562653563</v>
      </c>
      <c r="CT77" s="7">
        <f t="shared" si="538"/>
        <v>0</v>
      </c>
      <c r="CU77" s="56"/>
      <c r="CV77" s="57"/>
      <c r="CW77" s="20">
        <f t="shared" si="539"/>
        <v>0</v>
      </c>
      <c r="CX77" s="10">
        <f t="shared" si="540"/>
        <v>0</v>
      </c>
      <c r="CY77" s="75"/>
      <c r="CZ77" s="76"/>
      <c r="DA77" s="23" t="str">
        <f t="shared" si="541"/>
        <v/>
      </c>
      <c r="DB77" s="28" t="s">
        <v>18</v>
      </c>
      <c r="DC77" s="7">
        <f t="shared" si="542"/>
        <v>358</v>
      </c>
      <c r="DD77" s="56">
        <v>358</v>
      </c>
      <c r="DE77" s="57"/>
      <c r="DF77" s="20">
        <f t="shared" si="543"/>
        <v>87.960687960687949</v>
      </c>
      <c r="DG77" s="7">
        <f t="shared" si="544"/>
        <v>0</v>
      </c>
      <c r="DH77" s="56"/>
      <c r="DI77" s="57"/>
      <c r="DJ77" s="20">
        <f t="shared" si="545"/>
        <v>0</v>
      </c>
      <c r="DK77" s="10">
        <f t="shared" si="546"/>
        <v>0</v>
      </c>
      <c r="DL77" s="75"/>
      <c r="DM77" s="76"/>
      <c r="DN77" s="23" t="str">
        <f t="shared" si="547"/>
        <v/>
      </c>
      <c r="DO77" s="28" t="s">
        <v>18</v>
      </c>
      <c r="DP77" s="7">
        <f t="shared" si="548"/>
        <v>439</v>
      </c>
      <c r="DQ77" s="56">
        <v>439</v>
      </c>
      <c r="DR77" s="57"/>
      <c r="DS77" s="20">
        <f t="shared" si="549"/>
        <v>92.616033755274259</v>
      </c>
      <c r="DT77" s="7">
        <f t="shared" si="550"/>
        <v>0</v>
      </c>
      <c r="DU77" s="56"/>
      <c r="DV77" s="57"/>
      <c r="DW77" s="20">
        <f t="shared" si="551"/>
        <v>0</v>
      </c>
      <c r="DX77" s="10">
        <f t="shared" si="552"/>
        <v>0</v>
      </c>
      <c r="DY77" s="75"/>
      <c r="DZ77" s="76"/>
      <c r="EA77" s="23">
        <f t="shared" si="553"/>
        <v>0</v>
      </c>
      <c r="EB77" s="28" t="s">
        <v>18</v>
      </c>
      <c r="EC77" s="7">
        <f t="shared" si="554"/>
        <v>439</v>
      </c>
      <c r="ED77" s="56">
        <v>439</v>
      </c>
      <c r="EE77" s="57"/>
      <c r="EF77" s="20">
        <f t="shared" si="555"/>
        <v>92.616033755274259</v>
      </c>
      <c r="EG77" s="7">
        <f t="shared" si="556"/>
        <v>0</v>
      </c>
      <c r="EH77" s="56"/>
      <c r="EI77" s="57"/>
      <c r="EJ77" s="20">
        <f t="shared" si="557"/>
        <v>0</v>
      </c>
      <c r="EK77" s="10">
        <f t="shared" si="558"/>
        <v>0</v>
      </c>
      <c r="EL77" s="75"/>
      <c r="EM77" s="76"/>
      <c r="EN77" s="23">
        <f t="shared" si="559"/>
        <v>0</v>
      </c>
    </row>
    <row r="78" spans="2:144" outlineLevel="1" x14ac:dyDescent="0.3">
      <c r="B78" s="28" t="s">
        <v>17</v>
      </c>
      <c r="C78" s="7">
        <f t="shared" si="494"/>
        <v>408</v>
      </c>
      <c r="D78" s="56">
        <v>408</v>
      </c>
      <c r="E78" s="57"/>
      <c r="F78" s="20">
        <f t="shared" si="495"/>
        <v>102.25563909774435</v>
      </c>
      <c r="G78" s="7">
        <f t="shared" si="496"/>
        <v>349</v>
      </c>
      <c r="H78" s="56">
        <v>349</v>
      </c>
      <c r="I78" s="57"/>
      <c r="J78" s="20">
        <f t="shared" si="497"/>
        <v>94.579945799458002</v>
      </c>
      <c r="K78" s="10">
        <f t="shared" si="498"/>
        <v>350</v>
      </c>
      <c r="L78" s="75">
        <v>350</v>
      </c>
      <c r="M78" s="76"/>
      <c r="N78" s="23">
        <f t="shared" si="499"/>
        <v>87.5</v>
      </c>
      <c r="O78" s="28" t="s">
        <v>17</v>
      </c>
      <c r="P78" s="7">
        <f t="shared" si="500"/>
        <v>408</v>
      </c>
      <c r="Q78" s="56">
        <v>408</v>
      </c>
      <c r="R78" s="57"/>
      <c r="S78" s="20">
        <f t="shared" si="501"/>
        <v>116.90544412607451</v>
      </c>
      <c r="T78" s="7">
        <f t="shared" si="502"/>
        <v>379</v>
      </c>
      <c r="U78" s="56">
        <v>379</v>
      </c>
      <c r="V78" s="57"/>
      <c r="W78" s="20" t="str">
        <f t="shared" si="503"/>
        <v/>
      </c>
      <c r="X78" s="10">
        <f t="shared" si="504"/>
        <v>328</v>
      </c>
      <c r="Y78" s="75">
        <v>328</v>
      </c>
      <c r="Z78" s="76"/>
      <c r="AA78" s="23">
        <f t="shared" si="505"/>
        <v>83.887468030690542</v>
      </c>
      <c r="AB78" s="28" t="s">
        <v>17</v>
      </c>
      <c r="AC78" s="7">
        <f t="shared" si="506"/>
        <v>0</v>
      </c>
      <c r="AD78" s="56"/>
      <c r="AE78" s="57"/>
      <c r="AF78" s="20" t="str">
        <f t="shared" si="507"/>
        <v/>
      </c>
      <c r="AG78" s="7">
        <f t="shared" si="508"/>
        <v>0</v>
      </c>
      <c r="AH78" s="56"/>
      <c r="AI78" s="57"/>
      <c r="AJ78" s="20" t="str">
        <f t="shared" si="509"/>
        <v/>
      </c>
      <c r="AK78" s="10">
        <f t="shared" si="510"/>
        <v>0</v>
      </c>
      <c r="AL78" s="75"/>
      <c r="AM78" s="76"/>
      <c r="AN78" s="23" t="str">
        <f t="shared" si="511"/>
        <v/>
      </c>
      <c r="AO78" s="28" t="s">
        <v>17</v>
      </c>
      <c r="AP78" s="7">
        <f t="shared" si="512"/>
        <v>349</v>
      </c>
      <c r="AQ78" s="56">
        <v>349</v>
      </c>
      <c r="AR78" s="57"/>
      <c r="AS78" s="20">
        <f t="shared" si="513"/>
        <v>91.60104986876641</v>
      </c>
      <c r="AT78" s="7">
        <f t="shared" si="514"/>
        <v>0</v>
      </c>
      <c r="AU78" s="56"/>
      <c r="AV78" s="57"/>
      <c r="AW78" s="20" t="str">
        <f t="shared" si="515"/>
        <v/>
      </c>
      <c r="AX78" s="10">
        <f t="shared" si="516"/>
        <v>0</v>
      </c>
      <c r="AY78" s="75"/>
      <c r="AZ78" s="76"/>
      <c r="BA78" s="23" t="str">
        <f t="shared" si="517"/>
        <v/>
      </c>
      <c r="BB78" s="28" t="s">
        <v>17</v>
      </c>
      <c r="BC78" s="7">
        <f t="shared" si="518"/>
        <v>329</v>
      </c>
      <c r="BD78" s="56">
        <v>329</v>
      </c>
      <c r="BE78" s="57"/>
      <c r="BF78" s="20">
        <f t="shared" si="519"/>
        <v>87.5</v>
      </c>
      <c r="BG78" s="7">
        <f t="shared" si="520"/>
        <v>329</v>
      </c>
      <c r="BH78" s="56">
        <v>329</v>
      </c>
      <c r="BI78" s="57"/>
      <c r="BJ78" s="20">
        <f t="shared" si="521"/>
        <v>94.269340974212028</v>
      </c>
      <c r="BK78" s="10">
        <f t="shared" si="522"/>
        <v>0</v>
      </c>
      <c r="BL78" s="75"/>
      <c r="BM78" s="76"/>
      <c r="BN78" s="23" t="str">
        <f t="shared" si="523"/>
        <v/>
      </c>
      <c r="BO78" s="28" t="s">
        <v>17</v>
      </c>
      <c r="BP78" s="7">
        <f t="shared" si="524"/>
        <v>329</v>
      </c>
      <c r="BQ78" s="56">
        <v>329</v>
      </c>
      <c r="BR78" s="57"/>
      <c r="BS78" s="20">
        <f t="shared" si="525"/>
        <v>87.5</v>
      </c>
      <c r="BT78" s="7">
        <f t="shared" si="526"/>
        <v>0</v>
      </c>
      <c r="BU78" s="56"/>
      <c r="BV78" s="57"/>
      <c r="BW78" s="20" t="str">
        <f t="shared" si="527"/>
        <v/>
      </c>
      <c r="BX78" s="10">
        <f t="shared" si="528"/>
        <v>0</v>
      </c>
      <c r="BY78" s="75"/>
      <c r="BZ78" s="76"/>
      <c r="CA78" s="23">
        <f t="shared" si="529"/>
        <v>0</v>
      </c>
      <c r="CB78" s="28" t="s">
        <v>17</v>
      </c>
      <c r="CC78" s="7">
        <f t="shared" si="530"/>
        <v>0</v>
      </c>
      <c r="CD78" s="56"/>
      <c r="CE78" s="57"/>
      <c r="CF78" s="20" t="str">
        <f t="shared" si="531"/>
        <v/>
      </c>
      <c r="CG78" s="7">
        <f t="shared" si="532"/>
        <v>0</v>
      </c>
      <c r="CH78" s="56"/>
      <c r="CI78" s="57"/>
      <c r="CJ78" s="20" t="str">
        <f t="shared" si="533"/>
        <v/>
      </c>
      <c r="CK78" s="10">
        <f t="shared" si="534"/>
        <v>0</v>
      </c>
      <c r="CL78" s="75"/>
      <c r="CM78" s="76"/>
      <c r="CN78" s="23" t="str">
        <f t="shared" si="535"/>
        <v/>
      </c>
      <c r="CO78" s="28" t="s">
        <v>17</v>
      </c>
      <c r="CP78" s="7">
        <f t="shared" si="536"/>
        <v>0</v>
      </c>
      <c r="CQ78" s="56"/>
      <c r="CR78" s="57"/>
      <c r="CS78" s="20">
        <f t="shared" si="537"/>
        <v>0</v>
      </c>
      <c r="CT78" s="7">
        <f t="shared" si="538"/>
        <v>329</v>
      </c>
      <c r="CU78" s="56">
        <v>329</v>
      </c>
      <c r="CV78" s="57"/>
      <c r="CW78" s="20">
        <f t="shared" si="539"/>
        <v>80.440097799510994</v>
      </c>
      <c r="CX78" s="10">
        <f t="shared" si="540"/>
        <v>0</v>
      </c>
      <c r="CY78" s="75"/>
      <c r="CZ78" s="76"/>
      <c r="DA78" s="23" t="str">
        <f t="shared" si="541"/>
        <v/>
      </c>
      <c r="DB78" s="28" t="s">
        <v>17</v>
      </c>
      <c r="DC78" s="7">
        <f t="shared" si="542"/>
        <v>0</v>
      </c>
      <c r="DD78" s="56"/>
      <c r="DE78" s="57"/>
      <c r="DF78" s="20">
        <f t="shared" si="543"/>
        <v>0</v>
      </c>
      <c r="DG78" s="7">
        <f t="shared" si="544"/>
        <v>329</v>
      </c>
      <c r="DH78" s="56">
        <v>329</v>
      </c>
      <c r="DI78" s="57"/>
      <c r="DJ78" s="20">
        <f t="shared" si="545"/>
        <v>80.440097799510994</v>
      </c>
      <c r="DK78" s="10">
        <f t="shared" si="546"/>
        <v>0</v>
      </c>
      <c r="DL78" s="75"/>
      <c r="DM78" s="76"/>
      <c r="DN78" s="23" t="str">
        <f t="shared" si="547"/>
        <v/>
      </c>
      <c r="DO78" s="28" t="s">
        <v>17</v>
      </c>
      <c r="DP78" s="7">
        <f t="shared" si="548"/>
        <v>354</v>
      </c>
      <c r="DQ78" s="56">
        <v>354</v>
      </c>
      <c r="DR78" s="57"/>
      <c r="DS78" s="20">
        <f t="shared" si="549"/>
        <v>94.148936170212778</v>
      </c>
      <c r="DT78" s="7">
        <f t="shared" si="550"/>
        <v>329</v>
      </c>
      <c r="DU78" s="56">
        <v>329</v>
      </c>
      <c r="DV78" s="57"/>
      <c r="DW78" s="20">
        <f t="shared" si="551"/>
        <v>94.269340974212028</v>
      </c>
      <c r="DX78" s="10">
        <f t="shared" si="552"/>
        <v>0</v>
      </c>
      <c r="DY78" s="75"/>
      <c r="DZ78" s="76"/>
      <c r="EA78" s="23">
        <f t="shared" si="553"/>
        <v>0</v>
      </c>
      <c r="EB78" s="28" t="s">
        <v>17</v>
      </c>
      <c r="EC78" s="7">
        <f t="shared" si="554"/>
        <v>354</v>
      </c>
      <c r="ED78" s="56">
        <v>354</v>
      </c>
      <c r="EE78" s="57"/>
      <c r="EF78" s="20">
        <f t="shared" si="555"/>
        <v>94.148936170212778</v>
      </c>
      <c r="EG78" s="7">
        <f t="shared" si="556"/>
        <v>329</v>
      </c>
      <c r="EH78" s="56">
        <v>329</v>
      </c>
      <c r="EI78" s="57"/>
      <c r="EJ78" s="20">
        <f t="shared" si="557"/>
        <v>94.269340974212028</v>
      </c>
      <c r="EK78" s="10">
        <f t="shared" si="558"/>
        <v>0</v>
      </c>
      <c r="EL78" s="75"/>
      <c r="EM78" s="76"/>
      <c r="EN78" s="23">
        <f t="shared" si="559"/>
        <v>0</v>
      </c>
    </row>
    <row r="79" spans="2:144" outlineLevel="1" x14ac:dyDescent="0.3">
      <c r="B79" s="28"/>
      <c r="C79" s="7">
        <f t="shared" si="494"/>
        <v>0</v>
      </c>
      <c r="D79" s="56"/>
      <c r="E79" s="57"/>
      <c r="F79" s="20"/>
      <c r="G79" s="7">
        <f t="shared" si="496"/>
        <v>0</v>
      </c>
      <c r="H79" s="56"/>
      <c r="I79" s="57"/>
      <c r="J79" s="20"/>
      <c r="K79" s="10">
        <f t="shared" si="498"/>
        <v>0</v>
      </c>
      <c r="L79" s="75"/>
      <c r="M79" s="76"/>
      <c r="N79" s="23"/>
      <c r="O79" s="28"/>
      <c r="P79" s="7">
        <f t="shared" si="500"/>
        <v>0</v>
      </c>
      <c r="Q79" s="56"/>
      <c r="R79" s="57"/>
      <c r="S79" s="20"/>
      <c r="T79" s="7">
        <f t="shared" si="502"/>
        <v>0</v>
      </c>
      <c r="U79" s="56"/>
      <c r="V79" s="57"/>
      <c r="W79" s="20"/>
      <c r="X79" s="10">
        <f t="shared" si="504"/>
        <v>0</v>
      </c>
      <c r="Y79" s="75"/>
      <c r="Z79" s="76"/>
      <c r="AA79" s="23"/>
      <c r="AB79" s="28"/>
      <c r="AC79" s="7">
        <f t="shared" si="506"/>
        <v>0</v>
      </c>
      <c r="AD79" s="56"/>
      <c r="AE79" s="57"/>
      <c r="AF79" s="20"/>
      <c r="AG79" s="7">
        <f t="shared" si="508"/>
        <v>0</v>
      </c>
      <c r="AH79" s="56"/>
      <c r="AI79" s="57"/>
      <c r="AJ79" s="20"/>
      <c r="AK79" s="10">
        <f t="shared" si="510"/>
        <v>0</v>
      </c>
      <c r="AL79" s="75"/>
      <c r="AM79" s="76"/>
      <c r="AN79" s="23"/>
      <c r="AO79" s="28"/>
      <c r="AP79" s="7">
        <f t="shared" si="512"/>
        <v>0</v>
      </c>
      <c r="AQ79" s="56"/>
      <c r="AR79" s="57"/>
      <c r="AS79" s="20"/>
      <c r="AT79" s="7">
        <f t="shared" si="514"/>
        <v>0</v>
      </c>
      <c r="AU79" s="56"/>
      <c r="AV79" s="57"/>
      <c r="AW79" s="20"/>
      <c r="AX79" s="10">
        <f t="shared" si="516"/>
        <v>0</v>
      </c>
      <c r="AY79" s="75"/>
      <c r="AZ79" s="76"/>
      <c r="BA79" s="23"/>
      <c r="BB79" s="28"/>
      <c r="BC79" s="7">
        <f t="shared" si="518"/>
        <v>0</v>
      </c>
      <c r="BD79" s="56"/>
      <c r="BE79" s="57"/>
      <c r="BF79" s="20"/>
      <c r="BG79" s="7">
        <f t="shared" si="520"/>
        <v>0</v>
      </c>
      <c r="BH79" s="56"/>
      <c r="BI79" s="57"/>
      <c r="BJ79" s="20"/>
      <c r="BK79" s="10">
        <f t="shared" si="522"/>
        <v>0</v>
      </c>
      <c r="BL79" s="75"/>
      <c r="BM79" s="76"/>
      <c r="BN79" s="23"/>
      <c r="BO79" s="28"/>
      <c r="BP79" s="7">
        <f t="shared" si="524"/>
        <v>0</v>
      </c>
      <c r="BQ79" s="56"/>
      <c r="BR79" s="57"/>
      <c r="BS79" s="20"/>
      <c r="BT79" s="7">
        <f t="shared" si="526"/>
        <v>0</v>
      </c>
      <c r="BU79" s="56"/>
      <c r="BV79" s="57"/>
      <c r="BW79" s="20"/>
      <c r="BX79" s="10">
        <f t="shared" si="528"/>
        <v>0</v>
      </c>
      <c r="BY79" s="75"/>
      <c r="BZ79" s="76"/>
      <c r="CA79" s="23"/>
      <c r="CB79" s="28"/>
      <c r="CC79" s="7">
        <f t="shared" si="530"/>
        <v>0</v>
      </c>
      <c r="CD79" s="56"/>
      <c r="CE79" s="57"/>
      <c r="CF79" s="20"/>
      <c r="CG79" s="7">
        <f t="shared" si="532"/>
        <v>0</v>
      </c>
      <c r="CH79" s="56"/>
      <c r="CI79" s="57"/>
      <c r="CJ79" s="20"/>
      <c r="CK79" s="10">
        <f t="shared" si="534"/>
        <v>0</v>
      </c>
      <c r="CL79" s="75"/>
      <c r="CM79" s="76"/>
      <c r="CN79" s="23"/>
      <c r="CO79" s="28"/>
      <c r="CP79" s="7">
        <f t="shared" si="536"/>
        <v>0</v>
      </c>
      <c r="CQ79" s="56"/>
      <c r="CR79" s="57"/>
      <c r="CS79" s="20"/>
      <c r="CT79" s="7">
        <f t="shared" si="538"/>
        <v>0</v>
      </c>
      <c r="CU79" s="56"/>
      <c r="CV79" s="57"/>
      <c r="CW79" s="20"/>
      <c r="CX79" s="10">
        <f t="shared" si="540"/>
        <v>0</v>
      </c>
      <c r="CY79" s="75"/>
      <c r="CZ79" s="76"/>
      <c r="DA79" s="23"/>
      <c r="DB79" s="28"/>
      <c r="DC79" s="7">
        <f t="shared" si="542"/>
        <v>0</v>
      </c>
      <c r="DD79" s="56"/>
      <c r="DE79" s="57"/>
      <c r="DF79" s="20"/>
      <c r="DG79" s="7">
        <f t="shared" si="544"/>
        <v>0</v>
      </c>
      <c r="DH79" s="56"/>
      <c r="DI79" s="57"/>
      <c r="DJ79" s="20"/>
      <c r="DK79" s="10">
        <f t="shared" si="546"/>
        <v>0</v>
      </c>
      <c r="DL79" s="75"/>
      <c r="DM79" s="76"/>
      <c r="DN79" s="23"/>
      <c r="DO79" s="28"/>
      <c r="DP79" s="7">
        <f t="shared" si="548"/>
        <v>0</v>
      </c>
      <c r="DQ79" s="56"/>
      <c r="DR79" s="57"/>
      <c r="DS79" s="20"/>
      <c r="DT79" s="7">
        <f t="shared" si="550"/>
        <v>0</v>
      </c>
      <c r="DU79" s="56"/>
      <c r="DV79" s="57"/>
      <c r="DW79" s="20"/>
      <c r="DX79" s="10">
        <f t="shared" si="552"/>
        <v>0</v>
      </c>
      <c r="DY79" s="75"/>
      <c r="DZ79" s="76"/>
      <c r="EA79" s="23"/>
      <c r="EB79" s="28"/>
      <c r="EC79" s="7">
        <f t="shared" si="554"/>
        <v>0</v>
      </c>
      <c r="ED79" s="56"/>
      <c r="EE79" s="57"/>
      <c r="EF79" s="20"/>
      <c r="EG79" s="7">
        <f t="shared" si="556"/>
        <v>0</v>
      </c>
      <c r="EH79" s="56"/>
      <c r="EI79" s="57"/>
      <c r="EJ79" s="20"/>
      <c r="EK79" s="10">
        <f t="shared" si="558"/>
        <v>0</v>
      </c>
      <c r="EL79" s="75"/>
      <c r="EM79" s="76"/>
      <c r="EN79" s="23"/>
    </row>
    <row r="80" spans="2:144" outlineLevel="1" x14ac:dyDescent="0.3">
      <c r="B80" s="33" t="s">
        <v>29</v>
      </c>
      <c r="C80" s="37">
        <f t="shared" si="494"/>
        <v>0</v>
      </c>
      <c r="D80" s="60"/>
      <c r="E80" s="61"/>
      <c r="F80" s="36"/>
      <c r="G80" s="37">
        <f t="shared" si="496"/>
        <v>1239</v>
      </c>
      <c r="H80" s="60">
        <v>1239</v>
      </c>
      <c r="I80" s="61"/>
      <c r="J80" s="36"/>
      <c r="K80" s="34">
        <f t="shared" si="498"/>
        <v>1049</v>
      </c>
      <c r="L80" s="65">
        <v>1049</v>
      </c>
      <c r="M80" s="66"/>
      <c r="N80" s="39"/>
      <c r="O80" s="33" t="s">
        <v>29</v>
      </c>
      <c r="P80" s="37">
        <f t="shared" si="500"/>
        <v>1176</v>
      </c>
      <c r="Q80" s="60">
        <v>1176</v>
      </c>
      <c r="R80" s="61"/>
      <c r="S80" s="36"/>
      <c r="T80" s="37">
        <f t="shared" si="502"/>
        <v>0</v>
      </c>
      <c r="U80" s="60"/>
      <c r="V80" s="61"/>
      <c r="W80" s="36"/>
      <c r="X80" s="34">
        <f t="shared" si="504"/>
        <v>1176</v>
      </c>
      <c r="Y80" s="65">
        <v>1176</v>
      </c>
      <c r="Z80" s="66"/>
      <c r="AA80" s="39"/>
      <c r="AB80" s="33" t="s">
        <v>29</v>
      </c>
      <c r="AC80" s="37">
        <f t="shared" si="506"/>
        <v>0</v>
      </c>
      <c r="AD80" s="60"/>
      <c r="AE80" s="61"/>
      <c r="AF80" s="36"/>
      <c r="AG80" s="37">
        <f t="shared" si="508"/>
        <v>0</v>
      </c>
      <c r="AH80" s="60"/>
      <c r="AI80" s="61"/>
      <c r="AJ80" s="36"/>
      <c r="AK80" s="34">
        <f t="shared" si="510"/>
        <v>0</v>
      </c>
      <c r="AL80" s="65"/>
      <c r="AM80" s="66"/>
      <c r="AN80" s="39"/>
      <c r="AO80" s="33" t="s">
        <v>29</v>
      </c>
      <c r="AP80" s="37">
        <f t="shared" si="512"/>
        <v>1192</v>
      </c>
      <c r="AQ80" s="60">
        <v>1192</v>
      </c>
      <c r="AR80" s="61"/>
      <c r="AS80" s="36"/>
      <c r="AT80" s="37">
        <f t="shared" si="514"/>
        <v>0</v>
      </c>
      <c r="AU80" s="60"/>
      <c r="AV80" s="61"/>
      <c r="AW80" s="36"/>
      <c r="AX80" s="34">
        <f t="shared" si="516"/>
        <v>0</v>
      </c>
      <c r="AY80" s="65"/>
      <c r="AZ80" s="66"/>
      <c r="BA80" s="39"/>
      <c r="BB80" s="33" t="s">
        <v>29</v>
      </c>
      <c r="BC80" s="37">
        <f t="shared" si="518"/>
        <v>1263</v>
      </c>
      <c r="BD80" s="60">
        <v>1263</v>
      </c>
      <c r="BE80" s="61"/>
      <c r="BF80" s="36"/>
      <c r="BG80" s="37">
        <f t="shared" si="520"/>
        <v>1099</v>
      </c>
      <c r="BH80" s="60">
        <v>1099</v>
      </c>
      <c r="BI80" s="61"/>
      <c r="BJ80" s="36"/>
      <c r="BK80" s="34">
        <f t="shared" si="522"/>
        <v>0</v>
      </c>
      <c r="BL80" s="65"/>
      <c r="BM80" s="66"/>
      <c r="BN80" s="39"/>
      <c r="BO80" s="33" t="s">
        <v>29</v>
      </c>
      <c r="BP80" s="37">
        <f t="shared" si="524"/>
        <v>1242</v>
      </c>
      <c r="BQ80" s="60">
        <v>1242</v>
      </c>
      <c r="BR80" s="61"/>
      <c r="BS80" s="36"/>
      <c r="BT80" s="37">
        <f t="shared" si="526"/>
        <v>0</v>
      </c>
      <c r="BU80" s="60"/>
      <c r="BV80" s="61"/>
      <c r="BW80" s="36"/>
      <c r="BX80" s="34">
        <f t="shared" si="528"/>
        <v>0</v>
      </c>
      <c r="BY80" s="65"/>
      <c r="BZ80" s="66"/>
      <c r="CA80" s="39"/>
      <c r="CB80" s="33" t="s">
        <v>29</v>
      </c>
      <c r="CC80" s="37">
        <f t="shared" si="530"/>
        <v>0</v>
      </c>
      <c r="CD80" s="60"/>
      <c r="CE80" s="61"/>
      <c r="CF80" s="36"/>
      <c r="CG80" s="37">
        <f t="shared" si="532"/>
        <v>0</v>
      </c>
      <c r="CH80" s="60"/>
      <c r="CI80" s="61"/>
      <c r="CJ80" s="36"/>
      <c r="CK80" s="34">
        <f t="shared" si="534"/>
        <v>0</v>
      </c>
      <c r="CL80" s="65"/>
      <c r="CM80" s="66"/>
      <c r="CN80" s="39"/>
      <c r="CO80" s="33" t="s">
        <v>29</v>
      </c>
      <c r="CP80" s="37">
        <f t="shared" si="536"/>
        <v>1242</v>
      </c>
      <c r="CQ80" s="60">
        <v>1242</v>
      </c>
      <c r="CR80" s="61"/>
      <c r="CS80" s="36"/>
      <c r="CT80" s="37">
        <f t="shared" si="538"/>
        <v>1099</v>
      </c>
      <c r="CU80" s="60">
        <v>1099</v>
      </c>
      <c r="CV80" s="61"/>
      <c r="CW80" s="36"/>
      <c r="CX80" s="34">
        <f t="shared" si="540"/>
        <v>0</v>
      </c>
      <c r="CY80" s="65"/>
      <c r="CZ80" s="66"/>
      <c r="DA80" s="39"/>
      <c r="DB80" s="33" t="s">
        <v>29</v>
      </c>
      <c r="DC80" s="37">
        <f t="shared" si="542"/>
        <v>1242</v>
      </c>
      <c r="DD80" s="60">
        <v>1242</v>
      </c>
      <c r="DE80" s="61"/>
      <c r="DF80" s="36"/>
      <c r="DG80" s="37">
        <f t="shared" si="544"/>
        <v>1099</v>
      </c>
      <c r="DH80" s="60">
        <v>1099</v>
      </c>
      <c r="DI80" s="61"/>
      <c r="DJ80" s="36"/>
      <c r="DK80" s="34">
        <f t="shared" si="546"/>
        <v>1049</v>
      </c>
      <c r="DL80" s="65">
        <v>1049</v>
      </c>
      <c r="DM80" s="66"/>
      <c r="DN80" s="39"/>
      <c r="DO80" s="33" t="s">
        <v>29</v>
      </c>
      <c r="DP80" s="37">
        <f t="shared" si="548"/>
        <v>1231</v>
      </c>
      <c r="DQ80" s="60">
        <v>1231</v>
      </c>
      <c r="DR80" s="61"/>
      <c r="DS80" s="36"/>
      <c r="DT80" s="37">
        <f t="shared" si="550"/>
        <v>1099</v>
      </c>
      <c r="DU80" s="60">
        <v>1099</v>
      </c>
      <c r="DV80" s="61"/>
      <c r="DW80" s="36"/>
      <c r="DX80" s="34">
        <f t="shared" si="552"/>
        <v>899</v>
      </c>
      <c r="DY80" s="65">
        <v>899</v>
      </c>
      <c r="DZ80" s="66"/>
      <c r="EA80" s="39"/>
      <c r="EB80" s="33" t="s">
        <v>29</v>
      </c>
      <c r="EC80" s="37">
        <f t="shared" si="554"/>
        <v>1231</v>
      </c>
      <c r="ED80" s="60">
        <v>1231</v>
      </c>
      <c r="EE80" s="61"/>
      <c r="EF80" s="36"/>
      <c r="EG80" s="37">
        <f t="shared" si="556"/>
        <v>1099</v>
      </c>
      <c r="EH80" s="60">
        <v>1099</v>
      </c>
      <c r="EI80" s="61"/>
      <c r="EJ80" s="36"/>
      <c r="EK80" s="34">
        <f t="shared" si="558"/>
        <v>899</v>
      </c>
      <c r="EL80" s="65">
        <v>899</v>
      </c>
      <c r="EM80" s="66"/>
      <c r="EN80" s="39"/>
    </row>
    <row r="81" spans="2:144" outlineLevel="1" x14ac:dyDescent="0.3">
      <c r="B81" s="33" t="s">
        <v>28</v>
      </c>
      <c r="C81" s="37">
        <f t="shared" si="494"/>
        <v>804</v>
      </c>
      <c r="D81" s="60">
        <v>804</v>
      </c>
      <c r="E81" s="61"/>
      <c r="F81" s="36"/>
      <c r="G81" s="37">
        <f t="shared" si="496"/>
        <v>799</v>
      </c>
      <c r="H81" s="60">
        <v>799</v>
      </c>
      <c r="I81" s="61"/>
      <c r="J81" s="36"/>
      <c r="K81" s="34">
        <f t="shared" si="498"/>
        <v>804</v>
      </c>
      <c r="L81" s="65">
        <v>804</v>
      </c>
      <c r="M81" s="66"/>
      <c r="N81" s="39"/>
      <c r="O81" s="33" t="s">
        <v>28</v>
      </c>
      <c r="P81" s="37">
        <f t="shared" si="500"/>
        <v>771</v>
      </c>
      <c r="Q81" s="60">
        <v>771</v>
      </c>
      <c r="R81" s="61"/>
      <c r="S81" s="36"/>
      <c r="T81" s="37">
        <f t="shared" si="502"/>
        <v>699</v>
      </c>
      <c r="U81" s="60">
        <v>699</v>
      </c>
      <c r="V81" s="61"/>
      <c r="W81" s="36"/>
      <c r="X81" s="34">
        <f t="shared" si="504"/>
        <v>771</v>
      </c>
      <c r="Y81" s="65">
        <v>771</v>
      </c>
      <c r="Z81" s="66"/>
      <c r="AA81" s="39"/>
      <c r="AB81" s="33" t="s">
        <v>28</v>
      </c>
      <c r="AC81" s="37">
        <f t="shared" si="506"/>
        <v>0</v>
      </c>
      <c r="AD81" s="60"/>
      <c r="AE81" s="61"/>
      <c r="AF81" s="36"/>
      <c r="AG81" s="37">
        <f t="shared" si="508"/>
        <v>0</v>
      </c>
      <c r="AH81" s="60"/>
      <c r="AI81" s="61"/>
      <c r="AJ81" s="36"/>
      <c r="AK81" s="34">
        <f t="shared" si="510"/>
        <v>0</v>
      </c>
      <c r="AL81" s="65"/>
      <c r="AM81" s="66"/>
      <c r="AN81" s="39"/>
      <c r="AO81" s="33" t="s">
        <v>28</v>
      </c>
      <c r="AP81" s="37">
        <f t="shared" si="512"/>
        <v>743</v>
      </c>
      <c r="AQ81" s="60">
        <v>743</v>
      </c>
      <c r="AR81" s="61"/>
      <c r="AS81" s="36"/>
      <c r="AT81" s="37">
        <f t="shared" si="514"/>
        <v>0</v>
      </c>
      <c r="AU81" s="60"/>
      <c r="AV81" s="61"/>
      <c r="AW81" s="36"/>
      <c r="AX81" s="34">
        <f t="shared" si="516"/>
        <v>0</v>
      </c>
      <c r="AY81" s="65"/>
      <c r="AZ81" s="66"/>
      <c r="BA81" s="39"/>
      <c r="BB81" s="33" t="s">
        <v>28</v>
      </c>
      <c r="BC81" s="37">
        <f t="shared" si="518"/>
        <v>735</v>
      </c>
      <c r="BD81" s="60">
        <v>735</v>
      </c>
      <c r="BE81" s="61"/>
      <c r="BF81" s="36"/>
      <c r="BG81" s="37">
        <f t="shared" si="520"/>
        <v>699</v>
      </c>
      <c r="BH81" s="60">
        <v>699</v>
      </c>
      <c r="BI81" s="61"/>
      <c r="BJ81" s="36"/>
      <c r="BK81" s="34">
        <f t="shared" si="522"/>
        <v>0</v>
      </c>
      <c r="BL81" s="65"/>
      <c r="BM81" s="66"/>
      <c r="BN81" s="39"/>
      <c r="BO81" s="33" t="s">
        <v>28</v>
      </c>
      <c r="BP81" s="37">
        <f t="shared" si="524"/>
        <v>759</v>
      </c>
      <c r="BQ81" s="60">
        <v>759</v>
      </c>
      <c r="BR81" s="61"/>
      <c r="BS81" s="36"/>
      <c r="BT81" s="37">
        <f t="shared" si="526"/>
        <v>0</v>
      </c>
      <c r="BU81" s="60"/>
      <c r="BV81" s="61"/>
      <c r="BW81" s="36"/>
      <c r="BX81" s="34">
        <f t="shared" si="528"/>
        <v>699</v>
      </c>
      <c r="BY81" s="65">
        <v>699</v>
      </c>
      <c r="BZ81" s="66"/>
      <c r="CA81" s="39"/>
      <c r="CB81" s="33" t="s">
        <v>28</v>
      </c>
      <c r="CC81" s="37">
        <f t="shared" si="530"/>
        <v>0</v>
      </c>
      <c r="CD81" s="60"/>
      <c r="CE81" s="61"/>
      <c r="CF81" s="36"/>
      <c r="CG81" s="37">
        <f t="shared" si="532"/>
        <v>0</v>
      </c>
      <c r="CH81" s="60"/>
      <c r="CI81" s="61"/>
      <c r="CJ81" s="36"/>
      <c r="CK81" s="34">
        <f t="shared" si="534"/>
        <v>0</v>
      </c>
      <c r="CL81" s="65"/>
      <c r="CM81" s="66"/>
      <c r="CN81" s="39"/>
      <c r="CO81" s="33" t="s">
        <v>28</v>
      </c>
      <c r="CP81" s="37">
        <f t="shared" si="536"/>
        <v>699</v>
      </c>
      <c r="CQ81" s="60">
        <v>699</v>
      </c>
      <c r="CR81" s="61"/>
      <c r="CS81" s="36"/>
      <c r="CT81" s="37">
        <f t="shared" si="538"/>
        <v>699</v>
      </c>
      <c r="CU81" s="60">
        <v>699</v>
      </c>
      <c r="CV81" s="61"/>
      <c r="CW81" s="36"/>
      <c r="CX81" s="34">
        <f t="shared" si="540"/>
        <v>0</v>
      </c>
      <c r="CY81" s="65"/>
      <c r="CZ81" s="66"/>
      <c r="DA81" s="39"/>
      <c r="DB81" s="33" t="s">
        <v>28</v>
      </c>
      <c r="DC81" s="37">
        <f t="shared" si="542"/>
        <v>699</v>
      </c>
      <c r="DD81" s="60">
        <v>699</v>
      </c>
      <c r="DE81" s="61"/>
      <c r="DF81" s="36"/>
      <c r="DG81" s="37">
        <f t="shared" si="544"/>
        <v>699</v>
      </c>
      <c r="DH81" s="60">
        <v>699</v>
      </c>
      <c r="DI81" s="61"/>
      <c r="DJ81" s="36"/>
      <c r="DK81" s="34">
        <f t="shared" si="546"/>
        <v>669</v>
      </c>
      <c r="DL81" s="65">
        <v>669</v>
      </c>
      <c r="DM81" s="66"/>
      <c r="DN81" s="39"/>
      <c r="DO81" s="33" t="s">
        <v>28</v>
      </c>
      <c r="DP81" s="37">
        <f t="shared" si="548"/>
        <v>669</v>
      </c>
      <c r="DQ81" s="60">
        <v>669</v>
      </c>
      <c r="DR81" s="61"/>
      <c r="DS81" s="36"/>
      <c r="DT81" s="37">
        <f t="shared" si="550"/>
        <v>799</v>
      </c>
      <c r="DU81" s="60">
        <v>799</v>
      </c>
      <c r="DV81" s="61"/>
      <c r="DW81" s="36"/>
      <c r="DX81" s="34">
        <f t="shared" si="552"/>
        <v>669</v>
      </c>
      <c r="DY81" s="65">
        <v>669</v>
      </c>
      <c r="DZ81" s="66"/>
      <c r="EA81" s="39"/>
      <c r="EB81" s="33" t="s">
        <v>28</v>
      </c>
      <c r="EC81" s="37">
        <f t="shared" si="554"/>
        <v>669</v>
      </c>
      <c r="ED81" s="60">
        <v>669</v>
      </c>
      <c r="EE81" s="61"/>
      <c r="EF81" s="36"/>
      <c r="EG81" s="37">
        <f t="shared" si="556"/>
        <v>799</v>
      </c>
      <c r="EH81" s="60">
        <v>799</v>
      </c>
      <c r="EI81" s="61"/>
      <c r="EJ81" s="36"/>
      <c r="EK81" s="34">
        <f t="shared" si="558"/>
        <v>669</v>
      </c>
      <c r="EL81" s="65">
        <v>669</v>
      </c>
      <c r="EM81" s="66"/>
      <c r="EN81" s="39"/>
    </row>
    <row r="82" spans="2:144" outlineLevel="1" x14ac:dyDescent="0.3">
      <c r="B82" s="33" t="s">
        <v>27</v>
      </c>
      <c r="C82" s="37">
        <f t="shared" si="494"/>
        <v>599</v>
      </c>
      <c r="D82" s="56">
        <v>599</v>
      </c>
      <c r="E82" s="61"/>
      <c r="F82" s="36"/>
      <c r="G82" s="37">
        <f t="shared" si="496"/>
        <v>649</v>
      </c>
      <c r="H82" s="56">
        <v>649</v>
      </c>
      <c r="I82" s="61"/>
      <c r="J82" s="36"/>
      <c r="K82" s="34">
        <f t="shared" si="498"/>
        <v>539</v>
      </c>
      <c r="L82" s="65">
        <v>539</v>
      </c>
      <c r="M82" s="66"/>
      <c r="N82" s="39"/>
      <c r="O82" s="33" t="s">
        <v>27</v>
      </c>
      <c r="P82" s="37">
        <f t="shared" si="500"/>
        <v>599</v>
      </c>
      <c r="Q82" s="56">
        <v>599</v>
      </c>
      <c r="R82" s="61"/>
      <c r="S82" s="36"/>
      <c r="T82" s="37">
        <f t="shared" si="502"/>
        <v>599</v>
      </c>
      <c r="U82" s="56">
        <v>599</v>
      </c>
      <c r="V82" s="61"/>
      <c r="W82" s="36"/>
      <c r="X82" s="34">
        <f t="shared" si="504"/>
        <v>613</v>
      </c>
      <c r="Y82" s="65">
        <v>613</v>
      </c>
      <c r="Z82" s="66"/>
      <c r="AA82" s="39"/>
      <c r="AB82" s="33" t="s">
        <v>27</v>
      </c>
      <c r="AC82" s="37">
        <f t="shared" si="506"/>
        <v>0</v>
      </c>
      <c r="AD82" s="56"/>
      <c r="AE82" s="61"/>
      <c r="AF82" s="36"/>
      <c r="AG82" s="37">
        <f t="shared" si="508"/>
        <v>0</v>
      </c>
      <c r="AH82" s="56"/>
      <c r="AI82" s="61"/>
      <c r="AJ82" s="36"/>
      <c r="AK82" s="34">
        <f t="shared" si="510"/>
        <v>0</v>
      </c>
      <c r="AL82" s="65"/>
      <c r="AM82" s="66"/>
      <c r="AN82" s="39"/>
      <c r="AO82" s="33" t="s">
        <v>27</v>
      </c>
      <c r="AP82" s="37">
        <f t="shared" si="512"/>
        <v>599</v>
      </c>
      <c r="AQ82" s="56">
        <v>599</v>
      </c>
      <c r="AR82" s="61"/>
      <c r="AS82" s="36"/>
      <c r="AT82" s="37">
        <f t="shared" si="514"/>
        <v>0</v>
      </c>
      <c r="AU82" s="56"/>
      <c r="AV82" s="61"/>
      <c r="AW82" s="36"/>
      <c r="AX82" s="34">
        <f t="shared" si="516"/>
        <v>0</v>
      </c>
      <c r="AY82" s="65"/>
      <c r="AZ82" s="66"/>
      <c r="BA82" s="39"/>
      <c r="BB82" s="33" t="s">
        <v>27</v>
      </c>
      <c r="BC82" s="37">
        <f t="shared" si="518"/>
        <v>590</v>
      </c>
      <c r="BD82" s="56">
        <v>590</v>
      </c>
      <c r="BE82" s="61"/>
      <c r="BF82" s="36"/>
      <c r="BG82" s="37">
        <f t="shared" si="520"/>
        <v>579</v>
      </c>
      <c r="BH82" s="56">
        <v>579</v>
      </c>
      <c r="BI82" s="61"/>
      <c r="BJ82" s="36"/>
      <c r="BK82" s="34">
        <f t="shared" si="522"/>
        <v>0</v>
      </c>
      <c r="BL82" s="65"/>
      <c r="BM82" s="66"/>
      <c r="BN82" s="39"/>
      <c r="BO82" s="33" t="s">
        <v>27</v>
      </c>
      <c r="BP82" s="37">
        <f t="shared" si="524"/>
        <v>590</v>
      </c>
      <c r="BQ82" s="56">
        <v>590</v>
      </c>
      <c r="BR82" s="61"/>
      <c r="BS82" s="36"/>
      <c r="BT82" s="37">
        <f t="shared" si="526"/>
        <v>0</v>
      </c>
      <c r="BU82" s="56"/>
      <c r="BV82" s="61"/>
      <c r="BW82" s="36"/>
      <c r="BX82" s="34">
        <f t="shared" si="528"/>
        <v>579</v>
      </c>
      <c r="BY82" s="65">
        <v>579</v>
      </c>
      <c r="BZ82" s="66"/>
      <c r="CA82" s="39"/>
      <c r="CB82" s="33" t="s">
        <v>27</v>
      </c>
      <c r="CC82" s="37">
        <f t="shared" si="530"/>
        <v>0</v>
      </c>
      <c r="CD82" s="56"/>
      <c r="CE82" s="61"/>
      <c r="CF82" s="36"/>
      <c r="CG82" s="37">
        <f t="shared" si="532"/>
        <v>0</v>
      </c>
      <c r="CH82" s="56"/>
      <c r="CI82" s="61"/>
      <c r="CJ82" s="36"/>
      <c r="CK82" s="34">
        <f t="shared" si="534"/>
        <v>0</v>
      </c>
      <c r="CL82" s="65"/>
      <c r="CM82" s="66"/>
      <c r="CN82" s="39"/>
      <c r="CO82" s="33" t="s">
        <v>27</v>
      </c>
      <c r="CP82" s="37">
        <f t="shared" si="536"/>
        <v>590</v>
      </c>
      <c r="CQ82" s="56">
        <v>590</v>
      </c>
      <c r="CR82" s="61"/>
      <c r="CS82" s="36"/>
      <c r="CT82" s="37">
        <f t="shared" si="538"/>
        <v>599</v>
      </c>
      <c r="CU82" s="56">
        <v>599</v>
      </c>
      <c r="CV82" s="61"/>
      <c r="CW82" s="36"/>
      <c r="CX82" s="34">
        <f t="shared" si="540"/>
        <v>0</v>
      </c>
      <c r="CY82" s="65"/>
      <c r="CZ82" s="66"/>
      <c r="DA82" s="39"/>
      <c r="DB82" s="33" t="s">
        <v>27</v>
      </c>
      <c r="DC82" s="37">
        <f t="shared" si="542"/>
        <v>590</v>
      </c>
      <c r="DD82" s="56">
        <v>590</v>
      </c>
      <c r="DE82" s="61"/>
      <c r="DF82" s="36"/>
      <c r="DG82" s="37">
        <f t="shared" si="544"/>
        <v>599</v>
      </c>
      <c r="DH82" s="56">
        <v>599</v>
      </c>
      <c r="DI82" s="61"/>
      <c r="DJ82" s="36"/>
      <c r="DK82" s="34">
        <f t="shared" si="546"/>
        <v>579</v>
      </c>
      <c r="DL82" s="65">
        <v>579</v>
      </c>
      <c r="DM82" s="66"/>
      <c r="DN82" s="39"/>
      <c r="DO82" s="33" t="s">
        <v>27</v>
      </c>
      <c r="DP82" s="37">
        <f t="shared" si="548"/>
        <v>590</v>
      </c>
      <c r="DQ82" s="56">
        <v>590</v>
      </c>
      <c r="DR82" s="61"/>
      <c r="DS82" s="36"/>
      <c r="DT82" s="37">
        <f t="shared" si="550"/>
        <v>649</v>
      </c>
      <c r="DU82" s="56">
        <v>649</v>
      </c>
      <c r="DV82" s="61"/>
      <c r="DW82" s="36"/>
      <c r="DX82" s="34">
        <f t="shared" si="552"/>
        <v>579</v>
      </c>
      <c r="DY82" s="65">
        <v>579</v>
      </c>
      <c r="DZ82" s="66"/>
      <c r="EA82" s="39"/>
      <c r="EB82" s="33" t="s">
        <v>27</v>
      </c>
      <c r="EC82" s="37">
        <f t="shared" si="554"/>
        <v>590</v>
      </c>
      <c r="ED82" s="56">
        <v>590</v>
      </c>
      <c r="EE82" s="61"/>
      <c r="EF82" s="36"/>
      <c r="EG82" s="37">
        <f t="shared" si="556"/>
        <v>649</v>
      </c>
      <c r="EH82" s="56">
        <v>649</v>
      </c>
      <c r="EI82" s="61"/>
      <c r="EJ82" s="36"/>
      <c r="EK82" s="34">
        <f t="shared" si="558"/>
        <v>579</v>
      </c>
      <c r="EL82" s="65">
        <v>579</v>
      </c>
      <c r="EM82" s="66"/>
      <c r="EN82" s="39"/>
    </row>
    <row r="83" spans="2:144" outlineLevel="1" x14ac:dyDescent="0.3">
      <c r="B83" s="33" t="s">
        <v>26</v>
      </c>
      <c r="C83" s="37">
        <f t="shared" si="494"/>
        <v>499</v>
      </c>
      <c r="D83" s="60">
        <v>499</v>
      </c>
      <c r="E83" s="61"/>
      <c r="F83" s="36"/>
      <c r="G83" s="37">
        <f t="shared" si="496"/>
        <v>479</v>
      </c>
      <c r="H83" s="60">
        <v>479</v>
      </c>
      <c r="I83" s="61"/>
      <c r="J83" s="36"/>
      <c r="K83" s="34">
        <f t="shared" si="498"/>
        <v>449</v>
      </c>
      <c r="L83" s="65">
        <v>449</v>
      </c>
      <c r="M83" s="66"/>
      <c r="N83" s="39"/>
      <c r="O83" s="33" t="s">
        <v>26</v>
      </c>
      <c r="P83" s="37">
        <f t="shared" si="500"/>
        <v>449</v>
      </c>
      <c r="Q83" s="60">
        <v>449</v>
      </c>
      <c r="R83" s="61"/>
      <c r="S83" s="36"/>
      <c r="T83" s="37">
        <f t="shared" si="502"/>
        <v>449</v>
      </c>
      <c r="U83" s="60">
        <v>449</v>
      </c>
      <c r="V83" s="61"/>
      <c r="W83" s="36"/>
      <c r="X83" s="34">
        <f t="shared" si="504"/>
        <v>488</v>
      </c>
      <c r="Y83" s="65">
        <v>488</v>
      </c>
      <c r="Z83" s="66"/>
      <c r="AA83" s="39"/>
      <c r="AB83" s="33" t="s">
        <v>26</v>
      </c>
      <c r="AC83" s="37">
        <f t="shared" si="506"/>
        <v>0</v>
      </c>
      <c r="AD83" s="60"/>
      <c r="AE83" s="61"/>
      <c r="AF83" s="36"/>
      <c r="AG83" s="37">
        <f t="shared" si="508"/>
        <v>0</v>
      </c>
      <c r="AH83" s="60"/>
      <c r="AI83" s="61"/>
      <c r="AJ83" s="36"/>
      <c r="AK83" s="34">
        <f t="shared" si="510"/>
        <v>0</v>
      </c>
      <c r="AL83" s="65"/>
      <c r="AM83" s="66"/>
      <c r="AN83" s="39"/>
      <c r="AO83" s="33" t="s">
        <v>26</v>
      </c>
      <c r="AP83" s="37">
        <f t="shared" si="512"/>
        <v>499</v>
      </c>
      <c r="AQ83" s="60">
        <v>499</v>
      </c>
      <c r="AR83" s="61"/>
      <c r="AS83" s="36"/>
      <c r="AT83" s="37">
        <f t="shared" si="514"/>
        <v>0</v>
      </c>
      <c r="AU83" s="60"/>
      <c r="AV83" s="61"/>
      <c r="AW83" s="36"/>
      <c r="AX83" s="34">
        <f t="shared" si="516"/>
        <v>0</v>
      </c>
      <c r="AY83" s="65"/>
      <c r="AZ83" s="66"/>
      <c r="BA83" s="39"/>
      <c r="BB83" s="33" t="s">
        <v>26</v>
      </c>
      <c r="BC83" s="37">
        <f t="shared" si="518"/>
        <v>559</v>
      </c>
      <c r="BD83" s="60">
        <v>559</v>
      </c>
      <c r="BE83" s="61"/>
      <c r="BF83" s="36"/>
      <c r="BG83" s="37">
        <f t="shared" si="520"/>
        <v>499</v>
      </c>
      <c r="BH83" s="60">
        <v>499</v>
      </c>
      <c r="BI83" s="61"/>
      <c r="BJ83" s="36"/>
      <c r="BK83" s="34">
        <f t="shared" si="522"/>
        <v>0</v>
      </c>
      <c r="BL83" s="65"/>
      <c r="BM83" s="66"/>
      <c r="BN83" s="39"/>
      <c r="BO83" s="33" t="s">
        <v>26</v>
      </c>
      <c r="BP83" s="37">
        <f t="shared" si="524"/>
        <v>499</v>
      </c>
      <c r="BQ83" s="60">
        <v>499</v>
      </c>
      <c r="BR83" s="61"/>
      <c r="BS83" s="36"/>
      <c r="BT83" s="37">
        <f t="shared" si="526"/>
        <v>0</v>
      </c>
      <c r="BU83" s="60"/>
      <c r="BV83" s="61"/>
      <c r="BW83" s="36"/>
      <c r="BX83" s="34">
        <f t="shared" si="528"/>
        <v>449</v>
      </c>
      <c r="BY83" s="65">
        <v>449</v>
      </c>
      <c r="BZ83" s="66"/>
      <c r="CA83" s="39"/>
      <c r="CB83" s="33" t="s">
        <v>26</v>
      </c>
      <c r="CC83" s="37">
        <f t="shared" si="530"/>
        <v>0</v>
      </c>
      <c r="CD83" s="60"/>
      <c r="CE83" s="61"/>
      <c r="CF83" s="36"/>
      <c r="CG83" s="37">
        <f t="shared" si="532"/>
        <v>0</v>
      </c>
      <c r="CH83" s="60"/>
      <c r="CI83" s="61"/>
      <c r="CJ83" s="36"/>
      <c r="CK83" s="34">
        <f t="shared" si="534"/>
        <v>0</v>
      </c>
      <c r="CL83" s="65"/>
      <c r="CM83" s="66"/>
      <c r="CN83" s="39"/>
      <c r="CO83" s="33" t="s">
        <v>26</v>
      </c>
      <c r="CP83" s="37">
        <f t="shared" si="536"/>
        <v>499</v>
      </c>
      <c r="CQ83" s="60">
        <v>499</v>
      </c>
      <c r="CR83" s="61"/>
      <c r="CS83" s="36"/>
      <c r="CT83" s="37">
        <f t="shared" si="538"/>
        <v>499</v>
      </c>
      <c r="CU83" s="60">
        <v>499</v>
      </c>
      <c r="CV83" s="61"/>
      <c r="CW83" s="36"/>
      <c r="CX83" s="34">
        <f t="shared" si="540"/>
        <v>0</v>
      </c>
      <c r="CY83" s="65"/>
      <c r="CZ83" s="66"/>
      <c r="DA83" s="39"/>
      <c r="DB83" s="33" t="s">
        <v>26</v>
      </c>
      <c r="DC83" s="37">
        <f t="shared" si="542"/>
        <v>499</v>
      </c>
      <c r="DD83" s="60">
        <v>499</v>
      </c>
      <c r="DE83" s="61"/>
      <c r="DF83" s="36"/>
      <c r="DG83" s="37">
        <f t="shared" si="544"/>
        <v>499</v>
      </c>
      <c r="DH83" s="60">
        <v>499</v>
      </c>
      <c r="DI83" s="61"/>
      <c r="DJ83" s="36"/>
      <c r="DK83" s="34">
        <f t="shared" si="546"/>
        <v>0</v>
      </c>
      <c r="DL83" s="65"/>
      <c r="DM83" s="66"/>
      <c r="DN83" s="39"/>
      <c r="DO83" s="33" t="s">
        <v>26</v>
      </c>
      <c r="DP83" s="37">
        <f t="shared" si="548"/>
        <v>499</v>
      </c>
      <c r="DQ83" s="60">
        <v>499</v>
      </c>
      <c r="DR83" s="61"/>
      <c r="DS83" s="36"/>
      <c r="DT83" s="37">
        <f t="shared" si="550"/>
        <v>469</v>
      </c>
      <c r="DU83" s="60">
        <v>469</v>
      </c>
      <c r="DV83" s="61"/>
      <c r="DW83" s="36"/>
      <c r="DX83" s="34">
        <f t="shared" si="552"/>
        <v>449</v>
      </c>
      <c r="DY83" s="65">
        <v>449</v>
      </c>
      <c r="DZ83" s="66"/>
      <c r="EA83" s="39"/>
      <c r="EB83" s="33" t="s">
        <v>26</v>
      </c>
      <c r="EC83" s="37">
        <f t="shared" si="554"/>
        <v>499</v>
      </c>
      <c r="ED83" s="60">
        <v>499</v>
      </c>
      <c r="EE83" s="61"/>
      <c r="EF83" s="36"/>
      <c r="EG83" s="37">
        <f t="shared" si="556"/>
        <v>469</v>
      </c>
      <c r="EH83" s="60">
        <v>469</v>
      </c>
      <c r="EI83" s="61"/>
      <c r="EJ83" s="36"/>
      <c r="EK83" s="34">
        <f t="shared" si="558"/>
        <v>449</v>
      </c>
      <c r="EL83" s="65">
        <v>449</v>
      </c>
      <c r="EM83" s="66"/>
      <c r="EN83" s="39"/>
    </row>
    <row r="84" spans="2:144" outlineLevel="1" x14ac:dyDescent="0.3">
      <c r="B84" s="33" t="s">
        <v>25</v>
      </c>
      <c r="C84" s="37">
        <f t="shared" si="494"/>
        <v>449</v>
      </c>
      <c r="D84" s="60">
        <v>449</v>
      </c>
      <c r="E84" s="61"/>
      <c r="F84" s="36"/>
      <c r="G84" s="37">
        <f t="shared" si="496"/>
        <v>419</v>
      </c>
      <c r="H84" s="60">
        <v>419</v>
      </c>
      <c r="I84" s="61"/>
      <c r="J84" s="36"/>
      <c r="K84" s="34">
        <f t="shared" si="498"/>
        <v>468</v>
      </c>
      <c r="L84" s="65">
        <v>468</v>
      </c>
      <c r="M84" s="66"/>
      <c r="N84" s="39"/>
      <c r="O84" s="33" t="s">
        <v>25</v>
      </c>
      <c r="P84" s="37">
        <f t="shared" si="500"/>
        <v>399</v>
      </c>
      <c r="Q84" s="60">
        <v>399</v>
      </c>
      <c r="R84" s="61"/>
      <c r="S84" s="36"/>
      <c r="T84" s="37">
        <f t="shared" si="502"/>
        <v>399</v>
      </c>
      <c r="U84" s="60">
        <v>399</v>
      </c>
      <c r="V84" s="61"/>
      <c r="W84" s="36"/>
      <c r="X84" s="34">
        <f t="shared" si="504"/>
        <v>458</v>
      </c>
      <c r="Y84" s="65">
        <v>458</v>
      </c>
      <c r="Z84" s="66"/>
      <c r="AA84" s="39"/>
      <c r="AB84" s="33" t="s">
        <v>25</v>
      </c>
      <c r="AC84" s="37">
        <f t="shared" si="506"/>
        <v>0</v>
      </c>
      <c r="AD84" s="60"/>
      <c r="AE84" s="61"/>
      <c r="AF84" s="36"/>
      <c r="AG84" s="37">
        <f t="shared" si="508"/>
        <v>0</v>
      </c>
      <c r="AH84" s="60"/>
      <c r="AI84" s="61"/>
      <c r="AJ84" s="36"/>
      <c r="AK84" s="34">
        <f t="shared" si="510"/>
        <v>0</v>
      </c>
      <c r="AL84" s="65"/>
      <c r="AM84" s="66"/>
      <c r="AN84" s="39"/>
      <c r="AO84" s="33" t="s">
        <v>25</v>
      </c>
      <c r="AP84" s="37">
        <f t="shared" si="512"/>
        <v>449</v>
      </c>
      <c r="AQ84" s="60">
        <v>449</v>
      </c>
      <c r="AR84" s="61"/>
      <c r="AS84" s="36"/>
      <c r="AT84" s="37">
        <f t="shared" si="514"/>
        <v>0</v>
      </c>
      <c r="AU84" s="60"/>
      <c r="AV84" s="61"/>
      <c r="AW84" s="36"/>
      <c r="AX84" s="34">
        <f t="shared" si="516"/>
        <v>0</v>
      </c>
      <c r="AY84" s="65"/>
      <c r="AZ84" s="66"/>
      <c r="BA84" s="39"/>
      <c r="BB84" s="33" t="s">
        <v>25</v>
      </c>
      <c r="BC84" s="37">
        <f t="shared" si="518"/>
        <v>369</v>
      </c>
      <c r="BD84" s="60">
        <v>369</v>
      </c>
      <c r="BE84" s="61"/>
      <c r="BF84" s="36"/>
      <c r="BG84" s="37">
        <f t="shared" si="520"/>
        <v>399</v>
      </c>
      <c r="BH84" s="60">
        <v>399</v>
      </c>
      <c r="BI84" s="61"/>
      <c r="BJ84" s="36"/>
      <c r="BK84" s="34">
        <f t="shared" si="522"/>
        <v>0</v>
      </c>
      <c r="BL84" s="65"/>
      <c r="BM84" s="66"/>
      <c r="BN84" s="39"/>
      <c r="BO84" s="33" t="s">
        <v>25</v>
      </c>
      <c r="BP84" s="37">
        <f t="shared" si="524"/>
        <v>369</v>
      </c>
      <c r="BQ84" s="60">
        <v>369</v>
      </c>
      <c r="BR84" s="61"/>
      <c r="BS84" s="36"/>
      <c r="BT84" s="37">
        <f t="shared" si="526"/>
        <v>0</v>
      </c>
      <c r="BU84" s="60"/>
      <c r="BV84" s="61"/>
      <c r="BW84" s="36"/>
      <c r="BX84" s="34">
        <f t="shared" si="528"/>
        <v>399</v>
      </c>
      <c r="BY84" s="65">
        <v>399</v>
      </c>
      <c r="BZ84" s="66"/>
      <c r="CA84" s="39"/>
      <c r="CB84" s="33" t="s">
        <v>25</v>
      </c>
      <c r="CC84" s="37">
        <f t="shared" si="530"/>
        <v>0</v>
      </c>
      <c r="CD84" s="60"/>
      <c r="CE84" s="61"/>
      <c r="CF84" s="36"/>
      <c r="CG84" s="37">
        <f t="shared" si="532"/>
        <v>0</v>
      </c>
      <c r="CH84" s="60"/>
      <c r="CI84" s="61"/>
      <c r="CJ84" s="36"/>
      <c r="CK84" s="34">
        <f t="shared" si="534"/>
        <v>0</v>
      </c>
      <c r="CL84" s="65"/>
      <c r="CM84" s="66"/>
      <c r="CN84" s="39"/>
      <c r="CO84" s="33" t="s">
        <v>25</v>
      </c>
      <c r="CP84" s="37">
        <f t="shared" si="536"/>
        <v>407</v>
      </c>
      <c r="CQ84" s="60">
        <v>407</v>
      </c>
      <c r="CR84" s="61"/>
      <c r="CS84" s="36"/>
      <c r="CT84" s="37">
        <f t="shared" si="538"/>
        <v>399</v>
      </c>
      <c r="CU84" s="60">
        <v>399</v>
      </c>
      <c r="CV84" s="61"/>
      <c r="CW84" s="36"/>
      <c r="CX84" s="34">
        <f t="shared" si="540"/>
        <v>0</v>
      </c>
      <c r="CY84" s="65"/>
      <c r="CZ84" s="66"/>
      <c r="DA84" s="39"/>
      <c r="DB84" s="33" t="s">
        <v>25</v>
      </c>
      <c r="DC84" s="37">
        <f t="shared" si="542"/>
        <v>407</v>
      </c>
      <c r="DD84" s="60">
        <v>407</v>
      </c>
      <c r="DE84" s="61"/>
      <c r="DF84" s="36"/>
      <c r="DG84" s="37">
        <f t="shared" si="544"/>
        <v>399</v>
      </c>
      <c r="DH84" s="60">
        <v>399</v>
      </c>
      <c r="DI84" s="61"/>
      <c r="DJ84" s="36"/>
      <c r="DK84" s="34">
        <f t="shared" si="546"/>
        <v>0</v>
      </c>
      <c r="DL84" s="65"/>
      <c r="DM84" s="66"/>
      <c r="DN84" s="39"/>
      <c r="DO84" s="33" t="s">
        <v>25</v>
      </c>
      <c r="DP84" s="37">
        <f t="shared" si="548"/>
        <v>474</v>
      </c>
      <c r="DQ84" s="60">
        <v>474</v>
      </c>
      <c r="DR84" s="61"/>
      <c r="DS84" s="36"/>
      <c r="DT84" s="37">
        <f t="shared" si="550"/>
        <v>399</v>
      </c>
      <c r="DU84" s="60">
        <v>399</v>
      </c>
      <c r="DV84" s="61"/>
      <c r="DW84" s="36"/>
      <c r="DX84" s="34">
        <f t="shared" si="552"/>
        <v>399</v>
      </c>
      <c r="DY84" s="65">
        <v>399</v>
      </c>
      <c r="DZ84" s="66"/>
      <c r="EA84" s="39"/>
      <c r="EB84" s="33" t="s">
        <v>25</v>
      </c>
      <c r="EC84" s="37">
        <f t="shared" si="554"/>
        <v>474</v>
      </c>
      <c r="ED84" s="60">
        <v>474</v>
      </c>
      <c r="EE84" s="61"/>
      <c r="EF84" s="36"/>
      <c r="EG84" s="37">
        <f t="shared" si="556"/>
        <v>399</v>
      </c>
      <c r="EH84" s="60">
        <v>399</v>
      </c>
      <c r="EI84" s="61"/>
      <c r="EJ84" s="36"/>
      <c r="EK84" s="34">
        <f t="shared" si="558"/>
        <v>399</v>
      </c>
      <c r="EL84" s="65">
        <v>399</v>
      </c>
      <c r="EM84" s="66"/>
      <c r="EN84" s="39"/>
    </row>
    <row r="85" spans="2:144" ht="17.25" outlineLevel="1" thickBot="1" x14ac:dyDescent="0.35">
      <c r="B85" s="42" t="s">
        <v>24</v>
      </c>
      <c r="C85" s="43">
        <f t="shared" si="494"/>
        <v>399</v>
      </c>
      <c r="D85" s="67">
        <v>399</v>
      </c>
      <c r="E85" s="68"/>
      <c r="F85" s="44"/>
      <c r="G85" s="43">
        <f t="shared" si="496"/>
        <v>369</v>
      </c>
      <c r="H85" s="67">
        <v>369</v>
      </c>
      <c r="I85" s="68"/>
      <c r="J85" s="44"/>
      <c r="K85" s="45">
        <f t="shared" si="498"/>
        <v>400</v>
      </c>
      <c r="L85" s="77">
        <v>400</v>
      </c>
      <c r="M85" s="78"/>
      <c r="N85" s="46"/>
      <c r="O85" s="42" t="s">
        <v>24</v>
      </c>
      <c r="P85" s="43">
        <f t="shared" si="500"/>
        <v>349</v>
      </c>
      <c r="Q85" s="67">
        <v>349</v>
      </c>
      <c r="R85" s="68"/>
      <c r="S85" s="44"/>
      <c r="T85" s="43">
        <f t="shared" si="502"/>
        <v>0</v>
      </c>
      <c r="U85" s="67"/>
      <c r="V85" s="68"/>
      <c r="W85" s="44"/>
      <c r="X85" s="45">
        <f t="shared" si="504"/>
        <v>391</v>
      </c>
      <c r="Y85" s="77">
        <v>391</v>
      </c>
      <c r="Z85" s="78"/>
      <c r="AA85" s="46"/>
      <c r="AB85" s="42" t="s">
        <v>24</v>
      </c>
      <c r="AC85" s="43">
        <f t="shared" si="506"/>
        <v>0</v>
      </c>
      <c r="AD85" s="67"/>
      <c r="AE85" s="68"/>
      <c r="AF85" s="44"/>
      <c r="AG85" s="43">
        <f t="shared" si="508"/>
        <v>0</v>
      </c>
      <c r="AH85" s="67"/>
      <c r="AI85" s="68"/>
      <c r="AJ85" s="44"/>
      <c r="AK85" s="45">
        <f t="shared" si="510"/>
        <v>0</v>
      </c>
      <c r="AL85" s="77"/>
      <c r="AM85" s="78"/>
      <c r="AN85" s="46"/>
      <c r="AO85" s="42" t="s">
        <v>24</v>
      </c>
      <c r="AP85" s="43">
        <f t="shared" si="512"/>
        <v>381</v>
      </c>
      <c r="AQ85" s="67">
        <v>381</v>
      </c>
      <c r="AR85" s="68"/>
      <c r="AS85" s="44"/>
      <c r="AT85" s="43">
        <f t="shared" si="514"/>
        <v>0</v>
      </c>
      <c r="AU85" s="67"/>
      <c r="AV85" s="68"/>
      <c r="AW85" s="44"/>
      <c r="AX85" s="45">
        <f t="shared" si="516"/>
        <v>0</v>
      </c>
      <c r="AY85" s="77"/>
      <c r="AZ85" s="78"/>
      <c r="BA85" s="46"/>
      <c r="BB85" s="42" t="s">
        <v>24</v>
      </c>
      <c r="BC85" s="43">
        <f t="shared" si="518"/>
        <v>376</v>
      </c>
      <c r="BD85" s="67">
        <v>376</v>
      </c>
      <c r="BE85" s="68"/>
      <c r="BF85" s="44"/>
      <c r="BG85" s="43">
        <f t="shared" si="520"/>
        <v>349</v>
      </c>
      <c r="BH85" s="67">
        <v>349</v>
      </c>
      <c r="BI85" s="68"/>
      <c r="BJ85" s="44"/>
      <c r="BK85" s="45">
        <f t="shared" si="522"/>
        <v>0</v>
      </c>
      <c r="BL85" s="77"/>
      <c r="BM85" s="78"/>
      <c r="BN85" s="46"/>
      <c r="BO85" s="42" t="s">
        <v>24</v>
      </c>
      <c r="BP85" s="43">
        <f t="shared" si="524"/>
        <v>376</v>
      </c>
      <c r="BQ85" s="67">
        <v>376</v>
      </c>
      <c r="BR85" s="68"/>
      <c r="BS85" s="44"/>
      <c r="BT85" s="43">
        <f t="shared" si="526"/>
        <v>0</v>
      </c>
      <c r="BU85" s="67"/>
      <c r="BV85" s="68"/>
      <c r="BW85" s="44"/>
      <c r="BX85" s="45">
        <f t="shared" si="528"/>
        <v>369</v>
      </c>
      <c r="BY85" s="77">
        <v>369</v>
      </c>
      <c r="BZ85" s="78"/>
      <c r="CA85" s="46"/>
      <c r="CB85" s="42" t="s">
        <v>24</v>
      </c>
      <c r="CC85" s="43">
        <f t="shared" si="530"/>
        <v>0</v>
      </c>
      <c r="CD85" s="67"/>
      <c r="CE85" s="68"/>
      <c r="CF85" s="44"/>
      <c r="CG85" s="43">
        <f t="shared" si="532"/>
        <v>0</v>
      </c>
      <c r="CH85" s="67"/>
      <c r="CI85" s="68"/>
      <c r="CJ85" s="44"/>
      <c r="CK85" s="45">
        <f t="shared" si="534"/>
        <v>0</v>
      </c>
      <c r="CL85" s="77"/>
      <c r="CM85" s="78"/>
      <c r="CN85" s="46"/>
      <c r="CO85" s="42" t="s">
        <v>24</v>
      </c>
      <c r="CP85" s="43">
        <f t="shared" si="536"/>
        <v>376</v>
      </c>
      <c r="CQ85" s="67">
        <v>376</v>
      </c>
      <c r="CR85" s="68"/>
      <c r="CS85" s="44"/>
      <c r="CT85" s="43">
        <f t="shared" si="538"/>
        <v>409</v>
      </c>
      <c r="CU85" s="67">
        <v>409</v>
      </c>
      <c r="CV85" s="68"/>
      <c r="CW85" s="44"/>
      <c r="CX85" s="45">
        <f t="shared" si="540"/>
        <v>0</v>
      </c>
      <c r="CY85" s="77"/>
      <c r="CZ85" s="78"/>
      <c r="DA85" s="46"/>
      <c r="DB85" s="42" t="s">
        <v>24</v>
      </c>
      <c r="DC85" s="43">
        <f t="shared" si="542"/>
        <v>376</v>
      </c>
      <c r="DD85" s="67">
        <v>376</v>
      </c>
      <c r="DE85" s="68"/>
      <c r="DF85" s="44"/>
      <c r="DG85" s="43">
        <f t="shared" si="544"/>
        <v>409</v>
      </c>
      <c r="DH85" s="67">
        <v>409</v>
      </c>
      <c r="DI85" s="68"/>
      <c r="DJ85" s="44"/>
      <c r="DK85" s="45">
        <f t="shared" si="546"/>
        <v>0</v>
      </c>
      <c r="DL85" s="77"/>
      <c r="DM85" s="78"/>
      <c r="DN85" s="46"/>
      <c r="DO85" s="42" t="s">
        <v>24</v>
      </c>
      <c r="DP85" s="43">
        <f t="shared" si="548"/>
        <v>376</v>
      </c>
      <c r="DQ85" s="67">
        <v>376</v>
      </c>
      <c r="DR85" s="68"/>
      <c r="DS85" s="44"/>
      <c r="DT85" s="43">
        <f t="shared" si="550"/>
        <v>349</v>
      </c>
      <c r="DU85" s="67">
        <v>349</v>
      </c>
      <c r="DV85" s="68"/>
      <c r="DW85" s="44"/>
      <c r="DX85" s="45">
        <f t="shared" si="552"/>
        <v>369</v>
      </c>
      <c r="DY85" s="77">
        <v>369</v>
      </c>
      <c r="DZ85" s="78"/>
      <c r="EA85" s="46"/>
      <c r="EB85" s="42" t="s">
        <v>24</v>
      </c>
      <c r="EC85" s="43">
        <f t="shared" si="554"/>
        <v>376</v>
      </c>
      <c r="ED85" s="67">
        <v>376</v>
      </c>
      <c r="EE85" s="68"/>
      <c r="EF85" s="44"/>
      <c r="EG85" s="43">
        <f t="shared" si="556"/>
        <v>349</v>
      </c>
      <c r="EH85" s="67">
        <v>349</v>
      </c>
      <c r="EI85" s="68"/>
      <c r="EJ85" s="44"/>
      <c r="EK85" s="45">
        <f t="shared" si="558"/>
        <v>369</v>
      </c>
      <c r="EL85" s="77">
        <v>369</v>
      </c>
      <c r="EM85" s="78"/>
      <c r="EN85" s="46"/>
    </row>
    <row r="86" spans="2:144" x14ac:dyDescent="0.3">
      <c r="B86" s="5"/>
      <c r="C86" s="18"/>
      <c r="D86" s="18"/>
      <c r="E86" s="18"/>
      <c r="F86" s="5"/>
      <c r="G86" s="18"/>
      <c r="H86" s="18"/>
      <c r="I86" s="18"/>
      <c r="J86" s="5"/>
      <c r="K86" s="18"/>
      <c r="L86" s="18"/>
      <c r="M86" s="18"/>
      <c r="N86" s="5"/>
      <c r="O86" s="5"/>
      <c r="P86" s="18"/>
      <c r="Q86" s="18"/>
      <c r="R86" s="18"/>
      <c r="S86" s="5"/>
      <c r="T86" s="18"/>
      <c r="U86" s="18"/>
      <c r="V86" s="18"/>
      <c r="W86" s="5"/>
      <c r="X86" s="18"/>
      <c r="Y86" s="18"/>
      <c r="Z86" s="18"/>
      <c r="AA86" s="5"/>
      <c r="AB86" s="5"/>
      <c r="AC86" s="18"/>
      <c r="AD86" s="18"/>
      <c r="AE86" s="18"/>
      <c r="AF86" s="5"/>
      <c r="AG86" s="18"/>
      <c r="AH86" s="18"/>
      <c r="AI86" s="18"/>
      <c r="AJ86" s="5"/>
      <c r="AK86" s="18"/>
      <c r="AL86" s="18"/>
      <c r="AM86" s="18"/>
      <c r="AN86" s="5"/>
      <c r="AO86" s="5"/>
      <c r="AP86" s="18"/>
      <c r="AQ86" s="18"/>
      <c r="AR86" s="18"/>
      <c r="AS86" s="5"/>
      <c r="AT86" s="18"/>
      <c r="AU86" s="18"/>
      <c r="AV86" s="18"/>
      <c r="AW86" s="5"/>
      <c r="AX86" s="18"/>
      <c r="AY86" s="18"/>
      <c r="AZ86" s="18"/>
      <c r="BA86" s="5"/>
      <c r="BB86" s="5"/>
      <c r="BC86" s="18"/>
      <c r="BD86" s="18"/>
      <c r="BE86" s="18"/>
      <c r="BF86" s="5"/>
      <c r="BG86" s="18"/>
      <c r="BH86" s="18"/>
      <c r="BI86" s="18"/>
      <c r="BJ86" s="5"/>
      <c r="BK86" s="18"/>
      <c r="BL86" s="18"/>
      <c r="BM86" s="18"/>
      <c r="BN86" s="5"/>
      <c r="BO86" s="5"/>
      <c r="BP86" s="18"/>
      <c r="BQ86" s="18"/>
      <c r="BR86" s="18"/>
      <c r="BS86" s="5"/>
      <c r="BT86" s="18"/>
      <c r="BU86" s="18"/>
      <c r="BV86" s="18"/>
      <c r="BW86" s="5"/>
      <c r="BX86" s="18"/>
      <c r="BY86" s="18"/>
      <c r="BZ86" s="18"/>
      <c r="CA86" s="5"/>
      <c r="CB86" s="5"/>
      <c r="CC86" s="18"/>
      <c r="CD86" s="18"/>
      <c r="CE86" s="18"/>
      <c r="CF86" s="5"/>
      <c r="CG86" s="18"/>
      <c r="CH86" s="18"/>
      <c r="CI86" s="18"/>
      <c r="CJ86" s="5"/>
      <c r="CK86" s="18"/>
      <c r="CL86" s="18"/>
      <c r="CM86" s="18"/>
      <c r="CN86" s="5"/>
      <c r="CO86" s="5"/>
      <c r="CP86" s="18"/>
      <c r="CQ86" s="18"/>
      <c r="CR86" s="18"/>
      <c r="CS86" s="5"/>
      <c r="CT86" s="18"/>
      <c r="CU86" s="18"/>
      <c r="CV86" s="18"/>
      <c r="CW86" s="5"/>
      <c r="CX86" s="18"/>
      <c r="CY86" s="18"/>
      <c r="CZ86" s="18"/>
      <c r="DA86" s="5"/>
      <c r="DB86" s="5"/>
      <c r="DC86" s="18"/>
      <c r="DD86" s="18"/>
      <c r="DE86" s="18"/>
      <c r="DF86" s="5"/>
      <c r="DG86" s="18"/>
      <c r="DH86" s="18"/>
      <c r="DI86" s="18"/>
      <c r="DJ86" s="5"/>
      <c r="DK86" s="18"/>
      <c r="DL86" s="18"/>
      <c r="DM86" s="18"/>
      <c r="DN86" s="5"/>
      <c r="DO86" s="5"/>
      <c r="DP86" s="18"/>
      <c r="DQ86" s="18"/>
      <c r="DR86" s="18"/>
      <c r="DS86" s="5"/>
      <c r="DT86" s="18"/>
      <c r="DU86" s="18"/>
      <c r="DV86" s="18"/>
      <c r="DW86" s="5"/>
      <c r="DX86" s="18"/>
      <c r="DY86" s="18"/>
      <c r="DZ86" s="18"/>
      <c r="EA86" s="5"/>
      <c r="EB86" s="5"/>
      <c r="EC86" s="18"/>
      <c r="ED86" s="18"/>
      <c r="EE86" s="18"/>
      <c r="EF86" s="5"/>
      <c r="EG86" s="18"/>
      <c r="EH86" s="18"/>
      <c r="EI86" s="18"/>
      <c r="EJ86" s="5"/>
      <c r="EK86" s="18"/>
      <c r="EL86" s="18"/>
      <c r="EM86" s="18"/>
      <c r="EN86" s="5"/>
    </row>
    <row r="87" spans="2:144" hidden="1" x14ac:dyDescent="0.3">
      <c r="B87" s="85" t="str">
        <f>B2</f>
        <v>January(12th)</v>
      </c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7"/>
      <c r="O87" s="85" t="str">
        <f>O2</f>
        <v>January(29th)</v>
      </c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7"/>
      <c r="AB87" s="85" t="str">
        <f>AB2</f>
        <v>February(26th)</v>
      </c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7"/>
      <c r="AO87" s="85" t="str">
        <f>AO2</f>
        <v>March(4th)</v>
      </c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7"/>
      <c r="BB87" s="85" t="str">
        <f>BB2</f>
        <v>March(16th)</v>
      </c>
      <c r="BC87" s="86"/>
      <c r="BD87" s="86"/>
      <c r="BE87" s="86"/>
      <c r="BF87" s="86"/>
      <c r="BG87" s="86"/>
      <c r="BH87" s="86"/>
      <c r="BI87" s="86"/>
      <c r="BJ87" s="86"/>
      <c r="BK87" s="86"/>
      <c r="BL87" s="86"/>
      <c r="BM87" s="86"/>
      <c r="BN87" s="87"/>
      <c r="BO87" s="85" t="str">
        <f>BO2</f>
        <v>March(23th)</v>
      </c>
      <c r="BP87" s="86"/>
      <c r="BQ87" s="86"/>
      <c r="BR87" s="86"/>
      <c r="BS87" s="86"/>
      <c r="BT87" s="86"/>
      <c r="BU87" s="86"/>
      <c r="BV87" s="86"/>
      <c r="BW87" s="86"/>
      <c r="BX87" s="86"/>
      <c r="BY87" s="86"/>
      <c r="BZ87" s="86"/>
      <c r="CA87" s="87"/>
      <c r="CB87" s="85" t="str">
        <f>CB2</f>
        <v>March(30th)</v>
      </c>
      <c r="CC87" s="86"/>
      <c r="CD87" s="86"/>
      <c r="CE87" s="86"/>
      <c r="CF87" s="86"/>
      <c r="CG87" s="86"/>
      <c r="CH87" s="86"/>
      <c r="CI87" s="86"/>
      <c r="CJ87" s="86"/>
      <c r="CK87" s="86"/>
      <c r="CL87" s="86"/>
      <c r="CM87" s="86"/>
      <c r="CN87" s="87"/>
      <c r="CO87" s="85" t="str">
        <f>CO2</f>
        <v>April(06th)</v>
      </c>
      <c r="CP87" s="86"/>
      <c r="CQ87" s="86"/>
      <c r="CR87" s="86"/>
      <c r="CS87" s="86"/>
      <c r="CT87" s="86"/>
      <c r="CU87" s="86"/>
      <c r="CV87" s="86"/>
      <c r="CW87" s="86"/>
      <c r="CX87" s="86"/>
      <c r="CY87" s="86"/>
      <c r="CZ87" s="86"/>
      <c r="DA87" s="87"/>
      <c r="DB87" s="85" t="str">
        <f>DB2</f>
        <v>April(13th)</v>
      </c>
      <c r="DC87" s="86"/>
      <c r="DD87" s="86"/>
      <c r="DE87" s="86"/>
      <c r="DF87" s="86"/>
      <c r="DG87" s="86"/>
      <c r="DH87" s="86"/>
      <c r="DI87" s="86"/>
      <c r="DJ87" s="86"/>
      <c r="DK87" s="86"/>
      <c r="DL87" s="86"/>
      <c r="DM87" s="86"/>
      <c r="DN87" s="87"/>
      <c r="DO87" s="85" t="str">
        <f>DO2</f>
        <v>April(27th)</v>
      </c>
      <c r="DP87" s="86"/>
      <c r="DQ87" s="86"/>
      <c r="DR87" s="86"/>
      <c r="DS87" s="86"/>
      <c r="DT87" s="86"/>
      <c r="DU87" s="86"/>
      <c r="DV87" s="86"/>
      <c r="DW87" s="86"/>
      <c r="DX87" s="86"/>
      <c r="DY87" s="86"/>
      <c r="DZ87" s="86"/>
      <c r="EA87" s="87"/>
      <c r="EB87" s="85" t="str">
        <f>EB2</f>
        <v>April(27th)</v>
      </c>
      <c r="EC87" s="86"/>
      <c r="ED87" s="86"/>
      <c r="EE87" s="86"/>
      <c r="EF87" s="86"/>
      <c r="EG87" s="86"/>
      <c r="EH87" s="86"/>
      <c r="EI87" s="86"/>
      <c r="EJ87" s="86"/>
      <c r="EK87" s="86"/>
      <c r="EL87" s="86"/>
      <c r="EM87" s="86"/>
      <c r="EN87" s="87"/>
    </row>
    <row r="88" spans="2:144" hidden="1" x14ac:dyDescent="0.3">
      <c r="B88" s="14" t="s">
        <v>23</v>
      </c>
      <c r="C88" s="88" t="s">
        <v>6</v>
      </c>
      <c r="D88" s="89"/>
      <c r="E88" s="89"/>
      <c r="F88" s="90"/>
      <c r="G88" s="88" t="s">
        <v>7</v>
      </c>
      <c r="H88" s="89"/>
      <c r="I88" s="89"/>
      <c r="J88" s="90"/>
      <c r="K88" s="88" t="s">
        <v>8</v>
      </c>
      <c r="L88" s="89"/>
      <c r="M88" s="89"/>
      <c r="N88" s="90"/>
      <c r="O88" s="14" t="s">
        <v>23</v>
      </c>
      <c r="P88" s="88" t="s">
        <v>6</v>
      </c>
      <c r="Q88" s="89"/>
      <c r="R88" s="89"/>
      <c r="S88" s="90"/>
      <c r="T88" s="88" t="s">
        <v>7</v>
      </c>
      <c r="U88" s="89"/>
      <c r="V88" s="89"/>
      <c r="W88" s="90"/>
      <c r="X88" s="88" t="s">
        <v>8</v>
      </c>
      <c r="Y88" s="89"/>
      <c r="Z88" s="89"/>
      <c r="AA88" s="90"/>
      <c r="AB88" s="14" t="s">
        <v>23</v>
      </c>
      <c r="AC88" s="88" t="s">
        <v>6</v>
      </c>
      <c r="AD88" s="89"/>
      <c r="AE88" s="89"/>
      <c r="AF88" s="90"/>
      <c r="AG88" s="88" t="s">
        <v>7</v>
      </c>
      <c r="AH88" s="89"/>
      <c r="AI88" s="89"/>
      <c r="AJ88" s="90"/>
      <c r="AK88" s="88" t="s">
        <v>8</v>
      </c>
      <c r="AL88" s="89"/>
      <c r="AM88" s="89"/>
      <c r="AN88" s="90"/>
      <c r="AO88" s="14" t="s">
        <v>23</v>
      </c>
      <c r="AP88" s="88" t="s">
        <v>6</v>
      </c>
      <c r="AQ88" s="89"/>
      <c r="AR88" s="89"/>
      <c r="AS88" s="90"/>
      <c r="AT88" s="88" t="s">
        <v>7</v>
      </c>
      <c r="AU88" s="89"/>
      <c r="AV88" s="89"/>
      <c r="AW88" s="90"/>
      <c r="AX88" s="88" t="s">
        <v>8</v>
      </c>
      <c r="AY88" s="89"/>
      <c r="AZ88" s="89"/>
      <c r="BA88" s="90"/>
      <c r="BB88" s="14" t="s">
        <v>23</v>
      </c>
      <c r="BC88" s="88" t="s">
        <v>6</v>
      </c>
      <c r="BD88" s="89"/>
      <c r="BE88" s="89"/>
      <c r="BF88" s="90"/>
      <c r="BG88" s="88" t="s">
        <v>7</v>
      </c>
      <c r="BH88" s="89"/>
      <c r="BI88" s="89"/>
      <c r="BJ88" s="90"/>
      <c r="BK88" s="88" t="s">
        <v>8</v>
      </c>
      <c r="BL88" s="89"/>
      <c r="BM88" s="89"/>
      <c r="BN88" s="90"/>
      <c r="BO88" s="14" t="s">
        <v>23</v>
      </c>
      <c r="BP88" s="88" t="s">
        <v>6</v>
      </c>
      <c r="BQ88" s="89"/>
      <c r="BR88" s="89"/>
      <c r="BS88" s="90"/>
      <c r="BT88" s="88" t="s">
        <v>7</v>
      </c>
      <c r="BU88" s="89"/>
      <c r="BV88" s="89"/>
      <c r="BW88" s="90"/>
      <c r="BX88" s="88" t="s">
        <v>8</v>
      </c>
      <c r="BY88" s="89"/>
      <c r="BZ88" s="89"/>
      <c r="CA88" s="90"/>
      <c r="CB88" s="14" t="s">
        <v>23</v>
      </c>
      <c r="CC88" s="88" t="s">
        <v>6</v>
      </c>
      <c r="CD88" s="89"/>
      <c r="CE88" s="89"/>
      <c r="CF88" s="90"/>
      <c r="CG88" s="88" t="s">
        <v>7</v>
      </c>
      <c r="CH88" s="89"/>
      <c r="CI88" s="89"/>
      <c r="CJ88" s="90"/>
      <c r="CK88" s="88" t="s">
        <v>8</v>
      </c>
      <c r="CL88" s="89"/>
      <c r="CM88" s="89"/>
      <c r="CN88" s="90"/>
      <c r="CO88" s="14" t="s">
        <v>23</v>
      </c>
      <c r="CP88" s="88" t="s">
        <v>6</v>
      </c>
      <c r="CQ88" s="89"/>
      <c r="CR88" s="89"/>
      <c r="CS88" s="90"/>
      <c r="CT88" s="88" t="s">
        <v>7</v>
      </c>
      <c r="CU88" s="89"/>
      <c r="CV88" s="89"/>
      <c r="CW88" s="90"/>
      <c r="CX88" s="88" t="s">
        <v>8</v>
      </c>
      <c r="CY88" s="89"/>
      <c r="CZ88" s="89"/>
      <c r="DA88" s="90"/>
      <c r="DB88" s="14" t="s">
        <v>23</v>
      </c>
      <c r="DC88" s="88" t="s">
        <v>6</v>
      </c>
      <c r="DD88" s="89"/>
      <c r="DE88" s="89"/>
      <c r="DF88" s="90"/>
      <c r="DG88" s="88" t="s">
        <v>7</v>
      </c>
      <c r="DH88" s="89"/>
      <c r="DI88" s="89"/>
      <c r="DJ88" s="90"/>
      <c r="DK88" s="88" t="s">
        <v>8</v>
      </c>
      <c r="DL88" s="89"/>
      <c r="DM88" s="89"/>
      <c r="DN88" s="90"/>
      <c r="DO88" s="14" t="s">
        <v>23</v>
      </c>
      <c r="DP88" s="88" t="s">
        <v>6</v>
      </c>
      <c r="DQ88" s="89"/>
      <c r="DR88" s="89"/>
      <c r="DS88" s="90"/>
      <c r="DT88" s="88" t="s">
        <v>7</v>
      </c>
      <c r="DU88" s="89"/>
      <c r="DV88" s="89"/>
      <c r="DW88" s="90"/>
      <c r="DX88" s="88" t="s">
        <v>8</v>
      </c>
      <c r="DY88" s="89"/>
      <c r="DZ88" s="89"/>
      <c r="EA88" s="90"/>
      <c r="EB88" s="14" t="s">
        <v>23</v>
      </c>
      <c r="EC88" s="88" t="s">
        <v>6</v>
      </c>
      <c r="ED88" s="89"/>
      <c r="EE88" s="89"/>
      <c r="EF88" s="90"/>
      <c r="EG88" s="88" t="s">
        <v>7</v>
      </c>
      <c r="EH88" s="89"/>
      <c r="EI88" s="89"/>
      <c r="EJ88" s="90"/>
      <c r="EK88" s="88" t="s">
        <v>8</v>
      </c>
      <c r="EL88" s="89"/>
      <c r="EM88" s="89"/>
      <c r="EN88" s="90"/>
    </row>
    <row r="89" spans="2:144" hidden="1" x14ac:dyDescent="0.3">
      <c r="B89" s="12" t="str">
        <f>B8</f>
        <v>55G57</v>
      </c>
      <c r="C89" s="15">
        <f t="shared" ref="C89:C116" si="560">VLOOKUP($B89,$B$5:$N$86,2,0)</f>
        <v>2499</v>
      </c>
      <c r="D89" s="54">
        <f t="shared" ref="D89:D116" si="561">VLOOKUP($B89,$B$5:$N$86,3,0)</f>
        <v>2499</v>
      </c>
      <c r="E89" s="55">
        <f t="shared" ref="E89:E116" si="562">VLOOKUP($B89,$B$5:$N$86,4,0)</f>
        <v>0</v>
      </c>
      <c r="F89" s="2">
        <f t="shared" ref="F89:F116" si="563">VLOOKUP($B89,$B$5:$N$86,5,0)</f>
        <v>96.635730858468676</v>
      </c>
      <c r="G89" s="15">
        <f t="shared" ref="G89:G116" si="564">VLOOKUP($B89,$B$5:$N$86,6,0)</f>
        <v>2359</v>
      </c>
      <c r="H89" s="54">
        <f t="shared" ref="H89:H116" si="565">VLOOKUP($B89,$B$5:$N$86,7,0)</f>
        <v>2359</v>
      </c>
      <c r="I89" s="55">
        <f t="shared" ref="I89:I116" si="566">VLOOKUP($B89,$B$5:$N$86,8,0)</f>
        <v>0</v>
      </c>
      <c r="J89" s="2" t="str">
        <f t="shared" ref="J89:J116" si="567">VLOOKUP($B89,$B$5:$N$86,9,0)</f>
        <v/>
      </c>
      <c r="K89" s="15">
        <f t="shared" ref="K89:K116" si="568">VLOOKUP($B89,$B$5:$N$86,10,0)</f>
        <v>2298</v>
      </c>
      <c r="L89" s="54">
        <f t="shared" ref="L89:L116" si="569">VLOOKUP($B89,$B$5:$N$86,11,0)</f>
        <v>2298</v>
      </c>
      <c r="M89" s="55">
        <f t="shared" ref="M89:M116" si="570">VLOOKUP($B89,$B$5:$N$86,12,0)</f>
        <v>0</v>
      </c>
      <c r="N89" s="2">
        <f t="shared" ref="N89:N116" si="571">VLOOKUP($B89,$B$5:$N$86,13,0)</f>
        <v>94.606834088102104</v>
      </c>
      <c r="O89" s="12" t="str">
        <f>O8</f>
        <v>55G57</v>
      </c>
      <c r="P89" s="15">
        <f t="shared" ref="P89:P116" si="572">VLOOKUP($O89,$O$5:$AA$86,2,0)</f>
        <v>2499</v>
      </c>
      <c r="Q89" s="54">
        <f t="shared" ref="Q89:Q116" si="573">VLOOKUP($O89,$O$5:$AA$86,3,0)</f>
        <v>2499</v>
      </c>
      <c r="R89" s="55">
        <f t="shared" ref="R89:R116" si="574">VLOOKUP($O89,$O$5:$AA$86,4,0)</f>
        <v>0</v>
      </c>
      <c r="S89" s="2">
        <f t="shared" ref="S89:S116" si="575">VLOOKUP($O89,$O$5:$AA$86,5,0)</f>
        <v>96.449247394828248</v>
      </c>
      <c r="T89" s="15">
        <f t="shared" ref="T89:T116" si="576">VLOOKUP($O89,$O$5:$AA$86,6,0)</f>
        <v>2299</v>
      </c>
      <c r="U89" s="54">
        <f t="shared" ref="U89:U116" si="577">VLOOKUP($O89,$O$5:$AA$86,7,0)</f>
        <v>2299</v>
      </c>
      <c r="V89" s="55">
        <f t="shared" ref="V89:V116" si="578">VLOOKUP($O89,$O$5:$AA$86,8,0)</f>
        <v>0</v>
      </c>
      <c r="W89" s="2" t="str">
        <f t="shared" ref="W89:W116" si="579">VLOOKUP($O89,$O$5:$AA$86,9,0)</f>
        <v/>
      </c>
      <c r="X89" s="15">
        <f t="shared" ref="X89:X116" si="580">VLOOKUP($O89,$O$5:$AA$86,10,0)</f>
        <v>1989</v>
      </c>
      <c r="Y89" s="54">
        <f t="shared" ref="Y89:Y116" si="581">VLOOKUP($O89,$O$5:$AA$86,11,0)</f>
        <v>2289</v>
      </c>
      <c r="Z89" s="55">
        <f t="shared" ref="Z89:Z116" si="582">VLOOKUP($O89,$O$5:$AA$86,12,0)</f>
        <v>300</v>
      </c>
      <c r="AA89" s="2">
        <f t="shared" ref="AA89:AA116" si="583">VLOOKUP($O89,$O$5:$AA$86,13,0)</f>
        <v>86.515876468029575</v>
      </c>
      <c r="AB89" s="12" t="str">
        <f>AB8</f>
        <v>55G57</v>
      </c>
      <c r="AC89" s="15">
        <f t="shared" ref="AC89:AC116" si="584">VLOOKUP($O89,$AB$5:$AN$86,2,0)</f>
        <v>2499</v>
      </c>
      <c r="AD89" s="54">
        <f t="shared" ref="AD89:AD116" si="585">VLOOKUP($O89,$AB$5:$AN$86,3,0)</f>
        <v>2499</v>
      </c>
      <c r="AE89" s="55">
        <f t="shared" ref="AE89:AE116" si="586">VLOOKUP($O89,$AB$5:$AN$86,4,0)</f>
        <v>0</v>
      </c>
      <c r="AF89" s="2">
        <f t="shared" ref="AF89:AF116" si="587">VLOOKUP($O89,$AB$5:$AN$86,5,0)</f>
        <v>96.189376443418013</v>
      </c>
      <c r="AG89" s="15">
        <f t="shared" ref="AG89:AG116" si="588">VLOOKUP($O89,$AB$5:$AN$86,6,0)</f>
        <v>2359</v>
      </c>
      <c r="AH89" s="54">
        <f t="shared" ref="AH89:AH116" si="589">VLOOKUP($O89,$AB$5:$AN$86,7,0)</f>
        <v>2359</v>
      </c>
      <c r="AI89" s="55">
        <f t="shared" ref="AI89:AI116" si="590">VLOOKUP($O89,$AB$5:$AN$86,8,0)</f>
        <v>0</v>
      </c>
      <c r="AJ89" s="2" t="str">
        <f t="shared" ref="AJ89:AJ116" si="591">VLOOKUP($O89,$AB$5:$AN$86,9,0)</f>
        <v/>
      </c>
      <c r="AK89" s="15">
        <f t="shared" ref="AK89:AK116" si="592">VLOOKUP($O89,$AB$5:$AN$86,10,0)</f>
        <v>2289</v>
      </c>
      <c r="AL89" s="54">
        <f t="shared" ref="AL89:AL116" si="593">VLOOKUP($O89,$AB$5:$AN$86,11,0)</f>
        <v>2589</v>
      </c>
      <c r="AM89" s="55">
        <f t="shared" ref="AM89:AM116" si="594">VLOOKUP($O89,$AB$5:$AN$86,12,0)</f>
        <v>300</v>
      </c>
      <c r="AN89" s="2">
        <f t="shared" ref="AN89:AN116" si="595">VLOOKUP($O89,$AB$5:$AN$86,13,0)</f>
        <v>85.602094240837701</v>
      </c>
      <c r="AO89" s="12" t="str">
        <f>AO8</f>
        <v>55G57</v>
      </c>
      <c r="AP89" s="15">
        <f t="shared" ref="AP89:AP116" si="596">VLOOKUP($O89,$AO$5:$BA$86,2,0)</f>
        <v>2499</v>
      </c>
      <c r="AQ89" s="54">
        <f t="shared" ref="AQ89:AQ116" si="597">VLOOKUP($O89,$AO$5:$BA$86,3,0)</f>
        <v>2499</v>
      </c>
      <c r="AR89" s="55">
        <f t="shared" ref="AR89:AR116" si="598">VLOOKUP($O89,$AO$5:$BA$86,4,0)</f>
        <v>0</v>
      </c>
      <c r="AS89" s="2">
        <f t="shared" ref="AS89:AS116" si="599">VLOOKUP($O89,$AO$5:$BA$86,5,0)</f>
        <v>96.152366294728736</v>
      </c>
      <c r="AT89" s="15">
        <f t="shared" ref="AT89:AT116" si="600">VLOOKUP($O89,$AO$5:$BA$86,6,0)</f>
        <v>2359</v>
      </c>
      <c r="AU89" s="54">
        <f t="shared" ref="AU89:AU116" si="601">VLOOKUP($O89,$AO$5:$BA$86,7,0)</f>
        <v>2359</v>
      </c>
      <c r="AV89" s="55">
        <f t="shared" ref="AV89:AV116" si="602">VLOOKUP($O89,$AO$5:$BA$86,8,0)</f>
        <v>0</v>
      </c>
      <c r="AW89" s="2" t="str">
        <f t="shared" ref="AW89:AW116" si="603">VLOOKUP($O89,$AO$5:$BA$86,9,0)</f>
        <v/>
      </c>
      <c r="AX89" s="15">
        <f t="shared" ref="AX89:AX116" si="604">VLOOKUP($O89,$AO$5:$BA$86,10,0)</f>
        <v>2289</v>
      </c>
      <c r="AY89" s="54">
        <f t="shared" ref="AY89:AY116" si="605">VLOOKUP($O89,$AO$5:$BA$86,11,0)</f>
        <v>2589</v>
      </c>
      <c r="AZ89" s="55">
        <f t="shared" ref="AZ89:AZ116" si="606">VLOOKUP($O89,$AO$5:$BA$86,12,0)</f>
        <v>300</v>
      </c>
      <c r="BA89" s="2">
        <f t="shared" ref="BA89:BA116" si="607">VLOOKUP($O89,$AO$5:$BA$86,13,0)</f>
        <v>85.666167664670652</v>
      </c>
      <c r="BB89" s="12" t="str">
        <f>BB8</f>
        <v>55G57</v>
      </c>
      <c r="BC89" s="15">
        <f t="shared" ref="BC89:BC116" si="608">VLOOKUP($O89,$AO$5:$BA$86,2,0)</f>
        <v>2499</v>
      </c>
      <c r="BD89" s="54">
        <f t="shared" ref="BD89:BD116" si="609">VLOOKUP($O89,$AO$5:$BA$86,3,0)</f>
        <v>2499</v>
      </c>
      <c r="BE89" s="55">
        <f t="shared" ref="BE89:BE116" si="610">VLOOKUP($O89,$AO$5:$BA$86,4,0)</f>
        <v>0</v>
      </c>
      <c r="BF89" s="2">
        <f t="shared" ref="BF89:BF116" si="611">VLOOKUP($O89,$AO$5:$BA$86,5,0)</f>
        <v>96.152366294728736</v>
      </c>
      <c r="BG89" s="15">
        <f t="shared" ref="BG89:BG116" si="612">VLOOKUP($O89,$AO$5:$BA$86,6,0)</f>
        <v>2359</v>
      </c>
      <c r="BH89" s="54">
        <f t="shared" ref="BH89:BH116" si="613">VLOOKUP($O89,$AO$5:$BA$86,7,0)</f>
        <v>2359</v>
      </c>
      <c r="BI89" s="55">
        <f t="shared" ref="BI89:BI116" si="614">VLOOKUP($O89,$AO$5:$BA$86,8,0)</f>
        <v>0</v>
      </c>
      <c r="BJ89" s="2" t="str">
        <f t="shared" ref="BJ89:BJ116" si="615">VLOOKUP($O89,$AO$5:$BA$86,9,0)</f>
        <v/>
      </c>
      <c r="BK89" s="15">
        <f t="shared" ref="BK89:BK116" si="616">VLOOKUP($O89,$AO$5:$BA$86,10,0)</f>
        <v>2289</v>
      </c>
      <c r="BL89" s="54">
        <f t="shared" ref="BL89:BL116" si="617">VLOOKUP($O89,$AO$5:$BA$86,11,0)</f>
        <v>2589</v>
      </c>
      <c r="BM89" s="55">
        <f t="shared" ref="BM89:BM116" si="618">VLOOKUP($O89,$AO$5:$BA$86,12,0)</f>
        <v>300</v>
      </c>
      <c r="BN89" s="2">
        <f t="shared" ref="BN89:BN116" si="619">VLOOKUP($O89,$AO$5:$BA$86,13,0)</f>
        <v>85.666167664670652</v>
      </c>
      <c r="BO89" s="12" t="str">
        <f>BO8</f>
        <v>55G57</v>
      </c>
      <c r="BP89" s="15">
        <f t="shared" ref="BP89:BP116" si="620">VLOOKUP($O89,$AO$5:$BA$86,2,0)</f>
        <v>2499</v>
      </c>
      <c r="BQ89" s="54">
        <f t="shared" ref="BQ89:BQ116" si="621">VLOOKUP($O89,$AO$5:$BA$86,3,0)</f>
        <v>2499</v>
      </c>
      <c r="BR89" s="55">
        <f t="shared" ref="BR89:BR116" si="622">VLOOKUP($O89,$AO$5:$BA$86,4,0)</f>
        <v>0</v>
      </c>
      <c r="BS89" s="2">
        <f t="shared" ref="BS89:BS116" si="623">VLOOKUP($O89,$AO$5:$BA$86,5,0)</f>
        <v>96.152366294728736</v>
      </c>
      <c r="BT89" s="15">
        <f t="shared" ref="BT89:BT116" si="624">VLOOKUP($O89,$AO$5:$BA$86,6,0)</f>
        <v>2359</v>
      </c>
      <c r="BU89" s="54">
        <f t="shared" ref="BU89:BU116" si="625">VLOOKUP($O89,$AO$5:$BA$86,7,0)</f>
        <v>2359</v>
      </c>
      <c r="BV89" s="55">
        <f t="shared" ref="BV89:BV116" si="626">VLOOKUP($O89,$AO$5:$BA$86,8,0)</f>
        <v>0</v>
      </c>
      <c r="BW89" s="2" t="str">
        <f t="shared" ref="BW89:BW116" si="627">VLOOKUP($O89,$AO$5:$BA$86,9,0)</f>
        <v/>
      </c>
      <c r="BX89" s="15">
        <f t="shared" ref="BX89:BX116" si="628">VLOOKUP($O89,$AO$5:$BA$86,10,0)</f>
        <v>2289</v>
      </c>
      <c r="BY89" s="54">
        <f t="shared" ref="BY89:BY116" si="629">VLOOKUP($O89,$AO$5:$BA$86,11,0)</f>
        <v>2589</v>
      </c>
      <c r="BZ89" s="55">
        <f t="shared" ref="BZ89:BZ116" si="630">VLOOKUP($O89,$AO$5:$BA$86,12,0)</f>
        <v>300</v>
      </c>
      <c r="CA89" s="2">
        <f t="shared" ref="CA89:CA116" si="631">VLOOKUP($O89,$AO$5:$BA$86,13,0)</f>
        <v>85.666167664670652</v>
      </c>
      <c r="CB89" s="12" t="str">
        <f>CB8</f>
        <v>55G57</v>
      </c>
      <c r="CC89" s="15">
        <f t="shared" ref="CC89:CC116" si="632">VLOOKUP($O89,$AO$5:$BA$86,2,0)</f>
        <v>2499</v>
      </c>
      <c r="CD89" s="54">
        <f t="shared" ref="CD89:CD116" si="633">VLOOKUP($O89,$AO$5:$BA$86,3,0)</f>
        <v>2499</v>
      </c>
      <c r="CE89" s="55">
        <f t="shared" ref="CE89:CE116" si="634">VLOOKUP($O89,$AO$5:$BA$86,4,0)</f>
        <v>0</v>
      </c>
      <c r="CF89" s="2">
        <f t="shared" ref="CF89:CF116" si="635">VLOOKUP($O89,$AO$5:$BA$86,5,0)</f>
        <v>96.152366294728736</v>
      </c>
      <c r="CG89" s="15">
        <f t="shared" ref="CG89:CG116" si="636">VLOOKUP($O89,$AO$5:$BA$86,6,0)</f>
        <v>2359</v>
      </c>
      <c r="CH89" s="54">
        <f t="shared" ref="CH89:CH116" si="637">VLOOKUP($O89,$AO$5:$BA$86,7,0)</f>
        <v>2359</v>
      </c>
      <c r="CI89" s="55">
        <f t="shared" ref="CI89:CI116" si="638">VLOOKUP($O89,$AO$5:$BA$86,8,0)</f>
        <v>0</v>
      </c>
      <c r="CJ89" s="2" t="str">
        <f t="shared" ref="CJ89:CJ116" si="639">VLOOKUP($O89,$AO$5:$BA$86,9,0)</f>
        <v/>
      </c>
      <c r="CK89" s="15">
        <f t="shared" ref="CK89:CK116" si="640">VLOOKUP($O89,$AO$5:$BA$86,10,0)</f>
        <v>2289</v>
      </c>
      <c r="CL89" s="54">
        <f t="shared" ref="CL89:CL116" si="641">VLOOKUP($O89,$AO$5:$BA$86,11,0)</f>
        <v>2589</v>
      </c>
      <c r="CM89" s="55">
        <f t="shared" ref="CM89:CM116" si="642">VLOOKUP($O89,$AO$5:$BA$86,12,0)</f>
        <v>300</v>
      </c>
      <c r="CN89" s="2">
        <f t="shared" ref="CN89:CN116" si="643">VLOOKUP($O89,$AO$5:$BA$86,13,0)</f>
        <v>85.666167664670652</v>
      </c>
      <c r="CO89" s="12" t="str">
        <f>CO8</f>
        <v>55G57</v>
      </c>
      <c r="CP89" s="15">
        <f t="shared" ref="CP89:CP116" si="644">VLOOKUP($O89,$AO$5:$BA$86,2,0)</f>
        <v>2499</v>
      </c>
      <c r="CQ89" s="54">
        <f t="shared" ref="CQ89:CQ116" si="645">VLOOKUP($O89,$AO$5:$BA$86,3,0)</f>
        <v>2499</v>
      </c>
      <c r="CR89" s="55">
        <f t="shared" ref="CR89:CR116" si="646">VLOOKUP($O89,$AO$5:$BA$86,4,0)</f>
        <v>0</v>
      </c>
      <c r="CS89" s="2">
        <f t="shared" ref="CS89:CS116" si="647">VLOOKUP($O89,$AO$5:$BA$86,5,0)</f>
        <v>96.152366294728736</v>
      </c>
      <c r="CT89" s="15">
        <f t="shared" ref="CT89:CT116" si="648">VLOOKUP($O89,$AO$5:$BA$86,6,0)</f>
        <v>2359</v>
      </c>
      <c r="CU89" s="54">
        <f t="shared" ref="CU89:CU116" si="649">VLOOKUP($O89,$AO$5:$BA$86,7,0)</f>
        <v>2359</v>
      </c>
      <c r="CV89" s="55">
        <f t="shared" ref="CV89:CV116" si="650">VLOOKUP($O89,$AO$5:$BA$86,8,0)</f>
        <v>0</v>
      </c>
      <c r="CW89" s="2" t="str">
        <f t="shared" ref="CW89:CW116" si="651">VLOOKUP($O89,$AO$5:$BA$86,9,0)</f>
        <v/>
      </c>
      <c r="CX89" s="15">
        <f t="shared" ref="CX89:CX116" si="652">VLOOKUP($O89,$AO$5:$BA$86,10,0)</f>
        <v>2289</v>
      </c>
      <c r="CY89" s="54">
        <f t="shared" ref="CY89:CY116" si="653">VLOOKUP($O89,$AO$5:$BA$86,11,0)</f>
        <v>2589</v>
      </c>
      <c r="CZ89" s="55">
        <f t="shared" ref="CZ89:CZ116" si="654">VLOOKUP($O89,$AO$5:$BA$86,12,0)</f>
        <v>300</v>
      </c>
      <c r="DA89" s="2">
        <f t="shared" ref="DA89:DA116" si="655">VLOOKUP($O89,$AO$5:$BA$86,13,0)</f>
        <v>85.666167664670652</v>
      </c>
      <c r="DB89" s="12" t="str">
        <f>DB8</f>
        <v>55G57</v>
      </c>
      <c r="DC89" s="15">
        <f t="shared" ref="DC89:DC116" si="656">VLOOKUP($O89,$AO$5:$BA$86,2,0)</f>
        <v>2499</v>
      </c>
      <c r="DD89" s="54">
        <f t="shared" ref="DD89:DD116" si="657">VLOOKUP($O89,$AO$5:$BA$86,3,0)</f>
        <v>2499</v>
      </c>
      <c r="DE89" s="55">
        <f t="shared" ref="DE89:DE116" si="658">VLOOKUP($O89,$AO$5:$BA$86,4,0)</f>
        <v>0</v>
      </c>
      <c r="DF89" s="2">
        <f t="shared" ref="DF89:DF116" si="659">VLOOKUP($O89,$AO$5:$BA$86,5,0)</f>
        <v>96.152366294728736</v>
      </c>
      <c r="DG89" s="15">
        <f t="shared" ref="DG89:DG116" si="660">VLOOKUP($O89,$AO$5:$BA$86,6,0)</f>
        <v>2359</v>
      </c>
      <c r="DH89" s="54">
        <f t="shared" ref="DH89:DH116" si="661">VLOOKUP($O89,$AO$5:$BA$86,7,0)</f>
        <v>2359</v>
      </c>
      <c r="DI89" s="55">
        <f t="shared" ref="DI89:DI116" si="662">VLOOKUP($O89,$AO$5:$BA$86,8,0)</f>
        <v>0</v>
      </c>
      <c r="DJ89" s="2" t="str">
        <f t="shared" ref="DJ89:DJ116" si="663">VLOOKUP($O89,$AO$5:$BA$86,9,0)</f>
        <v/>
      </c>
      <c r="DK89" s="15">
        <f t="shared" ref="DK89:DK116" si="664">VLOOKUP($O89,$AO$5:$BA$86,10,0)</f>
        <v>2289</v>
      </c>
      <c r="DL89" s="54">
        <f t="shared" ref="DL89:DL116" si="665">VLOOKUP($O89,$AO$5:$BA$86,11,0)</f>
        <v>2589</v>
      </c>
      <c r="DM89" s="55">
        <f t="shared" ref="DM89:DM116" si="666">VLOOKUP($O89,$AO$5:$BA$86,12,0)</f>
        <v>300</v>
      </c>
      <c r="DN89" s="2">
        <f t="shared" ref="DN89:DN116" si="667">VLOOKUP($O89,$AO$5:$BA$86,13,0)</f>
        <v>85.666167664670652</v>
      </c>
      <c r="DO89" s="12" t="str">
        <f>DO8</f>
        <v>55G57</v>
      </c>
      <c r="DP89" s="15">
        <f t="shared" ref="DP89:DP116" si="668">VLOOKUP($O89,$AO$5:$BA$86,2,0)</f>
        <v>2499</v>
      </c>
      <c r="DQ89" s="54">
        <f t="shared" ref="DQ89:DQ116" si="669">VLOOKUP($O89,$AO$5:$BA$86,3,0)</f>
        <v>2499</v>
      </c>
      <c r="DR89" s="55">
        <f t="shared" ref="DR89:DR116" si="670">VLOOKUP($O89,$AO$5:$BA$86,4,0)</f>
        <v>0</v>
      </c>
      <c r="DS89" s="2">
        <f t="shared" ref="DS89:DS116" si="671">VLOOKUP($O89,$AO$5:$BA$86,5,0)</f>
        <v>96.152366294728736</v>
      </c>
      <c r="DT89" s="15">
        <f t="shared" ref="DT89:DT116" si="672">VLOOKUP($O89,$AO$5:$BA$86,6,0)</f>
        <v>2359</v>
      </c>
      <c r="DU89" s="54">
        <f t="shared" ref="DU89:DU116" si="673">VLOOKUP($O89,$AO$5:$BA$86,7,0)</f>
        <v>2359</v>
      </c>
      <c r="DV89" s="55">
        <f t="shared" ref="DV89:DV116" si="674">VLOOKUP($O89,$AO$5:$BA$86,8,0)</f>
        <v>0</v>
      </c>
      <c r="DW89" s="2" t="str">
        <f t="shared" ref="DW89:DW116" si="675">VLOOKUP($O89,$AO$5:$BA$86,9,0)</f>
        <v/>
      </c>
      <c r="DX89" s="15">
        <f t="shared" ref="DX89:DX116" si="676">VLOOKUP($O89,$AO$5:$BA$86,10,0)</f>
        <v>2289</v>
      </c>
      <c r="DY89" s="54">
        <f t="shared" ref="DY89:DY116" si="677">VLOOKUP($O89,$AO$5:$BA$86,11,0)</f>
        <v>2589</v>
      </c>
      <c r="DZ89" s="55">
        <f t="shared" ref="DZ89:DZ116" si="678">VLOOKUP($O89,$AO$5:$BA$86,12,0)</f>
        <v>300</v>
      </c>
      <c r="EA89" s="2">
        <f t="shared" ref="EA89:EA116" si="679">VLOOKUP($O89,$AO$5:$BA$86,13,0)</f>
        <v>85.666167664670652</v>
      </c>
      <c r="EB89" s="12" t="str">
        <f>EB8</f>
        <v>55G57</v>
      </c>
      <c r="EC89" s="15">
        <f t="shared" ref="EC89:EC116" si="680">VLOOKUP($O89,$AO$5:$BA$86,2,0)</f>
        <v>2499</v>
      </c>
      <c r="ED89" s="54">
        <f t="shared" ref="ED89:ED116" si="681">VLOOKUP($O89,$AO$5:$BA$86,3,0)</f>
        <v>2499</v>
      </c>
      <c r="EE89" s="55">
        <f t="shared" ref="EE89:EE116" si="682">VLOOKUP($O89,$AO$5:$BA$86,4,0)</f>
        <v>0</v>
      </c>
      <c r="EF89" s="2">
        <f t="shared" ref="EF89:EF116" si="683">VLOOKUP($O89,$AO$5:$BA$86,5,0)</f>
        <v>96.152366294728736</v>
      </c>
      <c r="EG89" s="15">
        <f t="shared" ref="EG89:EG116" si="684">VLOOKUP($O89,$AO$5:$BA$86,6,0)</f>
        <v>2359</v>
      </c>
      <c r="EH89" s="54">
        <f t="shared" ref="EH89:EH116" si="685">VLOOKUP($O89,$AO$5:$BA$86,7,0)</f>
        <v>2359</v>
      </c>
      <c r="EI89" s="55">
        <f t="shared" ref="EI89:EI116" si="686">VLOOKUP($O89,$AO$5:$BA$86,8,0)</f>
        <v>0</v>
      </c>
      <c r="EJ89" s="2" t="str">
        <f t="shared" ref="EJ89:EJ116" si="687">VLOOKUP($O89,$AO$5:$BA$86,9,0)</f>
        <v/>
      </c>
      <c r="EK89" s="15">
        <f t="shared" ref="EK89:EK116" si="688">VLOOKUP($O89,$AO$5:$BA$86,10,0)</f>
        <v>2289</v>
      </c>
      <c r="EL89" s="54">
        <f t="shared" ref="EL89:EL116" si="689">VLOOKUP($O89,$AO$5:$BA$86,11,0)</f>
        <v>2589</v>
      </c>
      <c r="EM89" s="55">
        <f t="shared" ref="EM89:EM116" si="690">VLOOKUP($O89,$AO$5:$BA$86,12,0)</f>
        <v>300</v>
      </c>
      <c r="EN89" s="2">
        <f t="shared" ref="EN89:EN116" si="691">VLOOKUP($O89,$AO$5:$BA$86,13,0)</f>
        <v>85.666167664670652</v>
      </c>
    </row>
    <row r="90" spans="2:144" hidden="1" x14ac:dyDescent="0.3">
      <c r="B90" s="3" t="str">
        <f>B14</f>
        <v>55C57</v>
      </c>
      <c r="C90" s="16">
        <f t="shared" si="560"/>
        <v>999</v>
      </c>
      <c r="D90" s="56">
        <f t="shared" si="561"/>
        <v>999</v>
      </c>
      <c r="E90" s="57">
        <f t="shared" si="562"/>
        <v>0</v>
      </c>
      <c r="F90" s="1">
        <f t="shared" si="563"/>
        <v>103.09597523219813</v>
      </c>
      <c r="G90" s="16">
        <f t="shared" si="564"/>
        <v>1099</v>
      </c>
      <c r="H90" s="56">
        <f t="shared" si="565"/>
        <v>1099</v>
      </c>
      <c r="I90" s="57">
        <f t="shared" si="566"/>
        <v>0</v>
      </c>
      <c r="J90" s="1">
        <f t="shared" si="567"/>
        <v>110.01001001001001</v>
      </c>
      <c r="K90" s="16">
        <f t="shared" si="568"/>
        <v>999</v>
      </c>
      <c r="L90" s="56">
        <f t="shared" si="569"/>
        <v>999</v>
      </c>
      <c r="M90" s="57">
        <f t="shared" si="570"/>
        <v>0</v>
      </c>
      <c r="N90" s="1">
        <f t="shared" si="571"/>
        <v>86.493506493506487</v>
      </c>
      <c r="O90" s="3" t="str">
        <f>O14</f>
        <v>55C57</v>
      </c>
      <c r="P90" s="16">
        <f t="shared" si="572"/>
        <v>989</v>
      </c>
      <c r="Q90" s="56">
        <f t="shared" si="573"/>
        <v>989</v>
      </c>
      <c r="R90" s="57">
        <f t="shared" si="574"/>
        <v>0</v>
      </c>
      <c r="S90" s="1">
        <f t="shared" si="575"/>
        <v>102.06398348813211</v>
      </c>
      <c r="T90" s="16">
        <f t="shared" si="576"/>
        <v>1099</v>
      </c>
      <c r="U90" s="56">
        <f t="shared" si="577"/>
        <v>1099</v>
      </c>
      <c r="V90" s="57">
        <f t="shared" si="578"/>
        <v>0</v>
      </c>
      <c r="W90" s="1">
        <f t="shared" si="579"/>
        <v>113.4158926728586</v>
      </c>
      <c r="X90" s="16">
        <f t="shared" si="580"/>
        <v>1037</v>
      </c>
      <c r="Y90" s="56">
        <f t="shared" si="581"/>
        <v>1037</v>
      </c>
      <c r="Z90" s="57">
        <f t="shared" si="582"/>
        <v>0</v>
      </c>
      <c r="AA90" s="1">
        <f t="shared" si="583"/>
        <v>107.01754385964912</v>
      </c>
      <c r="AB90" s="3" t="str">
        <f>AB14</f>
        <v>55C57</v>
      </c>
      <c r="AC90" s="16">
        <f t="shared" si="584"/>
        <v>989</v>
      </c>
      <c r="AD90" s="56">
        <f t="shared" si="585"/>
        <v>989</v>
      </c>
      <c r="AE90" s="57">
        <f t="shared" si="586"/>
        <v>0</v>
      </c>
      <c r="AF90" s="1">
        <f t="shared" si="587"/>
        <v>82.416666666666671</v>
      </c>
      <c r="AG90" s="16">
        <f t="shared" si="588"/>
        <v>999</v>
      </c>
      <c r="AH90" s="56">
        <f t="shared" si="589"/>
        <v>999</v>
      </c>
      <c r="AI90" s="57">
        <f t="shared" si="590"/>
        <v>0</v>
      </c>
      <c r="AJ90" s="1">
        <f t="shared" si="591"/>
        <v>111.12347052280312</v>
      </c>
      <c r="AK90" s="16">
        <f t="shared" si="592"/>
        <v>1037</v>
      </c>
      <c r="AL90" s="56">
        <f t="shared" si="593"/>
        <v>1037</v>
      </c>
      <c r="AM90" s="57">
        <f t="shared" si="594"/>
        <v>0</v>
      </c>
      <c r="AN90" s="1">
        <f t="shared" si="595"/>
        <v>115.3503893214683</v>
      </c>
      <c r="AO90" s="3" t="str">
        <f>AO14</f>
        <v>55C57</v>
      </c>
      <c r="AP90" s="16">
        <f t="shared" si="596"/>
        <v>989</v>
      </c>
      <c r="AQ90" s="56">
        <f t="shared" si="597"/>
        <v>989</v>
      </c>
      <c r="AR90" s="57">
        <f t="shared" si="598"/>
        <v>0</v>
      </c>
      <c r="AS90" s="1">
        <f t="shared" si="599"/>
        <v>106.45855758880516</v>
      </c>
      <c r="AT90" s="16">
        <f t="shared" si="600"/>
        <v>999</v>
      </c>
      <c r="AU90" s="56">
        <f t="shared" si="601"/>
        <v>999</v>
      </c>
      <c r="AV90" s="57">
        <f t="shared" si="602"/>
        <v>0</v>
      </c>
      <c r="AW90" s="1">
        <f t="shared" si="603"/>
        <v>111.12347052280312</v>
      </c>
      <c r="AX90" s="16">
        <f t="shared" si="604"/>
        <v>999</v>
      </c>
      <c r="AY90" s="56">
        <f t="shared" si="605"/>
        <v>999</v>
      </c>
      <c r="AZ90" s="57">
        <f t="shared" si="606"/>
        <v>0</v>
      </c>
      <c r="BA90" s="1">
        <f t="shared" si="607"/>
        <v>102.04290091930541</v>
      </c>
      <c r="BB90" s="3" t="str">
        <f>BB14</f>
        <v>55C57</v>
      </c>
      <c r="BC90" s="16">
        <f t="shared" si="608"/>
        <v>989</v>
      </c>
      <c r="BD90" s="56">
        <f t="shared" si="609"/>
        <v>989</v>
      </c>
      <c r="BE90" s="57">
        <f t="shared" si="610"/>
        <v>0</v>
      </c>
      <c r="BF90" s="1">
        <f t="shared" si="611"/>
        <v>106.45855758880516</v>
      </c>
      <c r="BG90" s="16">
        <f t="shared" si="612"/>
        <v>999</v>
      </c>
      <c r="BH90" s="56">
        <f t="shared" si="613"/>
        <v>999</v>
      </c>
      <c r="BI90" s="57">
        <f t="shared" si="614"/>
        <v>0</v>
      </c>
      <c r="BJ90" s="1">
        <f t="shared" si="615"/>
        <v>111.12347052280312</v>
      </c>
      <c r="BK90" s="16">
        <f t="shared" si="616"/>
        <v>999</v>
      </c>
      <c r="BL90" s="56">
        <f t="shared" si="617"/>
        <v>999</v>
      </c>
      <c r="BM90" s="57">
        <f t="shared" si="618"/>
        <v>0</v>
      </c>
      <c r="BN90" s="1">
        <f t="shared" si="619"/>
        <v>102.04290091930541</v>
      </c>
      <c r="BO90" s="3" t="str">
        <f>BO14</f>
        <v>55C57</v>
      </c>
      <c r="BP90" s="16">
        <f t="shared" si="620"/>
        <v>989</v>
      </c>
      <c r="BQ90" s="56">
        <f t="shared" si="621"/>
        <v>989</v>
      </c>
      <c r="BR90" s="57">
        <f t="shared" si="622"/>
        <v>0</v>
      </c>
      <c r="BS90" s="1">
        <f t="shared" si="623"/>
        <v>106.45855758880516</v>
      </c>
      <c r="BT90" s="16">
        <f t="shared" si="624"/>
        <v>999</v>
      </c>
      <c r="BU90" s="56">
        <f t="shared" si="625"/>
        <v>999</v>
      </c>
      <c r="BV90" s="57">
        <f t="shared" si="626"/>
        <v>0</v>
      </c>
      <c r="BW90" s="1">
        <f t="shared" si="627"/>
        <v>111.12347052280312</v>
      </c>
      <c r="BX90" s="16">
        <f t="shared" si="628"/>
        <v>999</v>
      </c>
      <c r="BY90" s="56">
        <f t="shared" si="629"/>
        <v>999</v>
      </c>
      <c r="BZ90" s="57">
        <f t="shared" si="630"/>
        <v>0</v>
      </c>
      <c r="CA90" s="1">
        <f t="shared" si="631"/>
        <v>102.04290091930541</v>
      </c>
      <c r="CB90" s="3" t="str">
        <f>CB14</f>
        <v>55C57</v>
      </c>
      <c r="CC90" s="16">
        <f t="shared" si="632"/>
        <v>989</v>
      </c>
      <c r="CD90" s="56">
        <f t="shared" si="633"/>
        <v>989</v>
      </c>
      <c r="CE90" s="57">
        <f t="shared" si="634"/>
        <v>0</v>
      </c>
      <c r="CF90" s="1">
        <f t="shared" si="635"/>
        <v>106.45855758880516</v>
      </c>
      <c r="CG90" s="16">
        <f t="shared" si="636"/>
        <v>999</v>
      </c>
      <c r="CH90" s="56">
        <f t="shared" si="637"/>
        <v>999</v>
      </c>
      <c r="CI90" s="57">
        <f t="shared" si="638"/>
        <v>0</v>
      </c>
      <c r="CJ90" s="1">
        <f t="shared" si="639"/>
        <v>111.12347052280312</v>
      </c>
      <c r="CK90" s="16">
        <f t="shared" si="640"/>
        <v>999</v>
      </c>
      <c r="CL90" s="56">
        <f t="shared" si="641"/>
        <v>999</v>
      </c>
      <c r="CM90" s="57">
        <f t="shared" si="642"/>
        <v>0</v>
      </c>
      <c r="CN90" s="1">
        <f t="shared" si="643"/>
        <v>102.04290091930541</v>
      </c>
      <c r="CO90" s="3" t="str">
        <f>CO14</f>
        <v>55C57</v>
      </c>
      <c r="CP90" s="16">
        <f t="shared" si="644"/>
        <v>989</v>
      </c>
      <c r="CQ90" s="56">
        <f t="shared" si="645"/>
        <v>989</v>
      </c>
      <c r="CR90" s="57">
        <f t="shared" si="646"/>
        <v>0</v>
      </c>
      <c r="CS90" s="1">
        <f t="shared" si="647"/>
        <v>106.45855758880516</v>
      </c>
      <c r="CT90" s="16">
        <f t="shared" si="648"/>
        <v>999</v>
      </c>
      <c r="CU90" s="56">
        <f t="shared" si="649"/>
        <v>999</v>
      </c>
      <c r="CV90" s="57">
        <f t="shared" si="650"/>
        <v>0</v>
      </c>
      <c r="CW90" s="1">
        <f t="shared" si="651"/>
        <v>111.12347052280312</v>
      </c>
      <c r="CX90" s="16">
        <f t="shared" si="652"/>
        <v>999</v>
      </c>
      <c r="CY90" s="56">
        <f t="shared" si="653"/>
        <v>999</v>
      </c>
      <c r="CZ90" s="57">
        <f t="shared" si="654"/>
        <v>0</v>
      </c>
      <c r="DA90" s="1">
        <f t="shared" si="655"/>
        <v>102.04290091930541</v>
      </c>
      <c r="DB90" s="3" t="str">
        <f>DB14</f>
        <v>55C57</v>
      </c>
      <c r="DC90" s="16">
        <f t="shared" si="656"/>
        <v>989</v>
      </c>
      <c r="DD90" s="56">
        <f t="shared" si="657"/>
        <v>989</v>
      </c>
      <c r="DE90" s="57">
        <f t="shared" si="658"/>
        <v>0</v>
      </c>
      <c r="DF90" s="1">
        <f t="shared" si="659"/>
        <v>106.45855758880516</v>
      </c>
      <c r="DG90" s="16">
        <f t="shared" si="660"/>
        <v>999</v>
      </c>
      <c r="DH90" s="56">
        <f t="shared" si="661"/>
        <v>999</v>
      </c>
      <c r="DI90" s="57">
        <f t="shared" si="662"/>
        <v>0</v>
      </c>
      <c r="DJ90" s="1">
        <f t="shared" si="663"/>
        <v>111.12347052280312</v>
      </c>
      <c r="DK90" s="16">
        <f t="shared" si="664"/>
        <v>999</v>
      </c>
      <c r="DL90" s="56">
        <f t="shared" si="665"/>
        <v>999</v>
      </c>
      <c r="DM90" s="57">
        <f t="shared" si="666"/>
        <v>0</v>
      </c>
      <c r="DN90" s="1">
        <f t="shared" si="667"/>
        <v>102.04290091930541</v>
      </c>
      <c r="DO90" s="3" t="str">
        <f>DO14</f>
        <v>55C57</v>
      </c>
      <c r="DP90" s="16">
        <f t="shared" si="668"/>
        <v>989</v>
      </c>
      <c r="DQ90" s="56">
        <f t="shared" si="669"/>
        <v>989</v>
      </c>
      <c r="DR90" s="57">
        <f t="shared" si="670"/>
        <v>0</v>
      </c>
      <c r="DS90" s="1">
        <f t="shared" si="671"/>
        <v>106.45855758880516</v>
      </c>
      <c r="DT90" s="16">
        <f t="shared" si="672"/>
        <v>999</v>
      </c>
      <c r="DU90" s="56">
        <f t="shared" si="673"/>
        <v>999</v>
      </c>
      <c r="DV90" s="57">
        <f t="shared" si="674"/>
        <v>0</v>
      </c>
      <c r="DW90" s="1">
        <f t="shared" si="675"/>
        <v>111.12347052280312</v>
      </c>
      <c r="DX90" s="16">
        <f t="shared" si="676"/>
        <v>999</v>
      </c>
      <c r="DY90" s="56">
        <f t="shared" si="677"/>
        <v>999</v>
      </c>
      <c r="DZ90" s="57">
        <f t="shared" si="678"/>
        <v>0</v>
      </c>
      <c r="EA90" s="1">
        <f t="shared" si="679"/>
        <v>102.04290091930541</v>
      </c>
      <c r="EB90" s="3" t="str">
        <f>EB14</f>
        <v>55C57</v>
      </c>
      <c r="EC90" s="16">
        <f t="shared" si="680"/>
        <v>989</v>
      </c>
      <c r="ED90" s="56">
        <f t="shared" si="681"/>
        <v>989</v>
      </c>
      <c r="EE90" s="57">
        <f t="shared" si="682"/>
        <v>0</v>
      </c>
      <c r="EF90" s="1">
        <f t="shared" si="683"/>
        <v>106.45855758880516</v>
      </c>
      <c r="EG90" s="16">
        <f t="shared" si="684"/>
        <v>999</v>
      </c>
      <c r="EH90" s="56">
        <f t="shared" si="685"/>
        <v>999</v>
      </c>
      <c r="EI90" s="57">
        <f t="shared" si="686"/>
        <v>0</v>
      </c>
      <c r="EJ90" s="1">
        <f t="shared" si="687"/>
        <v>111.12347052280312</v>
      </c>
      <c r="EK90" s="16">
        <f t="shared" si="688"/>
        <v>999</v>
      </c>
      <c r="EL90" s="56">
        <f t="shared" si="689"/>
        <v>999</v>
      </c>
      <c r="EM90" s="57">
        <f t="shared" si="690"/>
        <v>0</v>
      </c>
      <c r="EN90" s="1">
        <f t="shared" si="691"/>
        <v>102.04290091930541</v>
      </c>
    </row>
    <row r="91" spans="2:144" hidden="1" x14ac:dyDescent="0.3">
      <c r="B91" s="3" t="str">
        <f>B21</f>
        <v>55B59</v>
      </c>
      <c r="C91" s="16">
        <f t="shared" si="560"/>
        <v>879</v>
      </c>
      <c r="D91" s="56">
        <f t="shared" si="561"/>
        <v>879</v>
      </c>
      <c r="E91" s="57">
        <f t="shared" si="562"/>
        <v>0</v>
      </c>
      <c r="F91" s="1">
        <f t="shared" si="563"/>
        <v>65.111111111111114</v>
      </c>
      <c r="G91" s="16">
        <f t="shared" si="564"/>
        <v>979</v>
      </c>
      <c r="H91" s="56">
        <f t="shared" si="565"/>
        <v>979</v>
      </c>
      <c r="I91" s="57">
        <f t="shared" si="566"/>
        <v>0</v>
      </c>
      <c r="J91" s="1">
        <f t="shared" si="567"/>
        <v>97.997997997997999</v>
      </c>
      <c r="K91" s="16">
        <f t="shared" si="568"/>
        <v>899</v>
      </c>
      <c r="L91" s="56">
        <f t="shared" si="569"/>
        <v>899</v>
      </c>
      <c r="M91" s="57">
        <f t="shared" si="570"/>
        <v>0</v>
      </c>
      <c r="N91" s="1">
        <f t="shared" si="571"/>
        <v>92.205128205128204</v>
      </c>
      <c r="O91" s="3" t="str">
        <f>O21</f>
        <v>55B59</v>
      </c>
      <c r="P91" s="16">
        <f t="shared" si="572"/>
        <v>899</v>
      </c>
      <c r="Q91" s="56">
        <f t="shared" si="573"/>
        <v>899</v>
      </c>
      <c r="R91" s="57">
        <f t="shared" si="574"/>
        <v>0</v>
      </c>
      <c r="S91" s="1">
        <f t="shared" si="575"/>
        <v>100</v>
      </c>
      <c r="T91" s="16">
        <f t="shared" si="576"/>
        <v>849</v>
      </c>
      <c r="U91" s="56">
        <f t="shared" si="577"/>
        <v>849</v>
      </c>
      <c r="V91" s="57">
        <f t="shared" si="578"/>
        <v>0</v>
      </c>
      <c r="W91" s="1">
        <f t="shared" si="579"/>
        <v>94.438264738598448</v>
      </c>
      <c r="X91" s="16">
        <f t="shared" si="580"/>
        <v>850</v>
      </c>
      <c r="Y91" s="56">
        <f t="shared" si="581"/>
        <v>850</v>
      </c>
      <c r="Z91" s="57">
        <f t="shared" si="582"/>
        <v>0</v>
      </c>
      <c r="AA91" s="1">
        <f t="shared" si="583"/>
        <v>78.630897317298803</v>
      </c>
      <c r="AB91" s="3" t="str">
        <f>AB21</f>
        <v>55B59</v>
      </c>
      <c r="AC91" s="16">
        <f t="shared" si="584"/>
        <v>819</v>
      </c>
      <c r="AD91" s="56">
        <f t="shared" si="585"/>
        <v>819</v>
      </c>
      <c r="AE91" s="57">
        <f t="shared" si="586"/>
        <v>0</v>
      </c>
      <c r="AF91" s="1">
        <f t="shared" si="587"/>
        <v>64.488188976377955</v>
      </c>
      <c r="AG91" s="16">
        <f t="shared" si="588"/>
        <v>869</v>
      </c>
      <c r="AH91" s="56">
        <f t="shared" si="589"/>
        <v>869</v>
      </c>
      <c r="AI91" s="57">
        <f t="shared" si="590"/>
        <v>0</v>
      </c>
      <c r="AJ91" s="1">
        <f t="shared" si="591"/>
        <v>96.662958843159061</v>
      </c>
      <c r="AK91" s="16">
        <f t="shared" si="592"/>
        <v>899</v>
      </c>
      <c r="AL91" s="56">
        <f t="shared" si="593"/>
        <v>899</v>
      </c>
      <c r="AM91" s="57">
        <f t="shared" si="594"/>
        <v>0</v>
      </c>
      <c r="AN91" s="1">
        <f t="shared" si="595"/>
        <v>104.65657741559953</v>
      </c>
      <c r="AO91" s="3" t="str">
        <f>AO21</f>
        <v>55B59</v>
      </c>
      <c r="AP91" s="16">
        <f t="shared" si="596"/>
        <v>819</v>
      </c>
      <c r="AQ91" s="56">
        <f t="shared" si="597"/>
        <v>819</v>
      </c>
      <c r="AR91" s="57">
        <f t="shared" si="598"/>
        <v>0</v>
      </c>
      <c r="AS91" s="1">
        <f t="shared" si="599"/>
        <v>64.488188976377955</v>
      </c>
      <c r="AT91" s="16">
        <f t="shared" si="600"/>
        <v>829</v>
      </c>
      <c r="AU91" s="56">
        <f t="shared" si="601"/>
        <v>829</v>
      </c>
      <c r="AV91" s="57">
        <f t="shared" si="602"/>
        <v>0</v>
      </c>
      <c r="AW91" s="1">
        <f t="shared" si="603"/>
        <v>92.213570634037822</v>
      </c>
      <c r="AX91" s="16">
        <f t="shared" si="604"/>
        <v>899</v>
      </c>
      <c r="AY91" s="56">
        <f t="shared" si="605"/>
        <v>899</v>
      </c>
      <c r="AZ91" s="57">
        <f t="shared" si="606"/>
        <v>0</v>
      </c>
      <c r="BA91" s="1">
        <f t="shared" si="607"/>
        <v>94.731296101159117</v>
      </c>
      <c r="BB91" s="3" t="str">
        <f>BB21</f>
        <v>55B59</v>
      </c>
      <c r="BC91" s="16">
        <f t="shared" si="608"/>
        <v>819</v>
      </c>
      <c r="BD91" s="56">
        <f t="shared" si="609"/>
        <v>819</v>
      </c>
      <c r="BE91" s="57">
        <f t="shared" si="610"/>
        <v>0</v>
      </c>
      <c r="BF91" s="1">
        <f t="shared" si="611"/>
        <v>64.488188976377955</v>
      </c>
      <c r="BG91" s="16">
        <f t="shared" si="612"/>
        <v>829</v>
      </c>
      <c r="BH91" s="56">
        <f t="shared" si="613"/>
        <v>829</v>
      </c>
      <c r="BI91" s="57">
        <f t="shared" si="614"/>
        <v>0</v>
      </c>
      <c r="BJ91" s="1">
        <f t="shared" si="615"/>
        <v>92.213570634037822</v>
      </c>
      <c r="BK91" s="16">
        <f t="shared" si="616"/>
        <v>899</v>
      </c>
      <c r="BL91" s="56">
        <f t="shared" si="617"/>
        <v>899</v>
      </c>
      <c r="BM91" s="57">
        <f t="shared" si="618"/>
        <v>0</v>
      </c>
      <c r="BN91" s="1">
        <f t="shared" si="619"/>
        <v>94.731296101159117</v>
      </c>
      <c r="BO91" s="3" t="str">
        <f>BO21</f>
        <v>55B59</v>
      </c>
      <c r="BP91" s="16">
        <f t="shared" si="620"/>
        <v>819</v>
      </c>
      <c r="BQ91" s="56">
        <f t="shared" si="621"/>
        <v>819</v>
      </c>
      <c r="BR91" s="57">
        <f t="shared" si="622"/>
        <v>0</v>
      </c>
      <c r="BS91" s="1">
        <f t="shared" si="623"/>
        <v>64.488188976377955</v>
      </c>
      <c r="BT91" s="16">
        <f t="shared" si="624"/>
        <v>829</v>
      </c>
      <c r="BU91" s="56">
        <f t="shared" si="625"/>
        <v>829</v>
      </c>
      <c r="BV91" s="57">
        <f t="shared" si="626"/>
        <v>0</v>
      </c>
      <c r="BW91" s="1">
        <f t="shared" si="627"/>
        <v>92.213570634037822</v>
      </c>
      <c r="BX91" s="16">
        <f t="shared" si="628"/>
        <v>899</v>
      </c>
      <c r="BY91" s="56">
        <f t="shared" si="629"/>
        <v>899</v>
      </c>
      <c r="BZ91" s="57">
        <f t="shared" si="630"/>
        <v>0</v>
      </c>
      <c r="CA91" s="1">
        <f t="shared" si="631"/>
        <v>94.731296101159117</v>
      </c>
      <c r="CB91" s="3" t="str">
        <f>CB21</f>
        <v>55B59</v>
      </c>
      <c r="CC91" s="16">
        <f t="shared" si="632"/>
        <v>819</v>
      </c>
      <c r="CD91" s="56">
        <f t="shared" si="633"/>
        <v>819</v>
      </c>
      <c r="CE91" s="57">
        <f t="shared" si="634"/>
        <v>0</v>
      </c>
      <c r="CF91" s="1">
        <f t="shared" si="635"/>
        <v>64.488188976377955</v>
      </c>
      <c r="CG91" s="16">
        <f t="shared" si="636"/>
        <v>829</v>
      </c>
      <c r="CH91" s="56">
        <f t="shared" si="637"/>
        <v>829</v>
      </c>
      <c r="CI91" s="57">
        <f t="shared" si="638"/>
        <v>0</v>
      </c>
      <c r="CJ91" s="1">
        <f t="shared" si="639"/>
        <v>92.213570634037822</v>
      </c>
      <c r="CK91" s="16">
        <f t="shared" si="640"/>
        <v>899</v>
      </c>
      <c r="CL91" s="56">
        <f t="shared" si="641"/>
        <v>899</v>
      </c>
      <c r="CM91" s="57">
        <f t="shared" si="642"/>
        <v>0</v>
      </c>
      <c r="CN91" s="1">
        <f t="shared" si="643"/>
        <v>94.731296101159117</v>
      </c>
      <c r="CO91" s="3" t="str">
        <f>CO21</f>
        <v>55B59</v>
      </c>
      <c r="CP91" s="16">
        <f t="shared" si="644"/>
        <v>819</v>
      </c>
      <c r="CQ91" s="56">
        <f t="shared" si="645"/>
        <v>819</v>
      </c>
      <c r="CR91" s="57">
        <f t="shared" si="646"/>
        <v>0</v>
      </c>
      <c r="CS91" s="1">
        <f t="shared" si="647"/>
        <v>64.488188976377955</v>
      </c>
      <c r="CT91" s="16">
        <f t="shared" si="648"/>
        <v>829</v>
      </c>
      <c r="CU91" s="56">
        <f t="shared" si="649"/>
        <v>829</v>
      </c>
      <c r="CV91" s="57">
        <f t="shared" si="650"/>
        <v>0</v>
      </c>
      <c r="CW91" s="1">
        <f t="shared" si="651"/>
        <v>92.213570634037822</v>
      </c>
      <c r="CX91" s="16">
        <f t="shared" si="652"/>
        <v>899</v>
      </c>
      <c r="CY91" s="56">
        <f t="shared" si="653"/>
        <v>899</v>
      </c>
      <c r="CZ91" s="57">
        <f t="shared" si="654"/>
        <v>0</v>
      </c>
      <c r="DA91" s="1">
        <f t="shared" si="655"/>
        <v>94.731296101159117</v>
      </c>
      <c r="DB91" s="3" t="str">
        <f>DB21</f>
        <v>55B59</v>
      </c>
      <c r="DC91" s="16">
        <f t="shared" si="656"/>
        <v>819</v>
      </c>
      <c r="DD91" s="56">
        <f t="shared" si="657"/>
        <v>819</v>
      </c>
      <c r="DE91" s="57">
        <f t="shared" si="658"/>
        <v>0</v>
      </c>
      <c r="DF91" s="1">
        <f t="shared" si="659"/>
        <v>64.488188976377955</v>
      </c>
      <c r="DG91" s="16">
        <f t="shared" si="660"/>
        <v>829</v>
      </c>
      <c r="DH91" s="56">
        <f t="shared" si="661"/>
        <v>829</v>
      </c>
      <c r="DI91" s="57">
        <f t="shared" si="662"/>
        <v>0</v>
      </c>
      <c r="DJ91" s="1">
        <f t="shared" si="663"/>
        <v>92.213570634037822</v>
      </c>
      <c r="DK91" s="16">
        <f t="shared" si="664"/>
        <v>899</v>
      </c>
      <c r="DL91" s="56">
        <f t="shared" si="665"/>
        <v>899</v>
      </c>
      <c r="DM91" s="57">
        <f t="shared" si="666"/>
        <v>0</v>
      </c>
      <c r="DN91" s="1">
        <f t="shared" si="667"/>
        <v>94.731296101159117</v>
      </c>
      <c r="DO91" s="3" t="str">
        <f>DO21</f>
        <v>55B59</v>
      </c>
      <c r="DP91" s="16">
        <f t="shared" si="668"/>
        <v>819</v>
      </c>
      <c r="DQ91" s="56">
        <f t="shared" si="669"/>
        <v>819</v>
      </c>
      <c r="DR91" s="57">
        <f t="shared" si="670"/>
        <v>0</v>
      </c>
      <c r="DS91" s="1">
        <f t="shared" si="671"/>
        <v>64.488188976377955</v>
      </c>
      <c r="DT91" s="16">
        <f t="shared" si="672"/>
        <v>829</v>
      </c>
      <c r="DU91" s="56">
        <f t="shared" si="673"/>
        <v>829</v>
      </c>
      <c r="DV91" s="57">
        <f t="shared" si="674"/>
        <v>0</v>
      </c>
      <c r="DW91" s="1">
        <f t="shared" si="675"/>
        <v>92.213570634037822</v>
      </c>
      <c r="DX91" s="16">
        <f t="shared" si="676"/>
        <v>899</v>
      </c>
      <c r="DY91" s="56">
        <f t="shared" si="677"/>
        <v>899</v>
      </c>
      <c r="DZ91" s="57">
        <f t="shared" si="678"/>
        <v>0</v>
      </c>
      <c r="EA91" s="1">
        <f t="shared" si="679"/>
        <v>94.731296101159117</v>
      </c>
      <c r="EB91" s="3" t="str">
        <f>EB21</f>
        <v>55B59</v>
      </c>
      <c r="EC91" s="16">
        <f t="shared" si="680"/>
        <v>819</v>
      </c>
      <c r="ED91" s="56">
        <f t="shared" si="681"/>
        <v>819</v>
      </c>
      <c r="EE91" s="57">
        <f t="shared" si="682"/>
        <v>0</v>
      </c>
      <c r="EF91" s="1">
        <f t="shared" si="683"/>
        <v>64.488188976377955</v>
      </c>
      <c r="EG91" s="16">
        <f t="shared" si="684"/>
        <v>829</v>
      </c>
      <c r="EH91" s="56">
        <f t="shared" si="685"/>
        <v>829</v>
      </c>
      <c r="EI91" s="57">
        <f t="shared" si="686"/>
        <v>0</v>
      </c>
      <c r="EJ91" s="1">
        <f t="shared" si="687"/>
        <v>92.213570634037822</v>
      </c>
      <c r="EK91" s="16">
        <f t="shared" si="688"/>
        <v>899</v>
      </c>
      <c r="EL91" s="56">
        <f t="shared" si="689"/>
        <v>899</v>
      </c>
      <c r="EM91" s="57">
        <f t="shared" si="690"/>
        <v>0</v>
      </c>
      <c r="EN91" s="1">
        <f t="shared" si="691"/>
        <v>94.731296101159117</v>
      </c>
    </row>
    <row r="92" spans="2:144" hidden="1" x14ac:dyDescent="0.3">
      <c r="B92" s="3" t="str">
        <f>B52</f>
        <v>55QNED86A</v>
      </c>
      <c r="C92" s="16">
        <f t="shared" si="560"/>
        <v>699</v>
      </c>
      <c r="D92" s="56">
        <f t="shared" si="561"/>
        <v>699</v>
      </c>
      <c r="E92" s="57">
        <f t="shared" si="562"/>
        <v>0</v>
      </c>
      <c r="F92" s="1">
        <f t="shared" si="563"/>
        <v>83.812949640287769</v>
      </c>
      <c r="G92" s="16">
        <f t="shared" si="564"/>
        <v>0</v>
      </c>
      <c r="H92" s="56">
        <f t="shared" si="565"/>
        <v>0</v>
      </c>
      <c r="I92" s="57">
        <f t="shared" si="566"/>
        <v>0</v>
      </c>
      <c r="J92" s="1">
        <f t="shared" si="567"/>
        <v>0</v>
      </c>
      <c r="K92" s="16">
        <f t="shared" si="568"/>
        <v>699</v>
      </c>
      <c r="L92" s="56">
        <f t="shared" si="569"/>
        <v>699</v>
      </c>
      <c r="M92" s="57">
        <f t="shared" si="570"/>
        <v>0</v>
      </c>
      <c r="N92" s="1">
        <f t="shared" si="571"/>
        <v>107.70416024653314</v>
      </c>
      <c r="O92" s="3" t="str">
        <f>O52</f>
        <v>55QNED86A</v>
      </c>
      <c r="P92" s="16">
        <f t="shared" si="572"/>
        <v>699</v>
      </c>
      <c r="Q92" s="56">
        <f t="shared" si="573"/>
        <v>699</v>
      </c>
      <c r="R92" s="57">
        <f t="shared" si="574"/>
        <v>0</v>
      </c>
      <c r="S92" s="1">
        <f t="shared" si="575"/>
        <v>111.12877583465819</v>
      </c>
      <c r="T92" s="16">
        <f t="shared" si="576"/>
        <v>699</v>
      </c>
      <c r="U92" s="56">
        <f t="shared" si="577"/>
        <v>699</v>
      </c>
      <c r="V92" s="57">
        <f t="shared" si="578"/>
        <v>0</v>
      </c>
      <c r="W92" s="1">
        <f t="shared" si="579"/>
        <v>116.69449081803005</v>
      </c>
      <c r="X92" s="16">
        <f t="shared" si="580"/>
        <v>699</v>
      </c>
      <c r="Y92" s="56">
        <f t="shared" si="581"/>
        <v>699</v>
      </c>
      <c r="Z92" s="57">
        <f t="shared" si="582"/>
        <v>0</v>
      </c>
      <c r="AA92" s="1">
        <f t="shared" si="583"/>
        <v>106.39269406392695</v>
      </c>
      <c r="AB92" s="3" t="str">
        <f>AB52</f>
        <v>55QNED86A</v>
      </c>
      <c r="AC92" s="16">
        <f t="shared" si="584"/>
        <v>0</v>
      </c>
      <c r="AD92" s="56">
        <f t="shared" si="585"/>
        <v>0</v>
      </c>
      <c r="AE92" s="57">
        <f t="shared" si="586"/>
        <v>0</v>
      </c>
      <c r="AF92" s="1" t="str">
        <f t="shared" si="587"/>
        <v/>
      </c>
      <c r="AG92" s="16">
        <f t="shared" si="588"/>
        <v>0</v>
      </c>
      <c r="AH92" s="56">
        <f t="shared" si="589"/>
        <v>0</v>
      </c>
      <c r="AI92" s="57">
        <f t="shared" si="590"/>
        <v>0</v>
      </c>
      <c r="AJ92" s="1" t="str">
        <f t="shared" si="591"/>
        <v/>
      </c>
      <c r="AK92" s="16">
        <f t="shared" si="592"/>
        <v>0</v>
      </c>
      <c r="AL92" s="56">
        <f t="shared" si="593"/>
        <v>0</v>
      </c>
      <c r="AM92" s="57">
        <f t="shared" si="594"/>
        <v>0</v>
      </c>
      <c r="AN92" s="1" t="str">
        <f t="shared" si="595"/>
        <v/>
      </c>
      <c r="AO92" s="3" t="str">
        <f>AO52</f>
        <v>55QNED86A</v>
      </c>
      <c r="AP92" s="16">
        <f t="shared" si="596"/>
        <v>645</v>
      </c>
      <c r="AQ92" s="56">
        <f t="shared" si="597"/>
        <v>645</v>
      </c>
      <c r="AR92" s="57">
        <f t="shared" si="598"/>
        <v>0</v>
      </c>
      <c r="AS92" s="1">
        <f t="shared" si="599"/>
        <v>100.93896713615023</v>
      </c>
      <c r="AT92" s="16">
        <f t="shared" si="600"/>
        <v>679</v>
      </c>
      <c r="AU92" s="56">
        <f t="shared" si="601"/>
        <v>679</v>
      </c>
      <c r="AV92" s="57">
        <f t="shared" si="602"/>
        <v>0</v>
      </c>
      <c r="AW92" s="1">
        <f t="shared" si="603"/>
        <v>113.35559265442403</v>
      </c>
      <c r="AX92" s="16">
        <f t="shared" si="604"/>
        <v>0</v>
      </c>
      <c r="AY92" s="56">
        <f t="shared" si="605"/>
        <v>0</v>
      </c>
      <c r="AZ92" s="57">
        <f t="shared" si="606"/>
        <v>0</v>
      </c>
      <c r="BA92" s="1" t="str">
        <f t="shared" si="607"/>
        <v/>
      </c>
      <c r="BB92" s="3" t="str">
        <f>BB52</f>
        <v>55QNED86A</v>
      </c>
      <c r="BC92" s="16">
        <f t="shared" si="608"/>
        <v>645</v>
      </c>
      <c r="BD92" s="56">
        <f t="shared" si="609"/>
        <v>645</v>
      </c>
      <c r="BE92" s="57">
        <f t="shared" si="610"/>
        <v>0</v>
      </c>
      <c r="BF92" s="1">
        <f t="shared" si="611"/>
        <v>100.93896713615023</v>
      </c>
      <c r="BG92" s="16">
        <f t="shared" si="612"/>
        <v>679</v>
      </c>
      <c r="BH92" s="56">
        <f t="shared" si="613"/>
        <v>679</v>
      </c>
      <c r="BI92" s="57">
        <f t="shared" si="614"/>
        <v>0</v>
      </c>
      <c r="BJ92" s="1">
        <f t="shared" si="615"/>
        <v>113.35559265442403</v>
      </c>
      <c r="BK92" s="16">
        <f t="shared" si="616"/>
        <v>0</v>
      </c>
      <c r="BL92" s="56">
        <f t="shared" si="617"/>
        <v>0</v>
      </c>
      <c r="BM92" s="57">
        <f t="shared" si="618"/>
        <v>0</v>
      </c>
      <c r="BN92" s="1" t="str">
        <f t="shared" si="619"/>
        <v/>
      </c>
      <c r="BO92" s="3" t="str">
        <f>BO52</f>
        <v>55QNED86A</v>
      </c>
      <c r="BP92" s="16">
        <f t="shared" si="620"/>
        <v>645</v>
      </c>
      <c r="BQ92" s="56">
        <f t="shared" si="621"/>
        <v>645</v>
      </c>
      <c r="BR92" s="57">
        <f t="shared" si="622"/>
        <v>0</v>
      </c>
      <c r="BS92" s="1">
        <f t="shared" si="623"/>
        <v>100.93896713615023</v>
      </c>
      <c r="BT92" s="16">
        <f t="shared" si="624"/>
        <v>679</v>
      </c>
      <c r="BU92" s="56">
        <f t="shared" si="625"/>
        <v>679</v>
      </c>
      <c r="BV92" s="57">
        <f t="shared" si="626"/>
        <v>0</v>
      </c>
      <c r="BW92" s="1">
        <f t="shared" si="627"/>
        <v>113.35559265442403</v>
      </c>
      <c r="BX92" s="16">
        <f t="shared" si="628"/>
        <v>0</v>
      </c>
      <c r="BY92" s="56">
        <f t="shared" si="629"/>
        <v>0</v>
      </c>
      <c r="BZ92" s="57">
        <f t="shared" si="630"/>
        <v>0</v>
      </c>
      <c r="CA92" s="1" t="str">
        <f t="shared" si="631"/>
        <v/>
      </c>
      <c r="CB92" s="3" t="str">
        <f>CB52</f>
        <v>55QNED86A</v>
      </c>
      <c r="CC92" s="16">
        <f t="shared" si="632"/>
        <v>645</v>
      </c>
      <c r="CD92" s="56">
        <f t="shared" si="633"/>
        <v>645</v>
      </c>
      <c r="CE92" s="57">
        <f t="shared" si="634"/>
        <v>0</v>
      </c>
      <c r="CF92" s="1">
        <f t="shared" si="635"/>
        <v>100.93896713615023</v>
      </c>
      <c r="CG92" s="16">
        <f t="shared" si="636"/>
        <v>679</v>
      </c>
      <c r="CH92" s="56">
        <f t="shared" si="637"/>
        <v>679</v>
      </c>
      <c r="CI92" s="57">
        <f t="shared" si="638"/>
        <v>0</v>
      </c>
      <c r="CJ92" s="1">
        <f t="shared" si="639"/>
        <v>113.35559265442403</v>
      </c>
      <c r="CK92" s="16">
        <f t="shared" si="640"/>
        <v>0</v>
      </c>
      <c r="CL92" s="56">
        <f t="shared" si="641"/>
        <v>0</v>
      </c>
      <c r="CM92" s="57">
        <f t="shared" si="642"/>
        <v>0</v>
      </c>
      <c r="CN92" s="1" t="str">
        <f t="shared" si="643"/>
        <v/>
      </c>
      <c r="CO92" s="3" t="str">
        <f>CO52</f>
        <v>55QNED86A</v>
      </c>
      <c r="CP92" s="16">
        <f t="shared" si="644"/>
        <v>645</v>
      </c>
      <c r="CQ92" s="56">
        <f t="shared" si="645"/>
        <v>645</v>
      </c>
      <c r="CR92" s="57">
        <f t="shared" si="646"/>
        <v>0</v>
      </c>
      <c r="CS92" s="1">
        <f t="shared" si="647"/>
        <v>100.93896713615023</v>
      </c>
      <c r="CT92" s="16">
        <f t="shared" si="648"/>
        <v>679</v>
      </c>
      <c r="CU92" s="56">
        <f t="shared" si="649"/>
        <v>679</v>
      </c>
      <c r="CV92" s="57">
        <f t="shared" si="650"/>
        <v>0</v>
      </c>
      <c r="CW92" s="1">
        <f t="shared" si="651"/>
        <v>113.35559265442403</v>
      </c>
      <c r="CX92" s="16">
        <f t="shared" si="652"/>
        <v>0</v>
      </c>
      <c r="CY92" s="56">
        <f t="shared" si="653"/>
        <v>0</v>
      </c>
      <c r="CZ92" s="57">
        <f t="shared" si="654"/>
        <v>0</v>
      </c>
      <c r="DA92" s="1" t="str">
        <f t="shared" si="655"/>
        <v/>
      </c>
      <c r="DB92" s="3" t="str">
        <f>DB52</f>
        <v>55QNED86A</v>
      </c>
      <c r="DC92" s="16">
        <f t="shared" si="656"/>
        <v>645</v>
      </c>
      <c r="DD92" s="56">
        <f t="shared" si="657"/>
        <v>645</v>
      </c>
      <c r="DE92" s="57">
        <f t="shared" si="658"/>
        <v>0</v>
      </c>
      <c r="DF92" s="1">
        <f t="shared" si="659"/>
        <v>100.93896713615023</v>
      </c>
      <c r="DG92" s="16">
        <f t="shared" si="660"/>
        <v>679</v>
      </c>
      <c r="DH92" s="56">
        <f t="shared" si="661"/>
        <v>679</v>
      </c>
      <c r="DI92" s="57">
        <f t="shared" si="662"/>
        <v>0</v>
      </c>
      <c r="DJ92" s="1">
        <f t="shared" si="663"/>
        <v>113.35559265442403</v>
      </c>
      <c r="DK92" s="16">
        <f t="shared" si="664"/>
        <v>0</v>
      </c>
      <c r="DL92" s="56">
        <f t="shared" si="665"/>
        <v>0</v>
      </c>
      <c r="DM92" s="57">
        <f t="shared" si="666"/>
        <v>0</v>
      </c>
      <c r="DN92" s="1" t="str">
        <f t="shared" si="667"/>
        <v/>
      </c>
      <c r="DO92" s="3" t="str">
        <f>DO52</f>
        <v>55QNED86A</v>
      </c>
      <c r="DP92" s="16">
        <f t="shared" si="668"/>
        <v>645</v>
      </c>
      <c r="DQ92" s="56">
        <f t="shared" si="669"/>
        <v>645</v>
      </c>
      <c r="DR92" s="57">
        <f t="shared" si="670"/>
        <v>0</v>
      </c>
      <c r="DS92" s="1">
        <f t="shared" si="671"/>
        <v>100.93896713615023</v>
      </c>
      <c r="DT92" s="16">
        <f t="shared" si="672"/>
        <v>679</v>
      </c>
      <c r="DU92" s="56">
        <f t="shared" si="673"/>
        <v>679</v>
      </c>
      <c r="DV92" s="57">
        <f t="shared" si="674"/>
        <v>0</v>
      </c>
      <c r="DW92" s="1">
        <f t="shared" si="675"/>
        <v>113.35559265442403</v>
      </c>
      <c r="DX92" s="16">
        <f t="shared" si="676"/>
        <v>0</v>
      </c>
      <c r="DY92" s="56">
        <f t="shared" si="677"/>
        <v>0</v>
      </c>
      <c r="DZ92" s="57">
        <f t="shared" si="678"/>
        <v>0</v>
      </c>
      <c r="EA92" s="1" t="str">
        <f t="shared" si="679"/>
        <v/>
      </c>
      <c r="EB92" s="3" t="str">
        <f>EB52</f>
        <v>55QNED86A</v>
      </c>
      <c r="EC92" s="16">
        <f t="shared" si="680"/>
        <v>645</v>
      </c>
      <c r="ED92" s="56">
        <f t="shared" si="681"/>
        <v>645</v>
      </c>
      <c r="EE92" s="57">
        <f t="shared" si="682"/>
        <v>0</v>
      </c>
      <c r="EF92" s="1">
        <f t="shared" si="683"/>
        <v>100.93896713615023</v>
      </c>
      <c r="EG92" s="16">
        <f t="shared" si="684"/>
        <v>679</v>
      </c>
      <c r="EH92" s="56">
        <f t="shared" si="685"/>
        <v>679</v>
      </c>
      <c r="EI92" s="57">
        <f t="shared" si="686"/>
        <v>0</v>
      </c>
      <c r="EJ92" s="1">
        <f t="shared" si="687"/>
        <v>113.35559265442403</v>
      </c>
      <c r="EK92" s="16">
        <f t="shared" si="688"/>
        <v>0</v>
      </c>
      <c r="EL92" s="56">
        <f t="shared" si="689"/>
        <v>0</v>
      </c>
      <c r="EM92" s="57">
        <f t="shared" si="690"/>
        <v>0</v>
      </c>
      <c r="EN92" s="1" t="str">
        <f t="shared" si="691"/>
        <v/>
      </c>
    </row>
    <row r="93" spans="2:144" hidden="1" x14ac:dyDescent="0.3">
      <c r="B93" s="3" t="str">
        <f>B44</f>
        <v>55QNED80A</v>
      </c>
      <c r="C93" s="16">
        <f t="shared" si="560"/>
        <v>499</v>
      </c>
      <c r="D93" s="56">
        <f t="shared" si="561"/>
        <v>499</v>
      </c>
      <c r="E93" s="57">
        <f t="shared" si="562"/>
        <v>0</v>
      </c>
      <c r="F93" s="1">
        <f t="shared" si="563"/>
        <v>77.484472049689444</v>
      </c>
      <c r="G93" s="16">
        <f t="shared" si="564"/>
        <v>549</v>
      </c>
      <c r="H93" s="56">
        <f t="shared" si="565"/>
        <v>549</v>
      </c>
      <c r="I93" s="57">
        <f t="shared" si="566"/>
        <v>0</v>
      </c>
      <c r="J93" s="1">
        <f t="shared" si="567"/>
        <v>100</v>
      </c>
      <c r="K93" s="16">
        <f t="shared" si="568"/>
        <v>574</v>
      </c>
      <c r="L93" s="56">
        <f t="shared" si="569"/>
        <v>574</v>
      </c>
      <c r="M93" s="57">
        <f t="shared" si="570"/>
        <v>0</v>
      </c>
      <c r="N93" s="1">
        <f t="shared" si="571"/>
        <v>115.03006012024048</v>
      </c>
      <c r="O93" s="3" t="str">
        <f>O44</f>
        <v>55QNED80A</v>
      </c>
      <c r="P93" s="16">
        <f t="shared" si="572"/>
        <v>479</v>
      </c>
      <c r="Q93" s="56">
        <f t="shared" si="573"/>
        <v>479</v>
      </c>
      <c r="R93" s="57">
        <f t="shared" si="574"/>
        <v>0</v>
      </c>
      <c r="S93" s="1">
        <f t="shared" si="575"/>
        <v>74.148606811145513</v>
      </c>
      <c r="T93" s="16">
        <f t="shared" si="576"/>
        <v>549</v>
      </c>
      <c r="U93" s="56">
        <f t="shared" si="577"/>
        <v>549</v>
      </c>
      <c r="V93" s="57">
        <f t="shared" si="578"/>
        <v>0</v>
      </c>
      <c r="W93" s="1">
        <f t="shared" si="579"/>
        <v>110.02004008016033</v>
      </c>
      <c r="X93" s="16">
        <f t="shared" si="580"/>
        <v>566</v>
      </c>
      <c r="Y93" s="56">
        <f t="shared" si="581"/>
        <v>566</v>
      </c>
      <c r="Z93" s="57">
        <f t="shared" si="582"/>
        <v>0</v>
      </c>
      <c r="AA93" s="1">
        <f t="shared" si="583"/>
        <v>119.66173361522199</v>
      </c>
      <c r="AB93" s="3" t="str">
        <f>AB44</f>
        <v>55QNED80A</v>
      </c>
      <c r="AC93" s="16">
        <f t="shared" si="584"/>
        <v>0</v>
      </c>
      <c r="AD93" s="56">
        <f t="shared" si="585"/>
        <v>0</v>
      </c>
      <c r="AE93" s="57">
        <f t="shared" si="586"/>
        <v>0</v>
      </c>
      <c r="AF93" s="1" t="str">
        <f t="shared" si="587"/>
        <v/>
      </c>
      <c r="AG93" s="16">
        <f t="shared" si="588"/>
        <v>0</v>
      </c>
      <c r="AH93" s="56">
        <f t="shared" si="589"/>
        <v>0</v>
      </c>
      <c r="AI93" s="57">
        <f t="shared" si="590"/>
        <v>0</v>
      </c>
      <c r="AJ93" s="1" t="str">
        <f t="shared" si="591"/>
        <v/>
      </c>
      <c r="AK93" s="16">
        <f t="shared" si="592"/>
        <v>0</v>
      </c>
      <c r="AL93" s="56">
        <f t="shared" si="593"/>
        <v>0</v>
      </c>
      <c r="AM93" s="57">
        <f t="shared" si="594"/>
        <v>0</v>
      </c>
      <c r="AN93" s="1" t="str">
        <f t="shared" si="595"/>
        <v/>
      </c>
      <c r="AO93" s="3" t="str">
        <f>AO44</f>
        <v>55QNED80A</v>
      </c>
      <c r="AP93" s="16">
        <f t="shared" si="596"/>
        <v>539</v>
      </c>
      <c r="AQ93" s="56">
        <f t="shared" si="597"/>
        <v>539</v>
      </c>
      <c r="AR93" s="57">
        <f t="shared" si="598"/>
        <v>0</v>
      </c>
      <c r="AS93" s="1">
        <f t="shared" si="599"/>
        <v>108.01603206412827</v>
      </c>
      <c r="AT93" s="16">
        <f t="shared" si="600"/>
        <v>549</v>
      </c>
      <c r="AU93" s="56">
        <f t="shared" si="601"/>
        <v>549</v>
      </c>
      <c r="AV93" s="57">
        <f t="shared" si="602"/>
        <v>0</v>
      </c>
      <c r="AW93" s="1">
        <f t="shared" si="603"/>
        <v>110.02004008016033</v>
      </c>
      <c r="AX93" s="16">
        <f t="shared" si="604"/>
        <v>0</v>
      </c>
      <c r="AY93" s="56">
        <f t="shared" si="605"/>
        <v>0</v>
      </c>
      <c r="AZ93" s="57">
        <f t="shared" si="606"/>
        <v>0</v>
      </c>
      <c r="BA93" s="1" t="str">
        <f t="shared" si="607"/>
        <v/>
      </c>
      <c r="BB93" s="3" t="str">
        <f>BB44</f>
        <v>55QNED80A</v>
      </c>
      <c r="BC93" s="16">
        <f t="shared" si="608"/>
        <v>539</v>
      </c>
      <c r="BD93" s="56">
        <f t="shared" si="609"/>
        <v>539</v>
      </c>
      <c r="BE93" s="57">
        <f t="shared" si="610"/>
        <v>0</v>
      </c>
      <c r="BF93" s="1">
        <f t="shared" si="611"/>
        <v>108.01603206412827</v>
      </c>
      <c r="BG93" s="16">
        <f t="shared" si="612"/>
        <v>549</v>
      </c>
      <c r="BH93" s="56">
        <f t="shared" si="613"/>
        <v>549</v>
      </c>
      <c r="BI93" s="57">
        <f t="shared" si="614"/>
        <v>0</v>
      </c>
      <c r="BJ93" s="1">
        <f t="shared" si="615"/>
        <v>110.02004008016033</v>
      </c>
      <c r="BK93" s="16">
        <f t="shared" si="616"/>
        <v>0</v>
      </c>
      <c r="BL93" s="56">
        <f t="shared" si="617"/>
        <v>0</v>
      </c>
      <c r="BM93" s="57">
        <f t="shared" si="618"/>
        <v>0</v>
      </c>
      <c r="BN93" s="1" t="str">
        <f t="shared" si="619"/>
        <v/>
      </c>
      <c r="BO93" s="3" t="str">
        <f>BO44</f>
        <v>55QNED80A</v>
      </c>
      <c r="BP93" s="16">
        <f t="shared" si="620"/>
        <v>539</v>
      </c>
      <c r="BQ93" s="56">
        <f t="shared" si="621"/>
        <v>539</v>
      </c>
      <c r="BR93" s="57">
        <f t="shared" si="622"/>
        <v>0</v>
      </c>
      <c r="BS93" s="1">
        <f t="shared" si="623"/>
        <v>108.01603206412827</v>
      </c>
      <c r="BT93" s="16">
        <f t="shared" si="624"/>
        <v>549</v>
      </c>
      <c r="BU93" s="56">
        <f t="shared" si="625"/>
        <v>549</v>
      </c>
      <c r="BV93" s="57">
        <f t="shared" si="626"/>
        <v>0</v>
      </c>
      <c r="BW93" s="1">
        <f t="shared" si="627"/>
        <v>110.02004008016033</v>
      </c>
      <c r="BX93" s="16">
        <f t="shared" si="628"/>
        <v>0</v>
      </c>
      <c r="BY93" s="56">
        <f t="shared" si="629"/>
        <v>0</v>
      </c>
      <c r="BZ93" s="57">
        <f t="shared" si="630"/>
        <v>0</v>
      </c>
      <c r="CA93" s="1" t="str">
        <f t="shared" si="631"/>
        <v/>
      </c>
      <c r="CB93" s="3" t="str">
        <f>CB44</f>
        <v>55QNED80A</v>
      </c>
      <c r="CC93" s="16">
        <f t="shared" si="632"/>
        <v>539</v>
      </c>
      <c r="CD93" s="56">
        <f t="shared" si="633"/>
        <v>539</v>
      </c>
      <c r="CE93" s="57">
        <f t="shared" si="634"/>
        <v>0</v>
      </c>
      <c r="CF93" s="1">
        <f t="shared" si="635"/>
        <v>108.01603206412827</v>
      </c>
      <c r="CG93" s="16">
        <f t="shared" si="636"/>
        <v>549</v>
      </c>
      <c r="CH93" s="56">
        <f t="shared" si="637"/>
        <v>549</v>
      </c>
      <c r="CI93" s="57">
        <f t="shared" si="638"/>
        <v>0</v>
      </c>
      <c r="CJ93" s="1">
        <f t="shared" si="639"/>
        <v>110.02004008016033</v>
      </c>
      <c r="CK93" s="16">
        <f t="shared" si="640"/>
        <v>0</v>
      </c>
      <c r="CL93" s="56">
        <f t="shared" si="641"/>
        <v>0</v>
      </c>
      <c r="CM93" s="57">
        <f t="shared" si="642"/>
        <v>0</v>
      </c>
      <c r="CN93" s="1" t="str">
        <f t="shared" si="643"/>
        <v/>
      </c>
      <c r="CO93" s="3" t="str">
        <f>CO44</f>
        <v>55QNED80A</v>
      </c>
      <c r="CP93" s="16">
        <f t="shared" si="644"/>
        <v>539</v>
      </c>
      <c r="CQ93" s="56">
        <f t="shared" si="645"/>
        <v>539</v>
      </c>
      <c r="CR93" s="57">
        <f t="shared" si="646"/>
        <v>0</v>
      </c>
      <c r="CS93" s="1">
        <f t="shared" si="647"/>
        <v>108.01603206412827</v>
      </c>
      <c r="CT93" s="16">
        <f t="shared" si="648"/>
        <v>549</v>
      </c>
      <c r="CU93" s="56">
        <f t="shared" si="649"/>
        <v>549</v>
      </c>
      <c r="CV93" s="57">
        <f t="shared" si="650"/>
        <v>0</v>
      </c>
      <c r="CW93" s="1">
        <f t="shared" si="651"/>
        <v>110.02004008016033</v>
      </c>
      <c r="CX93" s="16">
        <f t="shared" si="652"/>
        <v>0</v>
      </c>
      <c r="CY93" s="56">
        <f t="shared" si="653"/>
        <v>0</v>
      </c>
      <c r="CZ93" s="57">
        <f t="shared" si="654"/>
        <v>0</v>
      </c>
      <c r="DA93" s="1" t="str">
        <f t="shared" si="655"/>
        <v/>
      </c>
      <c r="DB93" s="3" t="str">
        <f>DB44</f>
        <v>55QNED80A</v>
      </c>
      <c r="DC93" s="16">
        <f t="shared" si="656"/>
        <v>539</v>
      </c>
      <c r="DD93" s="56">
        <f t="shared" si="657"/>
        <v>539</v>
      </c>
      <c r="DE93" s="57">
        <f t="shared" si="658"/>
        <v>0</v>
      </c>
      <c r="DF93" s="1">
        <f t="shared" si="659"/>
        <v>108.01603206412827</v>
      </c>
      <c r="DG93" s="16">
        <f t="shared" si="660"/>
        <v>549</v>
      </c>
      <c r="DH93" s="56">
        <f t="shared" si="661"/>
        <v>549</v>
      </c>
      <c r="DI93" s="57">
        <f t="shared" si="662"/>
        <v>0</v>
      </c>
      <c r="DJ93" s="1">
        <f t="shared" si="663"/>
        <v>110.02004008016033</v>
      </c>
      <c r="DK93" s="16">
        <f t="shared" si="664"/>
        <v>0</v>
      </c>
      <c r="DL93" s="56">
        <f t="shared" si="665"/>
        <v>0</v>
      </c>
      <c r="DM93" s="57">
        <f t="shared" si="666"/>
        <v>0</v>
      </c>
      <c r="DN93" s="1" t="str">
        <f t="shared" si="667"/>
        <v/>
      </c>
      <c r="DO93" s="3" t="str">
        <f>DO44</f>
        <v>55QNED80A</v>
      </c>
      <c r="DP93" s="16">
        <f t="shared" si="668"/>
        <v>539</v>
      </c>
      <c r="DQ93" s="56">
        <f t="shared" si="669"/>
        <v>539</v>
      </c>
      <c r="DR93" s="57">
        <f t="shared" si="670"/>
        <v>0</v>
      </c>
      <c r="DS93" s="1">
        <f t="shared" si="671"/>
        <v>108.01603206412827</v>
      </c>
      <c r="DT93" s="16">
        <f t="shared" si="672"/>
        <v>549</v>
      </c>
      <c r="DU93" s="56">
        <f t="shared" si="673"/>
        <v>549</v>
      </c>
      <c r="DV93" s="57">
        <f t="shared" si="674"/>
        <v>0</v>
      </c>
      <c r="DW93" s="1">
        <f t="shared" si="675"/>
        <v>110.02004008016033</v>
      </c>
      <c r="DX93" s="16">
        <f t="shared" si="676"/>
        <v>0</v>
      </c>
      <c r="DY93" s="56">
        <f t="shared" si="677"/>
        <v>0</v>
      </c>
      <c r="DZ93" s="57">
        <f t="shared" si="678"/>
        <v>0</v>
      </c>
      <c r="EA93" s="1" t="str">
        <f t="shared" si="679"/>
        <v/>
      </c>
      <c r="EB93" s="3" t="str">
        <f>EB44</f>
        <v>55QNED80A</v>
      </c>
      <c r="EC93" s="16">
        <f t="shared" si="680"/>
        <v>539</v>
      </c>
      <c r="ED93" s="56">
        <f t="shared" si="681"/>
        <v>539</v>
      </c>
      <c r="EE93" s="57">
        <f t="shared" si="682"/>
        <v>0</v>
      </c>
      <c r="EF93" s="1">
        <f t="shared" si="683"/>
        <v>108.01603206412827</v>
      </c>
      <c r="EG93" s="16">
        <f t="shared" si="684"/>
        <v>549</v>
      </c>
      <c r="EH93" s="56">
        <f t="shared" si="685"/>
        <v>549</v>
      </c>
      <c r="EI93" s="57">
        <f t="shared" si="686"/>
        <v>0</v>
      </c>
      <c r="EJ93" s="1">
        <f t="shared" si="687"/>
        <v>110.02004008016033</v>
      </c>
      <c r="EK93" s="16">
        <f t="shared" si="688"/>
        <v>0</v>
      </c>
      <c r="EL93" s="56">
        <f t="shared" si="689"/>
        <v>0</v>
      </c>
      <c r="EM93" s="57">
        <f t="shared" si="690"/>
        <v>0</v>
      </c>
      <c r="EN93" s="1" t="str">
        <f t="shared" si="691"/>
        <v/>
      </c>
    </row>
    <row r="94" spans="2:144" hidden="1" x14ac:dyDescent="0.3">
      <c r="B94" s="3" t="str">
        <f>B59</f>
        <v>55QNED70A</v>
      </c>
      <c r="C94" s="16">
        <f t="shared" si="560"/>
        <v>0</v>
      </c>
      <c r="D94" s="56">
        <f t="shared" si="561"/>
        <v>0</v>
      </c>
      <c r="E94" s="57">
        <f t="shared" si="562"/>
        <v>0</v>
      </c>
      <c r="F94" s="1" t="str">
        <f t="shared" si="563"/>
        <v/>
      </c>
      <c r="G94" s="16">
        <f t="shared" si="564"/>
        <v>0</v>
      </c>
      <c r="H94" s="56">
        <f t="shared" si="565"/>
        <v>0</v>
      </c>
      <c r="I94" s="57">
        <f t="shared" si="566"/>
        <v>0</v>
      </c>
      <c r="J94" s="1" t="str">
        <f t="shared" si="567"/>
        <v/>
      </c>
      <c r="K94" s="16">
        <f t="shared" si="568"/>
        <v>0</v>
      </c>
      <c r="L94" s="56">
        <f t="shared" si="569"/>
        <v>0</v>
      </c>
      <c r="M94" s="57">
        <f t="shared" si="570"/>
        <v>0</v>
      </c>
      <c r="N94" s="1" t="str">
        <f t="shared" si="571"/>
        <v/>
      </c>
      <c r="O94" s="3" t="str">
        <f>O59</f>
        <v>55QNED70A</v>
      </c>
      <c r="P94" s="16">
        <f t="shared" si="572"/>
        <v>0</v>
      </c>
      <c r="Q94" s="56">
        <f t="shared" si="573"/>
        <v>0</v>
      </c>
      <c r="R94" s="57">
        <f t="shared" si="574"/>
        <v>0</v>
      </c>
      <c r="S94" s="1" t="str">
        <f t="shared" si="575"/>
        <v/>
      </c>
      <c r="T94" s="16">
        <f t="shared" si="576"/>
        <v>0</v>
      </c>
      <c r="U94" s="56">
        <f t="shared" si="577"/>
        <v>0</v>
      </c>
      <c r="V94" s="57">
        <f t="shared" si="578"/>
        <v>0</v>
      </c>
      <c r="W94" s="1" t="str">
        <f t="shared" si="579"/>
        <v/>
      </c>
      <c r="X94" s="16">
        <f t="shared" si="580"/>
        <v>451</v>
      </c>
      <c r="Y94" s="56">
        <f t="shared" si="581"/>
        <v>451</v>
      </c>
      <c r="Z94" s="57">
        <f t="shared" si="582"/>
        <v>0</v>
      </c>
      <c r="AA94" s="1" t="str">
        <f t="shared" si="583"/>
        <v/>
      </c>
      <c r="AB94" s="3" t="str">
        <f>AB59</f>
        <v>55QNED70A</v>
      </c>
      <c r="AC94" s="16">
        <f t="shared" si="584"/>
        <v>0</v>
      </c>
      <c r="AD94" s="56">
        <f t="shared" si="585"/>
        <v>0</v>
      </c>
      <c r="AE94" s="57">
        <f t="shared" si="586"/>
        <v>0</v>
      </c>
      <c r="AF94" s="1" t="str">
        <f t="shared" si="587"/>
        <v/>
      </c>
      <c r="AG94" s="16">
        <f t="shared" si="588"/>
        <v>0</v>
      </c>
      <c r="AH94" s="56">
        <f t="shared" si="589"/>
        <v>0</v>
      </c>
      <c r="AI94" s="57">
        <f t="shared" si="590"/>
        <v>0</v>
      </c>
      <c r="AJ94" s="1" t="str">
        <f t="shared" si="591"/>
        <v/>
      </c>
      <c r="AK94" s="16">
        <f t="shared" si="592"/>
        <v>0</v>
      </c>
      <c r="AL94" s="56">
        <f t="shared" si="593"/>
        <v>0</v>
      </c>
      <c r="AM94" s="57">
        <f t="shared" si="594"/>
        <v>0</v>
      </c>
      <c r="AN94" s="1" t="str">
        <f t="shared" si="595"/>
        <v/>
      </c>
      <c r="AO94" s="3" t="str">
        <f>AO59</f>
        <v>55QNED70A</v>
      </c>
      <c r="AP94" s="16">
        <f t="shared" si="596"/>
        <v>0</v>
      </c>
      <c r="AQ94" s="56">
        <f t="shared" si="597"/>
        <v>0</v>
      </c>
      <c r="AR94" s="57">
        <f t="shared" si="598"/>
        <v>0</v>
      </c>
      <c r="AS94" s="1" t="str">
        <f t="shared" si="599"/>
        <v/>
      </c>
      <c r="AT94" s="16">
        <f t="shared" si="600"/>
        <v>0</v>
      </c>
      <c r="AU94" s="56">
        <f t="shared" si="601"/>
        <v>0</v>
      </c>
      <c r="AV94" s="57">
        <f t="shared" si="602"/>
        <v>0</v>
      </c>
      <c r="AW94" s="1" t="str">
        <f t="shared" si="603"/>
        <v/>
      </c>
      <c r="AX94" s="16">
        <f t="shared" si="604"/>
        <v>0</v>
      </c>
      <c r="AY94" s="56">
        <f t="shared" si="605"/>
        <v>0</v>
      </c>
      <c r="AZ94" s="57">
        <f t="shared" si="606"/>
        <v>0</v>
      </c>
      <c r="BA94" s="1" t="str">
        <f t="shared" si="607"/>
        <v/>
      </c>
      <c r="BB94" s="3" t="str">
        <f>BB59</f>
        <v>55QNED70A</v>
      </c>
      <c r="BC94" s="16">
        <f t="shared" si="608"/>
        <v>0</v>
      </c>
      <c r="BD94" s="56">
        <f t="shared" si="609"/>
        <v>0</v>
      </c>
      <c r="BE94" s="57">
        <f t="shared" si="610"/>
        <v>0</v>
      </c>
      <c r="BF94" s="1" t="str">
        <f t="shared" si="611"/>
        <v/>
      </c>
      <c r="BG94" s="16">
        <f t="shared" si="612"/>
        <v>0</v>
      </c>
      <c r="BH94" s="56">
        <f t="shared" si="613"/>
        <v>0</v>
      </c>
      <c r="BI94" s="57">
        <f t="shared" si="614"/>
        <v>0</v>
      </c>
      <c r="BJ94" s="1" t="str">
        <f t="shared" si="615"/>
        <v/>
      </c>
      <c r="BK94" s="16">
        <f t="shared" si="616"/>
        <v>0</v>
      </c>
      <c r="BL94" s="56">
        <f t="shared" si="617"/>
        <v>0</v>
      </c>
      <c r="BM94" s="57">
        <f t="shared" si="618"/>
        <v>0</v>
      </c>
      <c r="BN94" s="1" t="str">
        <f t="shared" si="619"/>
        <v/>
      </c>
      <c r="BO94" s="3" t="str">
        <f>BO59</f>
        <v>55QNED70A</v>
      </c>
      <c r="BP94" s="16">
        <f t="shared" si="620"/>
        <v>0</v>
      </c>
      <c r="BQ94" s="56">
        <f t="shared" si="621"/>
        <v>0</v>
      </c>
      <c r="BR94" s="57">
        <f t="shared" si="622"/>
        <v>0</v>
      </c>
      <c r="BS94" s="1" t="str">
        <f t="shared" si="623"/>
        <v/>
      </c>
      <c r="BT94" s="16">
        <f t="shared" si="624"/>
        <v>0</v>
      </c>
      <c r="BU94" s="56">
        <f t="shared" si="625"/>
        <v>0</v>
      </c>
      <c r="BV94" s="57">
        <f t="shared" si="626"/>
        <v>0</v>
      </c>
      <c r="BW94" s="1" t="str">
        <f t="shared" si="627"/>
        <v/>
      </c>
      <c r="BX94" s="16">
        <f t="shared" si="628"/>
        <v>0</v>
      </c>
      <c r="BY94" s="56">
        <f t="shared" si="629"/>
        <v>0</v>
      </c>
      <c r="BZ94" s="57">
        <f t="shared" si="630"/>
        <v>0</v>
      </c>
      <c r="CA94" s="1" t="str">
        <f t="shared" si="631"/>
        <v/>
      </c>
      <c r="CB94" s="3" t="str">
        <f>CB59</f>
        <v>55QNED70A</v>
      </c>
      <c r="CC94" s="16">
        <f t="shared" si="632"/>
        <v>0</v>
      </c>
      <c r="CD94" s="56">
        <f t="shared" si="633"/>
        <v>0</v>
      </c>
      <c r="CE94" s="57">
        <f t="shared" si="634"/>
        <v>0</v>
      </c>
      <c r="CF94" s="1" t="str">
        <f t="shared" si="635"/>
        <v/>
      </c>
      <c r="CG94" s="16">
        <f t="shared" si="636"/>
        <v>0</v>
      </c>
      <c r="CH94" s="56">
        <f t="shared" si="637"/>
        <v>0</v>
      </c>
      <c r="CI94" s="57">
        <f t="shared" si="638"/>
        <v>0</v>
      </c>
      <c r="CJ94" s="1" t="str">
        <f t="shared" si="639"/>
        <v/>
      </c>
      <c r="CK94" s="16">
        <f t="shared" si="640"/>
        <v>0</v>
      </c>
      <c r="CL94" s="56">
        <f t="shared" si="641"/>
        <v>0</v>
      </c>
      <c r="CM94" s="57">
        <f t="shared" si="642"/>
        <v>0</v>
      </c>
      <c r="CN94" s="1" t="str">
        <f t="shared" si="643"/>
        <v/>
      </c>
      <c r="CO94" s="3" t="str">
        <f>CO59</f>
        <v>55QNED70A</v>
      </c>
      <c r="CP94" s="16">
        <f t="shared" si="644"/>
        <v>0</v>
      </c>
      <c r="CQ94" s="56">
        <f t="shared" si="645"/>
        <v>0</v>
      </c>
      <c r="CR94" s="57">
        <f t="shared" si="646"/>
        <v>0</v>
      </c>
      <c r="CS94" s="1" t="str">
        <f t="shared" si="647"/>
        <v/>
      </c>
      <c r="CT94" s="16">
        <f t="shared" si="648"/>
        <v>0</v>
      </c>
      <c r="CU94" s="56">
        <f t="shared" si="649"/>
        <v>0</v>
      </c>
      <c r="CV94" s="57">
        <f t="shared" si="650"/>
        <v>0</v>
      </c>
      <c r="CW94" s="1" t="str">
        <f t="shared" si="651"/>
        <v/>
      </c>
      <c r="CX94" s="16">
        <f t="shared" si="652"/>
        <v>0</v>
      </c>
      <c r="CY94" s="56">
        <f t="shared" si="653"/>
        <v>0</v>
      </c>
      <c r="CZ94" s="57">
        <f t="shared" si="654"/>
        <v>0</v>
      </c>
      <c r="DA94" s="1" t="str">
        <f t="shared" si="655"/>
        <v/>
      </c>
      <c r="DB94" s="3" t="str">
        <f>DB59</f>
        <v>55QNED70A</v>
      </c>
      <c r="DC94" s="16">
        <f t="shared" si="656"/>
        <v>0</v>
      </c>
      <c r="DD94" s="56">
        <f t="shared" si="657"/>
        <v>0</v>
      </c>
      <c r="DE94" s="57">
        <f t="shared" si="658"/>
        <v>0</v>
      </c>
      <c r="DF94" s="1" t="str">
        <f t="shared" si="659"/>
        <v/>
      </c>
      <c r="DG94" s="16">
        <f t="shared" si="660"/>
        <v>0</v>
      </c>
      <c r="DH94" s="56">
        <f t="shared" si="661"/>
        <v>0</v>
      </c>
      <c r="DI94" s="57">
        <f t="shared" si="662"/>
        <v>0</v>
      </c>
      <c r="DJ94" s="1" t="str">
        <f t="shared" si="663"/>
        <v/>
      </c>
      <c r="DK94" s="16">
        <f t="shared" si="664"/>
        <v>0</v>
      </c>
      <c r="DL94" s="56">
        <f t="shared" si="665"/>
        <v>0</v>
      </c>
      <c r="DM94" s="57">
        <f t="shared" si="666"/>
        <v>0</v>
      </c>
      <c r="DN94" s="1" t="str">
        <f t="shared" si="667"/>
        <v/>
      </c>
      <c r="DO94" s="3" t="str">
        <f>DO59</f>
        <v>55QNED70A</v>
      </c>
      <c r="DP94" s="16">
        <f t="shared" si="668"/>
        <v>0</v>
      </c>
      <c r="DQ94" s="56">
        <f t="shared" si="669"/>
        <v>0</v>
      </c>
      <c r="DR94" s="57">
        <f t="shared" si="670"/>
        <v>0</v>
      </c>
      <c r="DS94" s="1" t="str">
        <f t="shared" si="671"/>
        <v/>
      </c>
      <c r="DT94" s="16">
        <f t="shared" si="672"/>
        <v>0</v>
      </c>
      <c r="DU94" s="56">
        <f t="shared" si="673"/>
        <v>0</v>
      </c>
      <c r="DV94" s="57">
        <f t="shared" si="674"/>
        <v>0</v>
      </c>
      <c r="DW94" s="1" t="str">
        <f t="shared" si="675"/>
        <v/>
      </c>
      <c r="DX94" s="16">
        <f t="shared" si="676"/>
        <v>0</v>
      </c>
      <c r="DY94" s="56">
        <f t="shared" si="677"/>
        <v>0</v>
      </c>
      <c r="DZ94" s="57">
        <f t="shared" si="678"/>
        <v>0</v>
      </c>
      <c r="EA94" s="1" t="str">
        <f t="shared" si="679"/>
        <v/>
      </c>
      <c r="EB94" s="3" t="str">
        <f>EB59</f>
        <v>55QNED70A</v>
      </c>
      <c r="EC94" s="16">
        <f t="shared" si="680"/>
        <v>0</v>
      </c>
      <c r="ED94" s="56">
        <f t="shared" si="681"/>
        <v>0</v>
      </c>
      <c r="EE94" s="57">
        <f t="shared" si="682"/>
        <v>0</v>
      </c>
      <c r="EF94" s="1" t="str">
        <f t="shared" si="683"/>
        <v/>
      </c>
      <c r="EG94" s="16">
        <f t="shared" si="684"/>
        <v>0</v>
      </c>
      <c r="EH94" s="56">
        <f t="shared" si="685"/>
        <v>0</v>
      </c>
      <c r="EI94" s="57">
        <f t="shared" si="686"/>
        <v>0</v>
      </c>
      <c r="EJ94" s="1" t="str">
        <f t="shared" si="687"/>
        <v/>
      </c>
      <c r="EK94" s="16">
        <f t="shared" si="688"/>
        <v>0</v>
      </c>
      <c r="EL94" s="56">
        <f t="shared" si="689"/>
        <v>0</v>
      </c>
      <c r="EM94" s="57">
        <f t="shared" si="690"/>
        <v>0</v>
      </c>
      <c r="EN94" s="1" t="str">
        <f t="shared" si="691"/>
        <v/>
      </c>
    </row>
    <row r="95" spans="2:144" hidden="1" x14ac:dyDescent="0.3">
      <c r="B95" s="13" t="str">
        <f>B76</f>
        <v>55UA75</v>
      </c>
      <c r="C95" s="17">
        <f t="shared" si="560"/>
        <v>429</v>
      </c>
      <c r="D95" s="79">
        <f t="shared" si="561"/>
        <v>429</v>
      </c>
      <c r="E95" s="80">
        <f t="shared" si="562"/>
        <v>0</v>
      </c>
      <c r="F95" s="4">
        <f t="shared" si="563"/>
        <v>85.971943887775552</v>
      </c>
      <c r="G95" s="17">
        <f t="shared" si="564"/>
        <v>429</v>
      </c>
      <c r="H95" s="79">
        <f t="shared" si="565"/>
        <v>429</v>
      </c>
      <c r="I95" s="80">
        <f t="shared" si="566"/>
        <v>0</v>
      </c>
      <c r="J95" s="4">
        <f t="shared" si="567"/>
        <v>89.561586638830889</v>
      </c>
      <c r="K95" s="17">
        <f t="shared" si="568"/>
        <v>454</v>
      </c>
      <c r="L95" s="79">
        <f t="shared" si="569"/>
        <v>454</v>
      </c>
      <c r="M95" s="80">
        <f t="shared" si="570"/>
        <v>0</v>
      </c>
      <c r="N95" s="4">
        <f t="shared" si="571"/>
        <v>101.11358574610246</v>
      </c>
      <c r="O95" s="13" t="str">
        <f>O76</f>
        <v>55UA75</v>
      </c>
      <c r="P95" s="17">
        <f t="shared" si="572"/>
        <v>429</v>
      </c>
      <c r="Q95" s="79">
        <f t="shared" si="573"/>
        <v>429</v>
      </c>
      <c r="R95" s="80">
        <f t="shared" si="574"/>
        <v>0</v>
      </c>
      <c r="S95" s="4">
        <f t="shared" si="575"/>
        <v>95.545657015590209</v>
      </c>
      <c r="T95" s="17">
        <f t="shared" si="576"/>
        <v>429</v>
      </c>
      <c r="U95" s="79">
        <f t="shared" si="577"/>
        <v>429</v>
      </c>
      <c r="V95" s="80">
        <f t="shared" si="578"/>
        <v>0</v>
      </c>
      <c r="W95" s="4">
        <f t="shared" si="579"/>
        <v>95.545657015590209</v>
      </c>
      <c r="X95" s="17">
        <f t="shared" si="580"/>
        <v>452</v>
      </c>
      <c r="Y95" s="79">
        <f t="shared" si="581"/>
        <v>452</v>
      </c>
      <c r="Z95" s="80">
        <f t="shared" si="582"/>
        <v>0</v>
      </c>
      <c r="AA95" s="4">
        <f t="shared" si="583"/>
        <v>92.622950819672127</v>
      </c>
      <c r="AB95" s="13" t="str">
        <f>AB76</f>
        <v>55UA75</v>
      </c>
      <c r="AC95" s="17">
        <f t="shared" si="584"/>
        <v>0</v>
      </c>
      <c r="AD95" s="79">
        <f t="shared" si="585"/>
        <v>0</v>
      </c>
      <c r="AE95" s="80">
        <f t="shared" si="586"/>
        <v>0</v>
      </c>
      <c r="AF95" s="4" t="str">
        <f t="shared" si="587"/>
        <v/>
      </c>
      <c r="AG95" s="17">
        <f t="shared" si="588"/>
        <v>0</v>
      </c>
      <c r="AH95" s="79">
        <f t="shared" si="589"/>
        <v>0</v>
      </c>
      <c r="AI95" s="80">
        <f t="shared" si="590"/>
        <v>0</v>
      </c>
      <c r="AJ95" s="4" t="str">
        <f t="shared" si="591"/>
        <v/>
      </c>
      <c r="AK95" s="17">
        <f t="shared" si="592"/>
        <v>0</v>
      </c>
      <c r="AL95" s="79">
        <f t="shared" si="593"/>
        <v>0</v>
      </c>
      <c r="AM95" s="80">
        <f t="shared" si="594"/>
        <v>0</v>
      </c>
      <c r="AN95" s="4" t="str">
        <f t="shared" si="595"/>
        <v/>
      </c>
      <c r="AO95" s="13" t="str">
        <f>AO76</f>
        <v>55UA75</v>
      </c>
      <c r="AP95" s="17">
        <f t="shared" si="596"/>
        <v>429</v>
      </c>
      <c r="AQ95" s="79">
        <f t="shared" si="597"/>
        <v>429</v>
      </c>
      <c r="AR95" s="80">
        <f t="shared" si="598"/>
        <v>0</v>
      </c>
      <c r="AS95" s="4">
        <f t="shared" si="599"/>
        <v>85.971943887775552</v>
      </c>
      <c r="AT95" s="17">
        <f t="shared" si="600"/>
        <v>0</v>
      </c>
      <c r="AU95" s="79">
        <f t="shared" si="601"/>
        <v>0</v>
      </c>
      <c r="AV95" s="80">
        <f t="shared" si="602"/>
        <v>0</v>
      </c>
      <c r="AW95" s="4" t="str">
        <f t="shared" si="603"/>
        <v/>
      </c>
      <c r="AX95" s="17">
        <f t="shared" si="604"/>
        <v>0</v>
      </c>
      <c r="AY95" s="79">
        <f t="shared" si="605"/>
        <v>0</v>
      </c>
      <c r="AZ95" s="80">
        <f t="shared" si="606"/>
        <v>0</v>
      </c>
      <c r="BA95" s="4" t="str">
        <f t="shared" si="607"/>
        <v/>
      </c>
      <c r="BB95" s="13" t="str">
        <f>BB76</f>
        <v>55UA75</v>
      </c>
      <c r="BC95" s="17">
        <f t="shared" si="608"/>
        <v>429</v>
      </c>
      <c r="BD95" s="79">
        <f t="shared" si="609"/>
        <v>429</v>
      </c>
      <c r="BE95" s="80">
        <f t="shared" si="610"/>
        <v>0</v>
      </c>
      <c r="BF95" s="4">
        <f t="shared" si="611"/>
        <v>85.971943887775552</v>
      </c>
      <c r="BG95" s="17">
        <f t="shared" si="612"/>
        <v>0</v>
      </c>
      <c r="BH95" s="79">
        <f t="shared" si="613"/>
        <v>0</v>
      </c>
      <c r="BI95" s="80">
        <f t="shared" si="614"/>
        <v>0</v>
      </c>
      <c r="BJ95" s="4" t="str">
        <f t="shared" si="615"/>
        <v/>
      </c>
      <c r="BK95" s="17">
        <f t="shared" si="616"/>
        <v>0</v>
      </c>
      <c r="BL95" s="79">
        <f t="shared" si="617"/>
        <v>0</v>
      </c>
      <c r="BM95" s="80">
        <f t="shared" si="618"/>
        <v>0</v>
      </c>
      <c r="BN95" s="4" t="str">
        <f t="shared" si="619"/>
        <v/>
      </c>
      <c r="BO95" s="13" t="str">
        <f>BO76</f>
        <v>55UA75</v>
      </c>
      <c r="BP95" s="17">
        <f t="shared" si="620"/>
        <v>429</v>
      </c>
      <c r="BQ95" s="79">
        <f t="shared" si="621"/>
        <v>429</v>
      </c>
      <c r="BR95" s="80">
        <f t="shared" si="622"/>
        <v>0</v>
      </c>
      <c r="BS95" s="4">
        <f t="shared" si="623"/>
        <v>85.971943887775552</v>
      </c>
      <c r="BT95" s="17">
        <f t="shared" si="624"/>
        <v>0</v>
      </c>
      <c r="BU95" s="79">
        <f t="shared" si="625"/>
        <v>0</v>
      </c>
      <c r="BV95" s="80">
        <f t="shared" si="626"/>
        <v>0</v>
      </c>
      <c r="BW95" s="4" t="str">
        <f t="shared" si="627"/>
        <v/>
      </c>
      <c r="BX95" s="17">
        <f t="shared" si="628"/>
        <v>0</v>
      </c>
      <c r="BY95" s="79">
        <f t="shared" si="629"/>
        <v>0</v>
      </c>
      <c r="BZ95" s="80">
        <f t="shared" si="630"/>
        <v>0</v>
      </c>
      <c r="CA95" s="4" t="str">
        <f t="shared" si="631"/>
        <v/>
      </c>
      <c r="CB95" s="13" t="str">
        <f>CB76</f>
        <v>55UA75</v>
      </c>
      <c r="CC95" s="17">
        <f t="shared" si="632"/>
        <v>429</v>
      </c>
      <c r="CD95" s="79">
        <f t="shared" si="633"/>
        <v>429</v>
      </c>
      <c r="CE95" s="80">
        <f t="shared" si="634"/>
        <v>0</v>
      </c>
      <c r="CF95" s="4">
        <f t="shared" si="635"/>
        <v>85.971943887775552</v>
      </c>
      <c r="CG95" s="17">
        <f t="shared" si="636"/>
        <v>0</v>
      </c>
      <c r="CH95" s="79">
        <f t="shared" si="637"/>
        <v>0</v>
      </c>
      <c r="CI95" s="80">
        <f t="shared" si="638"/>
        <v>0</v>
      </c>
      <c r="CJ95" s="4" t="str">
        <f t="shared" si="639"/>
        <v/>
      </c>
      <c r="CK95" s="17">
        <f t="shared" si="640"/>
        <v>0</v>
      </c>
      <c r="CL95" s="79">
        <f t="shared" si="641"/>
        <v>0</v>
      </c>
      <c r="CM95" s="80">
        <f t="shared" si="642"/>
        <v>0</v>
      </c>
      <c r="CN95" s="4" t="str">
        <f t="shared" si="643"/>
        <v/>
      </c>
      <c r="CO95" s="13" t="str">
        <f>CO76</f>
        <v>55UA75</v>
      </c>
      <c r="CP95" s="17">
        <f t="shared" si="644"/>
        <v>429</v>
      </c>
      <c r="CQ95" s="79">
        <f t="shared" si="645"/>
        <v>429</v>
      </c>
      <c r="CR95" s="80">
        <f t="shared" si="646"/>
        <v>0</v>
      </c>
      <c r="CS95" s="4">
        <f t="shared" si="647"/>
        <v>85.971943887775552</v>
      </c>
      <c r="CT95" s="17">
        <f t="shared" si="648"/>
        <v>0</v>
      </c>
      <c r="CU95" s="79">
        <f t="shared" si="649"/>
        <v>0</v>
      </c>
      <c r="CV95" s="80">
        <f t="shared" si="650"/>
        <v>0</v>
      </c>
      <c r="CW95" s="4" t="str">
        <f t="shared" si="651"/>
        <v/>
      </c>
      <c r="CX95" s="17">
        <f t="shared" si="652"/>
        <v>0</v>
      </c>
      <c r="CY95" s="79">
        <f t="shared" si="653"/>
        <v>0</v>
      </c>
      <c r="CZ95" s="80">
        <f t="shared" si="654"/>
        <v>0</v>
      </c>
      <c r="DA95" s="4" t="str">
        <f t="shared" si="655"/>
        <v/>
      </c>
      <c r="DB95" s="13" t="str">
        <f>DB76</f>
        <v>55UA75</v>
      </c>
      <c r="DC95" s="17">
        <f t="shared" si="656"/>
        <v>429</v>
      </c>
      <c r="DD95" s="79">
        <f t="shared" si="657"/>
        <v>429</v>
      </c>
      <c r="DE95" s="80">
        <f t="shared" si="658"/>
        <v>0</v>
      </c>
      <c r="DF95" s="4">
        <f t="shared" si="659"/>
        <v>85.971943887775552</v>
      </c>
      <c r="DG95" s="17">
        <f t="shared" si="660"/>
        <v>0</v>
      </c>
      <c r="DH95" s="79">
        <f t="shared" si="661"/>
        <v>0</v>
      </c>
      <c r="DI95" s="80">
        <f t="shared" si="662"/>
        <v>0</v>
      </c>
      <c r="DJ95" s="4" t="str">
        <f t="shared" si="663"/>
        <v/>
      </c>
      <c r="DK95" s="17">
        <f t="shared" si="664"/>
        <v>0</v>
      </c>
      <c r="DL95" s="79">
        <f t="shared" si="665"/>
        <v>0</v>
      </c>
      <c r="DM95" s="80">
        <f t="shared" si="666"/>
        <v>0</v>
      </c>
      <c r="DN95" s="4" t="str">
        <f t="shared" si="667"/>
        <v/>
      </c>
      <c r="DO95" s="13" t="str">
        <f>DO76</f>
        <v>55UA75</v>
      </c>
      <c r="DP95" s="17">
        <f t="shared" si="668"/>
        <v>429</v>
      </c>
      <c r="DQ95" s="79">
        <f t="shared" si="669"/>
        <v>429</v>
      </c>
      <c r="DR95" s="80">
        <f t="shared" si="670"/>
        <v>0</v>
      </c>
      <c r="DS95" s="4">
        <f t="shared" si="671"/>
        <v>85.971943887775552</v>
      </c>
      <c r="DT95" s="17">
        <f t="shared" si="672"/>
        <v>0</v>
      </c>
      <c r="DU95" s="79">
        <f t="shared" si="673"/>
        <v>0</v>
      </c>
      <c r="DV95" s="80">
        <f t="shared" si="674"/>
        <v>0</v>
      </c>
      <c r="DW95" s="4" t="str">
        <f t="shared" si="675"/>
        <v/>
      </c>
      <c r="DX95" s="17">
        <f t="shared" si="676"/>
        <v>0</v>
      </c>
      <c r="DY95" s="79">
        <f t="shared" si="677"/>
        <v>0</v>
      </c>
      <c r="DZ95" s="80">
        <f t="shared" si="678"/>
        <v>0</v>
      </c>
      <c r="EA95" s="4" t="str">
        <f t="shared" si="679"/>
        <v/>
      </c>
      <c r="EB95" s="13" t="str">
        <f>EB76</f>
        <v>55UA75</v>
      </c>
      <c r="EC95" s="17">
        <f t="shared" si="680"/>
        <v>429</v>
      </c>
      <c r="ED95" s="79">
        <f t="shared" si="681"/>
        <v>429</v>
      </c>
      <c r="EE95" s="80">
        <f t="shared" si="682"/>
        <v>0</v>
      </c>
      <c r="EF95" s="4">
        <f t="shared" si="683"/>
        <v>85.971943887775552</v>
      </c>
      <c r="EG95" s="17">
        <f t="shared" si="684"/>
        <v>0</v>
      </c>
      <c r="EH95" s="79">
        <f t="shared" si="685"/>
        <v>0</v>
      </c>
      <c r="EI95" s="80">
        <f t="shared" si="686"/>
        <v>0</v>
      </c>
      <c r="EJ95" s="4" t="str">
        <f t="shared" si="687"/>
        <v/>
      </c>
      <c r="EK95" s="17">
        <f t="shared" si="688"/>
        <v>0</v>
      </c>
      <c r="EL95" s="79">
        <f t="shared" si="689"/>
        <v>0</v>
      </c>
      <c r="EM95" s="80">
        <f t="shared" si="690"/>
        <v>0</v>
      </c>
      <c r="EN95" s="4" t="str">
        <f t="shared" si="691"/>
        <v/>
      </c>
    </row>
    <row r="96" spans="2:144" hidden="1" x14ac:dyDescent="0.3">
      <c r="B96" s="3" t="str">
        <f>B7</f>
        <v>65G57</v>
      </c>
      <c r="C96" s="6">
        <f t="shared" si="560"/>
        <v>3499</v>
      </c>
      <c r="D96" s="54">
        <f t="shared" si="561"/>
        <v>3499</v>
      </c>
      <c r="E96" s="55">
        <f t="shared" si="562"/>
        <v>0</v>
      </c>
      <c r="F96" s="2">
        <f t="shared" si="563"/>
        <v>104.16790711521287</v>
      </c>
      <c r="G96" s="6">
        <f t="shared" si="564"/>
        <v>3359</v>
      </c>
      <c r="H96" s="54">
        <f t="shared" si="565"/>
        <v>3359</v>
      </c>
      <c r="I96" s="55">
        <f t="shared" si="566"/>
        <v>0</v>
      </c>
      <c r="J96" s="2" t="str">
        <f t="shared" si="567"/>
        <v/>
      </c>
      <c r="K96" s="6">
        <f t="shared" si="568"/>
        <v>3298</v>
      </c>
      <c r="L96" s="54">
        <f t="shared" si="569"/>
        <v>3298</v>
      </c>
      <c r="M96" s="55">
        <f t="shared" si="570"/>
        <v>0</v>
      </c>
      <c r="N96" s="2">
        <f t="shared" si="571"/>
        <v>103.38557993730409</v>
      </c>
      <c r="O96" s="3" t="str">
        <f>O7</f>
        <v>65G57</v>
      </c>
      <c r="P96" s="6">
        <f t="shared" si="572"/>
        <v>3348</v>
      </c>
      <c r="Q96" s="54">
        <f t="shared" si="573"/>
        <v>3348</v>
      </c>
      <c r="R96" s="55">
        <f t="shared" si="574"/>
        <v>0</v>
      </c>
      <c r="S96" s="2">
        <f t="shared" si="575"/>
        <v>99.376669634906506</v>
      </c>
      <c r="T96" s="6">
        <f t="shared" si="576"/>
        <v>3359</v>
      </c>
      <c r="U96" s="54">
        <f t="shared" si="577"/>
        <v>3359</v>
      </c>
      <c r="V96" s="55">
        <f t="shared" si="578"/>
        <v>0</v>
      </c>
      <c r="W96" s="2" t="str">
        <f t="shared" si="579"/>
        <v/>
      </c>
      <c r="X96" s="6">
        <f t="shared" si="580"/>
        <v>2858</v>
      </c>
      <c r="Y96" s="54">
        <f t="shared" si="581"/>
        <v>3358</v>
      </c>
      <c r="Z96" s="55">
        <f t="shared" si="582"/>
        <v>500</v>
      </c>
      <c r="AA96" s="2">
        <f t="shared" si="583"/>
        <v>87.267175572519079</v>
      </c>
      <c r="AB96" s="3" t="str">
        <f>AB7</f>
        <v>65G57</v>
      </c>
      <c r="AC96" s="6">
        <f t="shared" si="584"/>
        <v>3279</v>
      </c>
      <c r="AD96" s="54">
        <f t="shared" si="585"/>
        <v>3279</v>
      </c>
      <c r="AE96" s="55">
        <f t="shared" si="586"/>
        <v>0</v>
      </c>
      <c r="AF96" s="2">
        <f t="shared" si="587"/>
        <v>97.61833879130694</v>
      </c>
      <c r="AG96" s="6">
        <f t="shared" si="588"/>
        <v>3359</v>
      </c>
      <c r="AH96" s="54">
        <f t="shared" si="589"/>
        <v>3359</v>
      </c>
      <c r="AI96" s="55">
        <f t="shared" si="590"/>
        <v>0</v>
      </c>
      <c r="AJ96" s="2" t="str">
        <f t="shared" si="591"/>
        <v/>
      </c>
      <c r="AK96" s="6">
        <f t="shared" si="592"/>
        <v>3279</v>
      </c>
      <c r="AL96" s="54">
        <f t="shared" si="593"/>
        <v>3779</v>
      </c>
      <c r="AM96" s="55">
        <f t="shared" si="594"/>
        <v>500</v>
      </c>
      <c r="AN96" s="2">
        <f t="shared" si="595"/>
        <v>100.12213740458016</v>
      </c>
      <c r="AO96" s="3" t="str">
        <f>AO7</f>
        <v>65G57</v>
      </c>
      <c r="AP96" s="6">
        <f t="shared" si="596"/>
        <v>3279</v>
      </c>
      <c r="AQ96" s="54">
        <f t="shared" si="597"/>
        <v>3279</v>
      </c>
      <c r="AR96" s="55">
        <f t="shared" si="598"/>
        <v>0</v>
      </c>
      <c r="AS96" s="2">
        <f t="shared" si="599"/>
        <v>97.61833879130694</v>
      </c>
      <c r="AT96" s="6">
        <f t="shared" si="600"/>
        <v>3359</v>
      </c>
      <c r="AU96" s="54">
        <f t="shared" si="601"/>
        <v>3359</v>
      </c>
      <c r="AV96" s="55">
        <f t="shared" si="602"/>
        <v>0</v>
      </c>
      <c r="AW96" s="2" t="str">
        <f t="shared" si="603"/>
        <v/>
      </c>
      <c r="AX96" s="6">
        <f t="shared" si="604"/>
        <v>3279</v>
      </c>
      <c r="AY96" s="54">
        <f t="shared" si="605"/>
        <v>3779</v>
      </c>
      <c r="AZ96" s="55">
        <f t="shared" si="606"/>
        <v>500</v>
      </c>
      <c r="BA96" s="2">
        <f t="shared" si="607"/>
        <v>100.92336103416434</v>
      </c>
      <c r="BB96" s="3" t="str">
        <f>BB7</f>
        <v>65G57</v>
      </c>
      <c r="BC96" s="6">
        <f t="shared" si="608"/>
        <v>3279</v>
      </c>
      <c r="BD96" s="54">
        <f t="shared" si="609"/>
        <v>3279</v>
      </c>
      <c r="BE96" s="55">
        <f t="shared" si="610"/>
        <v>0</v>
      </c>
      <c r="BF96" s="2">
        <f t="shared" si="611"/>
        <v>97.61833879130694</v>
      </c>
      <c r="BG96" s="6">
        <f t="shared" si="612"/>
        <v>3359</v>
      </c>
      <c r="BH96" s="54">
        <f t="shared" si="613"/>
        <v>3359</v>
      </c>
      <c r="BI96" s="55">
        <f t="shared" si="614"/>
        <v>0</v>
      </c>
      <c r="BJ96" s="2" t="str">
        <f t="shared" si="615"/>
        <v/>
      </c>
      <c r="BK96" s="6">
        <f t="shared" si="616"/>
        <v>3279</v>
      </c>
      <c r="BL96" s="54">
        <f t="shared" si="617"/>
        <v>3779</v>
      </c>
      <c r="BM96" s="55">
        <f t="shared" si="618"/>
        <v>500</v>
      </c>
      <c r="BN96" s="2">
        <f t="shared" si="619"/>
        <v>100.92336103416434</v>
      </c>
      <c r="BO96" s="3" t="str">
        <f>BO7</f>
        <v>65G57</v>
      </c>
      <c r="BP96" s="6">
        <f t="shared" si="620"/>
        <v>3279</v>
      </c>
      <c r="BQ96" s="54">
        <f t="shared" si="621"/>
        <v>3279</v>
      </c>
      <c r="BR96" s="55">
        <f t="shared" si="622"/>
        <v>0</v>
      </c>
      <c r="BS96" s="2">
        <f t="shared" si="623"/>
        <v>97.61833879130694</v>
      </c>
      <c r="BT96" s="6">
        <f t="shared" si="624"/>
        <v>3359</v>
      </c>
      <c r="BU96" s="54">
        <f t="shared" si="625"/>
        <v>3359</v>
      </c>
      <c r="BV96" s="55">
        <f t="shared" si="626"/>
        <v>0</v>
      </c>
      <c r="BW96" s="2" t="str">
        <f t="shared" si="627"/>
        <v/>
      </c>
      <c r="BX96" s="6">
        <f t="shared" si="628"/>
        <v>3279</v>
      </c>
      <c r="BY96" s="54">
        <f t="shared" si="629"/>
        <v>3779</v>
      </c>
      <c r="BZ96" s="55">
        <f t="shared" si="630"/>
        <v>500</v>
      </c>
      <c r="CA96" s="2">
        <f t="shared" si="631"/>
        <v>100.92336103416434</v>
      </c>
      <c r="CB96" s="3" t="str">
        <f>CB7</f>
        <v>65G57</v>
      </c>
      <c r="CC96" s="6">
        <f t="shared" si="632"/>
        <v>3279</v>
      </c>
      <c r="CD96" s="54">
        <f t="shared" si="633"/>
        <v>3279</v>
      </c>
      <c r="CE96" s="55">
        <f t="shared" si="634"/>
        <v>0</v>
      </c>
      <c r="CF96" s="2">
        <f t="shared" si="635"/>
        <v>97.61833879130694</v>
      </c>
      <c r="CG96" s="6">
        <f t="shared" si="636"/>
        <v>3359</v>
      </c>
      <c r="CH96" s="54">
        <f t="shared" si="637"/>
        <v>3359</v>
      </c>
      <c r="CI96" s="55">
        <f t="shared" si="638"/>
        <v>0</v>
      </c>
      <c r="CJ96" s="2" t="str">
        <f t="shared" si="639"/>
        <v/>
      </c>
      <c r="CK96" s="6">
        <f t="shared" si="640"/>
        <v>3279</v>
      </c>
      <c r="CL96" s="54">
        <f t="shared" si="641"/>
        <v>3779</v>
      </c>
      <c r="CM96" s="55">
        <f t="shared" si="642"/>
        <v>500</v>
      </c>
      <c r="CN96" s="2">
        <f t="shared" si="643"/>
        <v>100.92336103416434</v>
      </c>
      <c r="CO96" s="3" t="str">
        <f>CO7</f>
        <v>65G57</v>
      </c>
      <c r="CP96" s="6">
        <f t="shared" si="644"/>
        <v>3279</v>
      </c>
      <c r="CQ96" s="54">
        <f t="shared" si="645"/>
        <v>3279</v>
      </c>
      <c r="CR96" s="55">
        <f t="shared" si="646"/>
        <v>0</v>
      </c>
      <c r="CS96" s="2">
        <f t="shared" si="647"/>
        <v>97.61833879130694</v>
      </c>
      <c r="CT96" s="6">
        <f t="shared" si="648"/>
        <v>3359</v>
      </c>
      <c r="CU96" s="54">
        <f t="shared" si="649"/>
        <v>3359</v>
      </c>
      <c r="CV96" s="55">
        <f t="shared" si="650"/>
        <v>0</v>
      </c>
      <c r="CW96" s="2" t="str">
        <f t="shared" si="651"/>
        <v/>
      </c>
      <c r="CX96" s="6">
        <f t="shared" si="652"/>
        <v>3279</v>
      </c>
      <c r="CY96" s="54">
        <f t="shared" si="653"/>
        <v>3779</v>
      </c>
      <c r="CZ96" s="55">
        <f t="shared" si="654"/>
        <v>500</v>
      </c>
      <c r="DA96" s="2">
        <f t="shared" si="655"/>
        <v>100.92336103416434</v>
      </c>
      <c r="DB96" s="3" t="str">
        <f>DB7</f>
        <v>65G57</v>
      </c>
      <c r="DC96" s="6">
        <f t="shared" si="656"/>
        <v>3279</v>
      </c>
      <c r="DD96" s="54">
        <f t="shared" si="657"/>
        <v>3279</v>
      </c>
      <c r="DE96" s="55">
        <f t="shared" si="658"/>
        <v>0</v>
      </c>
      <c r="DF96" s="2">
        <f t="shared" si="659"/>
        <v>97.61833879130694</v>
      </c>
      <c r="DG96" s="6">
        <f t="shared" si="660"/>
        <v>3359</v>
      </c>
      <c r="DH96" s="54">
        <f t="shared" si="661"/>
        <v>3359</v>
      </c>
      <c r="DI96" s="55">
        <f t="shared" si="662"/>
        <v>0</v>
      </c>
      <c r="DJ96" s="2" t="str">
        <f t="shared" si="663"/>
        <v/>
      </c>
      <c r="DK96" s="6">
        <f t="shared" si="664"/>
        <v>3279</v>
      </c>
      <c r="DL96" s="54">
        <f t="shared" si="665"/>
        <v>3779</v>
      </c>
      <c r="DM96" s="55">
        <f t="shared" si="666"/>
        <v>500</v>
      </c>
      <c r="DN96" s="2">
        <f t="shared" si="667"/>
        <v>100.92336103416434</v>
      </c>
      <c r="DO96" s="3" t="str">
        <f>DO7</f>
        <v>65G57</v>
      </c>
      <c r="DP96" s="6">
        <f t="shared" si="668"/>
        <v>3279</v>
      </c>
      <c r="DQ96" s="54">
        <f t="shared" si="669"/>
        <v>3279</v>
      </c>
      <c r="DR96" s="55">
        <f t="shared" si="670"/>
        <v>0</v>
      </c>
      <c r="DS96" s="2">
        <f t="shared" si="671"/>
        <v>97.61833879130694</v>
      </c>
      <c r="DT96" s="6">
        <f t="shared" si="672"/>
        <v>3359</v>
      </c>
      <c r="DU96" s="54">
        <f t="shared" si="673"/>
        <v>3359</v>
      </c>
      <c r="DV96" s="55">
        <f t="shared" si="674"/>
        <v>0</v>
      </c>
      <c r="DW96" s="2" t="str">
        <f t="shared" si="675"/>
        <v/>
      </c>
      <c r="DX96" s="6">
        <f t="shared" si="676"/>
        <v>3279</v>
      </c>
      <c r="DY96" s="54">
        <f t="shared" si="677"/>
        <v>3779</v>
      </c>
      <c r="DZ96" s="55">
        <f t="shared" si="678"/>
        <v>500</v>
      </c>
      <c r="EA96" s="2">
        <f t="shared" si="679"/>
        <v>100.92336103416434</v>
      </c>
      <c r="EB96" s="3" t="str">
        <f>EB7</f>
        <v>65G57</v>
      </c>
      <c r="EC96" s="6">
        <f t="shared" si="680"/>
        <v>3279</v>
      </c>
      <c r="ED96" s="54">
        <f t="shared" si="681"/>
        <v>3279</v>
      </c>
      <c r="EE96" s="55">
        <f t="shared" si="682"/>
        <v>0</v>
      </c>
      <c r="EF96" s="2">
        <f t="shared" si="683"/>
        <v>97.61833879130694</v>
      </c>
      <c r="EG96" s="6">
        <f t="shared" si="684"/>
        <v>3359</v>
      </c>
      <c r="EH96" s="54">
        <f t="shared" si="685"/>
        <v>3359</v>
      </c>
      <c r="EI96" s="55">
        <f t="shared" si="686"/>
        <v>0</v>
      </c>
      <c r="EJ96" s="2" t="str">
        <f t="shared" si="687"/>
        <v/>
      </c>
      <c r="EK96" s="6">
        <f t="shared" si="688"/>
        <v>3279</v>
      </c>
      <c r="EL96" s="54">
        <f t="shared" si="689"/>
        <v>3779</v>
      </c>
      <c r="EM96" s="55">
        <f t="shared" si="690"/>
        <v>500</v>
      </c>
      <c r="EN96" s="2">
        <f t="shared" si="691"/>
        <v>100.92336103416434</v>
      </c>
    </row>
    <row r="97" spans="2:144" hidden="1" x14ac:dyDescent="0.3">
      <c r="B97" s="3" t="str">
        <f>B13</f>
        <v>65C57</v>
      </c>
      <c r="C97" s="7">
        <f t="shared" si="560"/>
        <v>1279</v>
      </c>
      <c r="D97" s="56">
        <f t="shared" si="561"/>
        <v>1279</v>
      </c>
      <c r="E97" s="57">
        <f t="shared" si="562"/>
        <v>0</v>
      </c>
      <c r="F97" s="1">
        <f t="shared" si="563"/>
        <v>95.519044062733386</v>
      </c>
      <c r="G97" s="7">
        <f t="shared" si="564"/>
        <v>1399</v>
      </c>
      <c r="H97" s="56">
        <f t="shared" si="565"/>
        <v>1399</v>
      </c>
      <c r="I97" s="57">
        <f t="shared" si="566"/>
        <v>0</v>
      </c>
      <c r="J97" s="1">
        <f t="shared" si="567"/>
        <v>93.328885923949301</v>
      </c>
      <c r="K97" s="7">
        <f t="shared" si="568"/>
        <v>1279</v>
      </c>
      <c r="L97" s="56">
        <f t="shared" si="569"/>
        <v>1279</v>
      </c>
      <c r="M97" s="57">
        <f t="shared" si="570"/>
        <v>0</v>
      </c>
      <c r="N97" s="1">
        <f t="shared" si="571"/>
        <v>82.998053212199878</v>
      </c>
      <c r="O97" s="3" t="str">
        <f>O13</f>
        <v>65C57</v>
      </c>
      <c r="P97" s="7">
        <f t="shared" si="572"/>
        <v>1379</v>
      </c>
      <c r="Q97" s="56">
        <f t="shared" si="573"/>
        <v>1379</v>
      </c>
      <c r="R97" s="57">
        <f t="shared" si="574"/>
        <v>0</v>
      </c>
      <c r="S97" s="1">
        <f t="shared" si="575"/>
        <v>102.98730395817775</v>
      </c>
      <c r="T97" s="7">
        <f t="shared" si="576"/>
        <v>1369</v>
      </c>
      <c r="U97" s="56">
        <f t="shared" si="577"/>
        <v>1369</v>
      </c>
      <c r="V97" s="57">
        <f t="shared" si="578"/>
        <v>0</v>
      </c>
      <c r="W97" s="1">
        <f t="shared" si="579"/>
        <v>105.38876058506543</v>
      </c>
      <c r="X97" s="7">
        <f t="shared" si="580"/>
        <v>1379</v>
      </c>
      <c r="Y97" s="56">
        <f t="shared" si="581"/>
        <v>1379</v>
      </c>
      <c r="Z97" s="57">
        <f t="shared" si="582"/>
        <v>0</v>
      </c>
      <c r="AA97" s="1">
        <f t="shared" si="583"/>
        <v>89.72023422251138</v>
      </c>
      <c r="AB97" s="3" t="str">
        <f>AB13</f>
        <v>65C57</v>
      </c>
      <c r="AC97" s="7">
        <f t="shared" si="584"/>
        <v>1349</v>
      </c>
      <c r="AD97" s="56">
        <f t="shared" si="585"/>
        <v>1349</v>
      </c>
      <c r="AE97" s="57">
        <f t="shared" si="586"/>
        <v>0</v>
      </c>
      <c r="AF97" s="1">
        <f t="shared" si="587"/>
        <v>107.14853057982525</v>
      </c>
      <c r="AG97" s="7">
        <f t="shared" si="588"/>
        <v>1299</v>
      </c>
      <c r="AH97" s="56">
        <f t="shared" si="589"/>
        <v>1299</v>
      </c>
      <c r="AI97" s="57">
        <f t="shared" si="590"/>
        <v>0</v>
      </c>
      <c r="AJ97" s="1">
        <f t="shared" si="591"/>
        <v>101.56372165754495</v>
      </c>
      <c r="AK97" s="7">
        <f t="shared" si="592"/>
        <v>1339</v>
      </c>
      <c r="AL97" s="56">
        <f t="shared" si="593"/>
        <v>1339</v>
      </c>
      <c r="AM97" s="57">
        <f t="shared" si="594"/>
        <v>0</v>
      </c>
      <c r="AN97" s="1">
        <f t="shared" si="595"/>
        <v>106.35424940428912</v>
      </c>
      <c r="AO97" s="3" t="str">
        <f>AO13</f>
        <v>65C57</v>
      </c>
      <c r="AP97" s="7">
        <f t="shared" si="596"/>
        <v>1335</v>
      </c>
      <c r="AQ97" s="56">
        <f t="shared" si="597"/>
        <v>1335</v>
      </c>
      <c r="AR97" s="57">
        <f t="shared" si="598"/>
        <v>0</v>
      </c>
      <c r="AS97" s="1">
        <f t="shared" si="599"/>
        <v>106.03653693407466</v>
      </c>
      <c r="AT97" s="7">
        <f t="shared" si="600"/>
        <v>1299</v>
      </c>
      <c r="AU97" s="56">
        <f t="shared" si="601"/>
        <v>1299</v>
      </c>
      <c r="AV97" s="57">
        <f t="shared" si="602"/>
        <v>0</v>
      </c>
      <c r="AW97" s="1">
        <f t="shared" si="603"/>
        <v>101.56372165754495</v>
      </c>
      <c r="AX97" s="7">
        <f t="shared" si="604"/>
        <v>1339</v>
      </c>
      <c r="AY97" s="56">
        <f t="shared" si="605"/>
        <v>1339</v>
      </c>
      <c r="AZ97" s="57">
        <f t="shared" si="606"/>
        <v>0</v>
      </c>
      <c r="BA97" s="1">
        <f t="shared" si="607"/>
        <v>100.75244544770506</v>
      </c>
      <c r="BB97" s="3" t="str">
        <f>BB13</f>
        <v>65C57</v>
      </c>
      <c r="BC97" s="7">
        <f t="shared" si="608"/>
        <v>1335</v>
      </c>
      <c r="BD97" s="56">
        <f t="shared" si="609"/>
        <v>1335</v>
      </c>
      <c r="BE97" s="57">
        <f t="shared" si="610"/>
        <v>0</v>
      </c>
      <c r="BF97" s="1">
        <f t="shared" si="611"/>
        <v>106.03653693407466</v>
      </c>
      <c r="BG97" s="7">
        <f t="shared" si="612"/>
        <v>1299</v>
      </c>
      <c r="BH97" s="56">
        <f t="shared" si="613"/>
        <v>1299</v>
      </c>
      <c r="BI97" s="57">
        <f t="shared" si="614"/>
        <v>0</v>
      </c>
      <c r="BJ97" s="1">
        <f t="shared" si="615"/>
        <v>101.56372165754495</v>
      </c>
      <c r="BK97" s="7">
        <f t="shared" si="616"/>
        <v>1339</v>
      </c>
      <c r="BL97" s="56">
        <f t="shared" si="617"/>
        <v>1339</v>
      </c>
      <c r="BM97" s="57">
        <f t="shared" si="618"/>
        <v>0</v>
      </c>
      <c r="BN97" s="1">
        <f t="shared" si="619"/>
        <v>100.75244544770506</v>
      </c>
      <c r="BO97" s="3" t="str">
        <f>BO13</f>
        <v>65C57</v>
      </c>
      <c r="BP97" s="7">
        <f t="shared" si="620"/>
        <v>1335</v>
      </c>
      <c r="BQ97" s="56">
        <f t="shared" si="621"/>
        <v>1335</v>
      </c>
      <c r="BR97" s="57">
        <f t="shared" si="622"/>
        <v>0</v>
      </c>
      <c r="BS97" s="1">
        <f t="shared" si="623"/>
        <v>106.03653693407466</v>
      </c>
      <c r="BT97" s="7">
        <f t="shared" si="624"/>
        <v>1299</v>
      </c>
      <c r="BU97" s="56">
        <f t="shared" si="625"/>
        <v>1299</v>
      </c>
      <c r="BV97" s="57">
        <f t="shared" si="626"/>
        <v>0</v>
      </c>
      <c r="BW97" s="1">
        <f t="shared" si="627"/>
        <v>101.56372165754495</v>
      </c>
      <c r="BX97" s="7">
        <f t="shared" si="628"/>
        <v>1339</v>
      </c>
      <c r="BY97" s="56">
        <f t="shared" si="629"/>
        <v>1339</v>
      </c>
      <c r="BZ97" s="57">
        <f t="shared" si="630"/>
        <v>0</v>
      </c>
      <c r="CA97" s="1">
        <f t="shared" si="631"/>
        <v>100.75244544770506</v>
      </c>
      <c r="CB97" s="3" t="str">
        <f>CB13</f>
        <v>65C57</v>
      </c>
      <c r="CC97" s="7">
        <f t="shared" si="632"/>
        <v>1335</v>
      </c>
      <c r="CD97" s="56">
        <f t="shared" si="633"/>
        <v>1335</v>
      </c>
      <c r="CE97" s="57">
        <f t="shared" si="634"/>
        <v>0</v>
      </c>
      <c r="CF97" s="1">
        <f t="shared" si="635"/>
        <v>106.03653693407466</v>
      </c>
      <c r="CG97" s="7">
        <f t="shared" si="636"/>
        <v>1299</v>
      </c>
      <c r="CH97" s="56">
        <f t="shared" si="637"/>
        <v>1299</v>
      </c>
      <c r="CI97" s="57">
        <f t="shared" si="638"/>
        <v>0</v>
      </c>
      <c r="CJ97" s="1">
        <f t="shared" si="639"/>
        <v>101.56372165754495</v>
      </c>
      <c r="CK97" s="7">
        <f t="shared" si="640"/>
        <v>1339</v>
      </c>
      <c r="CL97" s="56">
        <f t="shared" si="641"/>
        <v>1339</v>
      </c>
      <c r="CM97" s="57">
        <f t="shared" si="642"/>
        <v>0</v>
      </c>
      <c r="CN97" s="1">
        <f t="shared" si="643"/>
        <v>100.75244544770506</v>
      </c>
      <c r="CO97" s="3" t="str">
        <f>CO13</f>
        <v>65C57</v>
      </c>
      <c r="CP97" s="7">
        <f t="shared" si="644"/>
        <v>1335</v>
      </c>
      <c r="CQ97" s="56">
        <f t="shared" si="645"/>
        <v>1335</v>
      </c>
      <c r="CR97" s="57">
        <f t="shared" si="646"/>
        <v>0</v>
      </c>
      <c r="CS97" s="1">
        <f t="shared" si="647"/>
        <v>106.03653693407466</v>
      </c>
      <c r="CT97" s="7">
        <f t="shared" si="648"/>
        <v>1299</v>
      </c>
      <c r="CU97" s="56">
        <f t="shared" si="649"/>
        <v>1299</v>
      </c>
      <c r="CV97" s="57">
        <f t="shared" si="650"/>
        <v>0</v>
      </c>
      <c r="CW97" s="1">
        <f t="shared" si="651"/>
        <v>101.56372165754495</v>
      </c>
      <c r="CX97" s="7">
        <f t="shared" si="652"/>
        <v>1339</v>
      </c>
      <c r="CY97" s="56">
        <f t="shared" si="653"/>
        <v>1339</v>
      </c>
      <c r="CZ97" s="57">
        <f t="shared" si="654"/>
        <v>0</v>
      </c>
      <c r="DA97" s="1">
        <f t="shared" si="655"/>
        <v>100.75244544770506</v>
      </c>
      <c r="DB97" s="3" t="str">
        <f>DB13</f>
        <v>65C57</v>
      </c>
      <c r="DC97" s="7">
        <f t="shared" si="656"/>
        <v>1335</v>
      </c>
      <c r="DD97" s="56">
        <f t="shared" si="657"/>
        <v>1335</v>
      </c>
      <c r="DE97" s="57">
        <f t="shared" si="658"/>
        <v>0</v>
      </c>
      <c r="DF97" s="1">
        <f t="shared" si="659"/>
        <v>106.03653693407466</v>
      </c>
      <c r="DG97" s="7">
        <f t="shared" si="660"/>
        <v>1299</v>
      </c>
      <c r="DH97" s="56">
        <f t="shared" si="661"/>
        <v>1299</v>
      </c>
      <c r="DI97" s="57">
        <f t="shared" si="662"/>
        <v>0</v>
      </c>
      <c r="DJ97" s="1">
        <f t="shared" si="663"/>
        <v>101.56372165754495</v>
      </c>
      <c r="DK97" s="7">
        <f t="shared" si="664"/>
        <v>1339</v>
      </c>
      <c r="DL97" s="56">
        <f t="shared" si="665"/>
        <v>1339</v>
      </c>
      <c r="DM97" s="57">
        <f t="shared" si="666"/>
        <v>0</v>
      </c>
      <c r="DN97" s="1">
        <f t="shared" si="667"/>
        <v>100.75244544770506</v>
      </c>
      <c r="DO97" s="3" t="str">
        <f>DO13</f>
        <v>65C57</v>
      </c>
      <c r="DP97" s="7">
        <f t="shared" si="668"/>
        <v>1335</v>
      </c>
      <c r="DQ97" s="56">
        <f t="shared" si="669"/>
        <v>1335</v>
      </c>
      <c r="DR97" s="57">
        <f t="shared" si="670"/>
        <v>0</v>
      </c>
      <c r="DS97" s="1">
        <f t="shared" si="671"/>
        <v>106.03653693407466</v>
      </c>
      <c r="DT97" s="7">
        <f t="shared" si="672"/>
        <v>1299</v>
      </c>
      <c r="DU97" s="56">
        <f t="shared" si="673"/>
        <v>1299</v>
      </c>
      <c r="DV97" s="57">
        <f t="shared" si="674"/>
        <v>0</v>
      </c>
      <c r="DW97" s="1">
        <f t="shared" si="675"/>
        <v>101.56372165754495</v>
      </c>
      <c r="DX97" s="7">
        <f t="shared" si="676"/>
        <v>1339</v>
      </c>
      <c r="DY97" s="56">
        <f t="shared" si="677"/>
        <v>1339</v>
      </c>
      <c r="DZ97" s="57">
        <f t="shared" si="678"/>
        <v>0</v>
      </c>
      <c r="EA97" s="1">
        <f t="shared" si="679"/>
        <v>100.75244544770506</v>
      </c>
      <c r="EB97" s="3" t="str">
        <f>EB13</f>
        <v>65C57</v>
      </c>
      <c r="EC97" s="7">
        <f t="shared" si="680"/>
        <v>1335</v>
      </c>
      <c r="ED97" s="56">
        <f t="shared" si="681"/>
        <v>1335</v>
      </c>
      <c r="EE97" s="57">
        <f t="shared" si="682"/>
        <v>0</v>
      </c>
      <c r="EF97" s="1">
        <f t="shared" si="683"/>
        <v>106.03653693407466</v>
      </c>
      <c r="EG97" s="7">
        <f t="shared" si="684"/>
        <v>1299</v>
      </c>
      <c r="EH97" s="56">
        <f t="shared" si="685"/>
        <v>1299</v>
      </c>
      <c r="EI97" s="57">
        <f t="shared" si="686"/>
        <v>0</v>
      </c>
      <c r="EJ97" s="1">
        <f t="shared" si="687"/>
        <v>101.56372165754495</v>
      </c>
      <c r="EK97" s="7">
        <f t="shared" si="688"/>
        <v>1339</v>
      </c>
      <c r="EL97" s="56">
        <f t="shared" si="689"/>
        <v>1339</v>
      </c>
      <c r="EM97" s="57">
        <f t="shared" si="690"/>
        <v>0</v>
      </c>
      <c r="EN97" s="1">
        <f t="shared" si="691"/>
        <v>100.75244544770506</v>
      </c>
    </row>
    <row r="98" spans="2:144" hidden="1" x14ac:dyDescent="0.3">
      <c r="B98" s="3" t="str">
        <f>B20</f>
        <v>65B59</v>
      </c>
      <c r="C98" s="7">
        <f t="shared" si="560"/>
        <v>1199</v>
      </c>
      <c r="D98" s="56">
        <f t="shared" si="561"/>
        <v>1199</v>
      </c>
      <c r="E98" s="57">
        <f t="shared" si="562"/>
        <v>0</v>
      </c>
      <c r="F98" s="1">
        <f t="shared" si="563"/>
        <v>69.34644303065356</v>
      </c>
      <c r="G98" s="7">
        <f t="shared" si="564"/>
        <v>1199</v>
      </c>
      <c r="H98" s="56">
        <f t="shared" si="565"/>
        <v>1199</v>
      </c>
      <c r="I98" s="57">
        <f t="shared" si="566"/>
        <v>0</v>
      </c>
      <c r="J98" s="1">
        <f t="shared" si="567"/>
        <v>92.30177059276366</v>
      </c>
      <c r="K98" s="7">
        <f t="shared" si="568"/>
        <v>1199</v>
      </c>
      <c r="L98" s="56">
        <f t="shared" si="569"/>
        <v>1199</v>
      </c>
      <c r="M98" s="57">
        <f t="shared" si="570"/>
        <v>0</v>
      </c>
      <c r="N98" s="1">
        <f t="shared" si="571"/>
        <v>92.30177059276366</v>
      </c>
      <c r="O98" s="3" t="str">
        <f>O20</f>
        <v>65B59</v>
      </c>
      <c r="P98" s="7">
        <f t="shared" si="572"/>
        <v>1179</v>
      </c>
      <c r="Q98" s="56">
        <f t="shared" si="573"/>
        <v>1179</v>
      </c>
      <c r="R98" s="57">
        <f t="shared" si="574"/>
        <v>0</v>
      </c>
      <c r="S98" s="1">
        <f t="shared" si="575"/>
        <v>68.189705031810306</v>
      </c>
      <c r="T98" s="7">
        <f t="shared" si="576"/>
        <v>1099</v>
      </c>
      <c r="U98" s="56">
        <f t="shared" si="577"/>
        <v>1099</v>
      </c>
      <c r="V98" s="57">
        <f t="shared" si="578"/>
        <v>0</v>
      </c>
      <c r="W98" s="1" t="str">
        <f t="shared" si="579"/>
        <v/>
      </c>
      <c r="X98" s="7">
        <f t="shared" si="580"/>
        <v>1162</v>
      </c>
      <c r="Y98" s="56">
        <f t="shared" si="581"/>
        <v>1162</v>
      </c>
      <c r="Z98" s="57">
        <f t="shared" si="582"/>
        <v>0</v>
      </c>
      <c r="AA98" s="1">
        <f t="shared" si="583"/>
        <v>89.453425712086215</v>
      </c>
      <c r="AB98" s="3" t="str">
        <f>AB20</f>
        <v>65B59</v>
      </c>
      <c r="AC98" s="7">
        <f t="shared" si="584"/>
        <v>1179</v>
      </c>
      <c r="AD98" s="56">
        <f t="shared" si="585"/>
        <v>1179</v>
      </c>
      <c r="AE98" s="57">
        <f t="shared" si="586"/>
        <v>0</v>
      </c>
      <c r="AF98" s="1">
        <f t="shared" si="587"/>
        <v>68.189705031810306</v>
      </c>
      <c r="AG98" s="7">
        <f t="shared" si="588"/>
        <v>1149</v>
      </c>
      <c r="AH98" s="56">
        <f t="shared" si="589"/>
        <v>1149</v>
      </c>
      <c r="AI98" s="57">
        <f t="shared" si="590"/>
        <v>0</v>
      </c>
      <c r="AJ98" s="1" t="str">
        <f t="shared" si="591"/>
        <v/>
      </c>
      <c r="AK98" s="7">
        <f t="shared" si="592"/>
        <v>1167</v>
      </c>
      <c r="AL98" s="56">
        <f t="shared" si="593"/>
        <v>1167</v>
      </c>
      <c r="AM98" s="57">
        <f t="shared" si="594"/>
        <v>0</v>
      </c>
      <c r="AN98" s="1">
        <f t="shared" si="595"/>
        <v>89.838337182448029</v>
      </c>
      <c r="AO98" s="3" t="str">
        <f>AO20</f>
        <v>65B59</v>
      </c>
      <c r="AP98" s="7">
        <f t="shared" si="596"/>
        <v>1179</v>
      </c>
      <c r="AQ98" s="56">
        <f t="shared" si="597"/>
        <v>1179</v>
      </c>
      <c r="AR98" s="57">
        <f t="shared" si="598"/>
        <v>0</v>
      </c>
      <c r="AS98" s="1">
        <f t="shared" si="599"/>
        <v>68.189705031810306</v>
      </c>
      <c r="AT98" s="7">
        <f t="shared" si="600"/>
        <v>1149</v>
      </c>
      <c r="AU98" s="56">
        <f t="shared" si="601"/>
        <v>1149</v>
      </c>
      <c r="AV98" s="57">
        <f t="shared" si="602"/>
        <v>0</v>
      </c>
      <c r="AW98" s="1" t="str">
        <f t="shared" si="603"/>
        <v/>
      </c>
      <c r="AX98" s="7">
        <f t="shared" si="604"/>
        <v>1144</v>
      </c>
      <c r="AY98" s="56">
        <f t="shared" si="605"/>
        <v>1144</v>
      </c>
      <c r="AZ98" s="57">
        <f t="shared" si="606"/>
        <v>0</v>
      </c>
      <c r="BA98" s="1">
        <f t="shared" si="607"/>
        <v>91.593274619695748</v>
      </c>
      <c r="BB98" s="3" t="str">
        <f>BB20</f>
        <v>65B59</v>
      </c>
      <c r="BC98" s="7">
        <f t="shared" si="608"/>
        <v>1179</v>
      </c>
      <c r="BD98" s="56">
        <f t="shared" si="609"/>
        <v>1179</v>
      </c>
      <c r="BE98" s="57">
        <f t="shared" si="610"/>
        <v>0</v>
      </c>
      <c r="BF98" s="1">
        <f t="shared" si="611"/>
        <v>68.189705031810306</v>
      </c>
      <c r="BG98" s="7">
        <f t="shared" si="612"/>
        <v>1149</v>
      </c>
      <c r="BH98" s="56">
        <f t="shared" si="613"/>
        <v>1149</v>
      </c>
      <c r="BI98" s="57">
        <f t="shared" si="614"/>
        <v>0</v>
      </c>
      <c r="BJ98" s="1" t="str">
        <f t="shared" si="615"/>
        <v/>
      </c>
      <c r="BK98" s="7">
        <f t="shared" si="616"/>
        <v>1144</v>
      </c>
      <c r="BL98" s="56">
        <f t="shared" si="617"/>
        <v>1144</v>
      </c>
      <c r="BM98" s="57">
        <f t="shared" si="618"/>
        <v>0</v>
      </c>
      <c r="BN98" s="1">
        <f t="shared" si="619"/>
        <v>91.593274619695748</v>
      </c>
      <c r="BO98" s="3" t="str">
        <f>BO20</f>
        <v>65B59</v>
      </c>
      <c r="BP98" s="7">
        <f t="shared" si="620"/>
        <v>1179</v>
      </c>
      <c r="BQ98" s="56">
        <f t="shared" si="621"/>
        <v>1179</v>
      </c>
      <c r="BR98" s="57">
        <f t="shared" si="622"/>
        <v>0</v>
      </c>
      <c r="BS98" s="1">
        <f t="shared" si="623"/>
        <v>68.189705031810306</v>
      </c>
      <c r="BT98" s="7">
        <f t="shared" si="624"/>
        <v>1149</v>
      </c>
      <c r="BU98" s="56">
        <f t="shared" si="625"/>
        <v>1149</v>
      </c>
      <c r="BV98" s="57">
        <f t="shared" si="626"/>
        <v>0</v>
      </c>
      <c r="BW98" s="1" t="str">
        <f t="shared" si="627"/>
        <v/>
      </c>
      <c r="BX98" s="7">
        <f t="shared" si="628"/>
        <v>1144</v>
      </c>
      <c r="BY98" s="56">
        <f t="shared" si="629"/>
        <v>1144</v>
      </c>
      <c r="BZ98" s="57">
        <f t="shared" si="630"/>
        <v>0</v>
      </c>
      <c r="CA98" s="1">
        <f t="shared" si="631"/>
        <v>91.593274619695748</v>
      </c>
      <c r="CB98" s="3" t="str">
        <f>CB20</f>
        <v>65B59</v>
      </c>
      <c r="CC98" s="7">
        <f t="shared" si="632"/>
        <v>1179</v>
      </c>
      <c r="CD98" s="56">
        <f t="shared" si="633"/>
        <v>1179</v>
      </c>
      <c r="CE98" s="57">
        <f t="shared" si="634"/>
        <v>0</v>
      </c>
      <c r="CF98" s="1">
        <f t="shared" si="635"/>
        <v>68.189705031810306</v>
      </c>
      <c r="CG98" s="7">
        <f t="shared" si="636"/>
        <v>1149</v>
      </c>
      <c r="CH98" s="56">
        <f t="shared" si="637"/>
        <v>1149</v>
      </c>
      <c r="CI98" s="57">
        <f t="shared" si="638"/>
        <v>0</v>
      </c>
      <c r="CJ98" s="1" t="str">
        <f t="shared" si="639"/>
        <v/>
      </c>
      <c r="CK98" s="7">
        <f t="shared" si="640"/>
        <v>1144</v>
      </c>
      <c r="CL98" s="56">
        <f t="shared" si="641"/>
        <v>1144</v>
      </c>
      <c r="CM98" s="57">
        <f t="shared" si="642"/>
        <v>0</v>
      </c>
      <c r="CN98" s="1">
        <f t="shared" si="643"/>
        <v>91.593274619695748</v>
      </c>
      <c r="CO98" s="3" t="str">
        <f>CO20</f>
        <v>65B59</v>
      </c>
      <c r="CP98" s="7">
        <f t="shared" si="644"/>
        <v>1179</v>
      </c>
      <c r="CQ98" s="56">
        <f t="shared" si="645"/>
        <v>1179</v>
      </c>
      <c r="CR98" s="57">
        <f t="shared" si="646"/>
        <v>0</v>
      </c>
      <c r="CS98" s="1">
        <f t="shared" si="647"/>
        <v>68.189705031810306</v>
      </c>
      <c r="CT98" s="7">
        <f t="shared" si="648"/>
        <v>1149</v>
      </c>
      <c r="CU98" s="56">
        <f t="shared" si="649"/>
        <v>1149</v>
      </c>
      <c r="CV98" s="57">
        <f t="shared" si="650"/>
        <v>0</v>
      </c>
      <c r="CW98" s="1" t="str">
        <f t="shared" si="651"/>
        <v/>
      </c>
      <c r="CX98" s="7">
        <f t="shared" si="652"/>
        <v>1144</v>
      </c>
      <c r="CY98" s="56">
        <f t="shared" si="653"/>
        <v>1144</v>
      </c>
      <c r="CZ98" s="57">
        <f t="shared" si="654"/>
        <v>0</v>
      </c>
      <c r="DA98" s="1">
        <f t="shared" si="655"/>
        <v>91.593274619695748</v>
      </c>
      <c r="DB98" s="3" t="str">
        <f>DB20</f>
        <v>65B59</v>
      </c>
      <c r="DC98" s="7">
        <f t="shared" si="656"/>
        <v>1179</v>
      </c>
      <c r="DD98" s="56">
        <f t="shared" si="657"/>
        <v>1179</v>
      </c>
      <c r="DE98" s="57">
        <f t="shared" si="658"/>
        <v>0</v>
      </c>
      <c r="DF98" s="1">
        <f t="shared" si="659"/>
        <v>68.189705031810306</v>
      </c>
      <c r="DG98" s="7">
        <f t="shared" si="660"/>
        <v>1149</v>
      </c>
      <c r="DH98" s="56">
        <f t="shared" si="661"/>
        <v>1149</v>
      </c>
      <c r="DI98" s="57">
        <f t="shared" si="662"/>
        <v>0</v>
      </c>
      <c r="DJ98" s="1" t="str">
        <f t="shared" si="663"/>
        <v/>
      </c>
      <c r="DK98" s="7">
        <f t="shared" si="664"/>
        <v>1144</v>
      </c>
      <c r="DL98" s="56">
        <f t="shared" si="665"/>
        <v>1144</v>
      </c>
      <c r="DM98" s="57">
        <f t="shared" si="666"/>
        <v>0</v>
      </c>
      <c r="DN98" s="1">
        <f t="shared" si="667"/>
        <v>91.593274619695748</v>
      </c>
      <c r="DO98" s="3" t="str">
        <f>DO20</f>
        <v>65B59</v>
      </c>
      <c r="DP98" s="7">
        <f t="shared" si="668"/>
        <v>1179</v>
      </c>
      <c r="DQ98" s="56">
        <f t="shared" si="669"/>
        <v>1179</v>
      </c>
      <c r="DR98" s="57">
        <f t="shared" si="670"/>
        <v>0</v>
      </c>
      <c r="DS98" s="1">
        <f t="shared" si="671"/>
        <v>68.189705031810306</v>
      </c>
      <c r="DT98" s="7">
        <f t="shared" si="672"/>
        <v>1149</v>
      </c>
      <c r="DU98" s="56">
        <f t="shared" si="673"/>
        <v>1149</v>
      </c>
      <c r="DV98" s="57">
        <f t="shared" si="674"/>
        <v>0</v>
      </c>
      <c r="DW98" s="1" t="str">
        <f t="shared" si="675"/>
        <v/>
      </c>
      <c r="DX98" s="7">
        <f t="shared" si="676"/>
        <v>1144</v>
      </c>
      <c r="DY98" s="56">
        <f t="shared" si="677"/>
        <v>1144</v>
      </c>
      <c r="DZ98" s="57">
        <f t="shared" si="678"/>
        <v>0</v>
      </c>
      <c r="EA98" s="1">
        <f t="shared" si="679"/>
        <v>91.593274619695748</v>
      </c>
      <c r="EB98" s="3" t="str">
        <f>EB20</f>
        <v>65B59</v>
      </c>
      <c r="EC98" s="7">
        <f t="shared" si="680"/>
        <v>1179</v>
      </c>
      <c r="ED98" s="56">
        <f t="shared" si="681"/>
        <v>1179</v>
      </c>
      <c r="EE98" s="57">
        <f t="shared" si="682"/>
        <v>0</v>
      </c>
      <c r="EF98" s="1">
        <f t="shared" si="683"/>
        <v>68.189705031810306</v>
      </c>
      <c r="EG98" s="7">
        <f t="shared" si="684"/>
        <v>1149</v>
      </c>
      <c r="EH98" s="56">
        <f t="shared" si="685"/>
        <v>1149</v>
      </c>
      <c r="EI98" s="57">
        <f t="shared" si="686"/>
        <v>0</v>
      </c>
      <c r="EJ98" s="1" t="str">
        <f t="shared" si="687"/>
        <v/>
      </c>
      <c r="EK98" s="7">
        <f t="shared" si="688"/>
        <v>1144</v>
      </c>
      <c r="EL98" s="56">
        <f t="shared" si="689"/>
        <v>1144</v>
      </c>
      <c r="EM98" s="57">
        <f t="shared" si="690"/>
        <v>0</v>
      </c>
      <c r="EN98" s="1">
        <f t="shared" si="691"/>
        <v>91.593274619695748</v>
      </c>
    </row>
    <row r="99" spans="2:144" hidden="1" x14ac:dyDescent="0.3">
      <c r="B99" s="3" t="str">
        <f>B51</f>
        <v>65QNED86A</v>
      </c>
      <c r="C99" s="7">
        <f t="shared" si="560"/>
        <v>749</v>
      </c>
      <c r="D99" s="56">
        <f t="shared" si="561"/>
        <v>749</v>
      </c>
      <c r="E99" s="57">
        <f t="shared" si="562"/>
        <v>0</v>
      </c>
      <c r="F99" s="1">
        <f t="shared" si="563"/>
        <v>100</v>
      </c>
      <c r="G99" s="7">
        <f t="shared" si="564"/>
        <v>799</v>
      </c>
      <c r="H99" s="56">
        <f t="shared" si="565"/>
        <v>799</v>
      </c>
      <c r="I99" s="57">
        <f t="shared" si="566"/>
        <v>0</v>
      </c>
      <c r="J99" s="1">
        <f t="shared" si="567"/>
        <v>96.381182147165262</v>
      </c>
      <c r="K99" s="7">
        <f t="shared" si="568"/>
        <v>799</v>
      </c>
      <c r="L99" s="56">
        <f t="shared" si="569"/>
        <v>799</v>
      </c>
      <c r="M99" s="57">
        <f t="shared" si="570"/>
        <v>0</v>
      </c>
      <c r="N99" s="1">
        <f t="shared" si="571"/>
        <v>106.67556742323097</v>
      </c>
      <c r="O99" s="3" t="str">
        <f>O51</f>
        <v>65QNED86A</v>
      </c>
      <c r="P99" s="7">
        <f t="shared" si="572"/>
        <v>799</v>
      </c>
      <c r="Q99" s="56">
        <f t="shared" si="573"/>
        <v>799</v>
      </c>
      <c r="R99" s="57">
        <f t="shared" si="574"/>
        <v>0</v>
      </c>
      <c r="S99" s="1">
        <f t="shared" si="575"/>
        <v>106.67556742323097</v>
      </c>
      <c r="T99" s="7">
        <f t="shared" si="576"/>
        <v>749</v>
      </c>
      <c r="U99" s="56">
        <f t="shared" si="577"/>
        <v>749</v>
      </c>
      <c r="V99" s="57">
        <f t="shared" si="578"/>
        <v>0</v>
      </c>
      <c r="W99" s="1">
        <f t="shared" si="579"/>
        <v>93.74217772215269</v>
      </c>
      <c r="X99" s="7">
        <f t="shared" si="580"/>
        <v>781</v>
      </c>
      <c r="Y99" s="56">
        <f t="shared" si="581"/>
        <v>781</v>
      </c>
      <c r="Z99" s="57">
        <f t="shared" si="582"/>
        <v>0</v>
      </c>
      <c r="AA99" s="1">
        <f t="shared" si="583"/>
        <v>75.75169738118332</v>
      </c>
      <c r="AB99" s="3" t="str">
        <f>AB51</f>
        <v>65QNED86A</v>
      </c>
      <c r="AC99" s="7">
        <f t="shared" si="584"/>
        <v>0</v>
      </c>
      <c r="AD99" s="56">
        <f t="shared" si="585"/>
        <v>0</v>
      </c>
      <c r="AE99" s="57">
        <f t="shared" si="586"/>
        <v>0</v>
      </c>
      <c r="AF99" s="1" t="str">
        <f t="shared" si="587"/>
        <v/>
      </c>
      <c r="AG99" s="7">
        <f t="shared" si="588"/>
        <v>0</v>
      </c>
      <c r="AH99" s="56">
        <f t="shared" si="589"/>
        <v>0</v>
      </c>
      <c r="AI99" s="57">
        <f t="shared" si="590"/>
        <v>0</v>
      </c>
      <c r="AJ99" s="1" t="str">
        <f t="shared" si="591"/>
        <v/>
      </c>
      <c r="AK99" s="7">
        <f t="shared" si="592"/>
        <v>0</v>
      </c>
      <c r="AL99" s="56">
        <f t="shared" si="593"/>
        <v>0</v>
      </c>
      <c r="AM99" s="57">
        <f t="shared" si="594"/>
        <v>0</v>
      </c>
      <c r="AN99" s="1" t="str">
        <f t="shared" si="595"/>
        <v/>
      </c>
      <c r="AO99" s="3" t="str">
        <f>AO51</f>
        <v>65QNED86A</v>
      </c>
      <c r="AP99" s="7">
        <f t="shared" si="596"/>
        <v>779</v>
      </c>
      <c r="AQ99" s="56">
        <f t="shared" si="597"/>
        <v>779</v>
      </c>
      <c r="AR99" s="57">
        <f t="shared" si="598"/>
        <v>0</v>
      </c>
      <c r="AS99" s="1">
        <f t="shared" si="599"/>
        <v>105.41271989174561</v>
      </c>
      <c r="AT99" s="7">
        <f t="shared" si="600"/>
        <v>749</v>
      </c>
      <c r="AU99" s="56">
        <f t="shared" si="601"/>
        <v>749</v>
      </c>
      <c r="AV99" s="57">
        <f t="shared" si="602"/>
        <v>0</v>
      </c>
      <c r="AW99" s="1">
        <f t="shared" si="603"/>
        <v>100</v>
      </c>
      <c r="AX99" s="7">
        <f t="shared" si="604"/>
        <v>0</v>
      </c>
      <c r="AY99" s="56">
        <f t="shared" si="605"/>
        <v>0</v>
      </c>
      <c r="AZ99" s="57">
        <f t="shared" si="606"/>
        <v>0</v>
      </c>
      <c r="BA99" s="1" t="str">
        <f t="shared" si="607"/>
        <v/>
      </c>
      <c r="BB99" s="3" t="str">
        <f>BB51</f>
        <v>65QNED86A</v>
      </c>
      <c r="BC99" s="7">
        <f t="shared" si="608"/>
        <v>779</v>
      </c>
      <c r="BD99" s="56">
        <f t="shared" si="609"/>
        <v>779</v>
      </c>
      <c r="BE99" s="57">
        <f t="shared" si="610"/>
        <v>0</v>
      </c>
      <c r="BF99" s="1">
        <f t="shared" si="611"/>
        <v>105.41271989174561</v>
      </c>
      <c r="BG99" s="7">
        <f t="shared" si="612"/>
        <v>749</v>
      </c>
      <c r="BH99" s="56">
        <f t="shared" si="613"/>
        <v>749</v>
      </c>
      <c r="BI99" s="57">
        <f t="shared" si="614"/>
        <v>0</v>
      </c>
      <c r="BJ99" s="1">
        <f t="shared" si="615"/>
        <v>100</v>
      </c>
      <c r="BK99" s="7">
        <f t="shared" si="616"/>
        <v>0</v>
      </c>
      <c r="BL99" s="56">
        <f t="shared" si="617"/>
        <v>0</v>
      </c>
      <c r="BM99" s="57">
        <f t="shared" si="618"/>
        <v>0</v>
      </c>
      <c r="BN99" s="1" t="str">
        <f t="shared" si="619"/>
        <v/>
      </c>
      <c r="BO99" s="3" t="str">
        <f>BO51</f>
        <v>65QNED86A</v>
      </c>
      <c r="BP99" s="7">
        <f t="shared" si="620"/>
        <v>779</v>
      </c>
      <c r="BQ99" s="56">
        <f t="shared" si="621"/>
        <v>779</v>
      </c>
      <c r="BR99" s="57">
        <f t="shared" si="622"/>
        <v>0</v>
      </c>
      <c r="BS99" s="1">
        <f t="shared" si="623"/>
        <v>105.41271989174561</v>
      </c>
      <c r="BT99" s="7">
        <f t="shared" si="624"/>
        <v>749</v>
      </c>
      <c r="BU99" s="56">
        <f t="shared" si="625"/>
        <v>749</v>
      </c>
      <c r="BV99" s="57">
        <f t="shared" si="626"/>
        <v>0</v>
      </c>
      <c r="BW99" s="1">
        <f t="shared" si="627"/>
        <v>100</v>
      </c>
      <c r="BX99" s="7">
        <f t="shared" si="628"/>
        <v>0</v>
      </c>
      <c r="BY99" s="56">
        <f t="shared" si="629"/>
        <v>0</v>
      </c>
      <c r="BZ99" s="57">
        <f t="shared" si="630"/>
        <v>0</v>
      </c>
      <c r="CA99" s="1" t="str">
        <f t="shared" si="631"/>
        <v/>
      </c>
      <c r="CB99" s="3" t="str">
        <f>CB51</f>
        <v>65QNED86A</v>
      </c>
      <c r="CC99" s="7">
        <f t="shared" si="632"/>
        <v>779</v>
      </c>
      <c r="CD99" s="56">
        <f t="shared" si="633"/>
        <v>779</v>
      </c>
      <c r="CE99" s="57">
        <f t="shared" si="634"/>
        <v>0</v>
      </c>
      <c r="CF99" s="1">
        <f t="shared" si="635"/>
        <v>105.41271989174561</v>
      </c>
      <c r="CG99" s="7">
        <f t="shared" si="636"/>
        <v>749</v>
      </c>
      <c r="CH99" s="56">
        <f t="shared" si="637"/>
        <v>749</v>
      </c>
      <c r="CI99" s="57">
        <f t="shared" si="638"/>
        <v>0</v>
      </c>
      <c r="CJ99" s="1">
        <f t="shared" si="639"/>
        <v>100</v>
      </c>
      <c r="CK99" s="7">
        <f t="shared" si="640"/>
        <v>0</v>
      </c>
      <c r="CL99" s="56">
        <f t="shared" si="641"/>
        <v>0</v>
      </c>
      <c r="CM99" s="57">
        <f t="shared" si="642"/>
        <v>0</v>
      </c>
      <c r="CN99" s="1" t="str">
        <f t="shared" si="643"/>
        <v/>
      </c>
      <c r="CO99" s="3" t="str">
        <f>CO51</f>
        <v>65QNED86A</v>
      </c>
      <c r="CP99" s="7">
        <f t="shared" si="644"/>
        <v>779</v>
      </c>
      <c r="CQ99" s="56">
        <f t="shared" si="645"/>
        <v>779</v>
      </c>
      <c r="CR99" s="57">
        <f t="shared" si="646"/>
        <v>0</v>
      </c>
      <c r="CS99" s="1">
        <f t="shared" si="647"/>
        <v>105.41271989174561</v>
      </c>
      <c r="CT99" s="7">
        <f t="shared" si="648"/>
        <v>749</v>
      </c>
      <c r="CU99" s="56">
        <f t="shared" si="649"/>
        <v>749</v>
      </c>
      <c r="CV99" s="57">
        <f t="shared" si="650"/>
        <v>0</v>
      </c>
      <c r="CW99" s="1">
        <f t="shared" si="651"/>
        <v>100</v>
      </c>
      <c r="CX99" s="7">
        <f t="shared" si="652"/>
        <v>0</v>
      </c>
      <c r="CY99" s="56">
        <f t="shared" si="653"/>
        <v>0</v>
      </c>
      <c r="CZ99" s="57">
        <f t="shared" si="654"/>
        <v>0</v>
      </c>
      <c r="DA99" s="1" t="str">
        <f t="shared" si="655"/>
        <v/>
      </c>
      <c r="DB99" s="3" t="str">
        <f>DB51</f>
        <v>65QNED86A</v>
      </c>
      <c r="DC99" s="7">
        <f t="shared" si="656"/>
        <v>779</v>
      </c>
      <c r="DD99" s="56">
        <f t="shared" si="657"/>
        <v>779</v>
      </c>
      <c r="DE99" s="57">
        <f t="shared" si="658"/>
        <v>0</v>
      </c>
      <c r="DF99" s="1">
        <f t="shared" si="659"/>
        <v>105.41271989174561</v>
      </c>
      <c r="DG99" s="7">
        <f t="shared" si="660"/>
        <v>749</v>
      </c>
      <c r="DH99" s="56">
        <f t="shared" si="661"/>
        <v>749</v>
      </c>
      <c r="DI99" s="57">
        <f t="shared" si="662"/>
        <v>0</v>
      </c>
      <c r="DJ99" s="1">
        <f t="shared" si="663"/>
        <v>100</v>
      </c>
      <c r="DK99" s="7">
        <f t="shared" si="664"/>
        <v>0</v>
      </c>
      <c r="DL99" s="56">
        <f t="shared" si="665"/>
        <v>0</v>
      </c>
      <c r="DM99" s="57">
        <f t="shared" si="666"/>
        <v>0</v>
      </c>
      <c r="DN99" s="1" t="str">
        <f t="shared" si="667"/>
        <v/>
      </c>
      <c r="DO99" s="3" t="str">
        <f>DO51</f>
        <v>65QNED86A</v>
      </c>
      <c r="DP99" s="7">
        <f t="shared" si="668"/>
        <v>779</v>
      </c>
      <c r="DQ99" s="56">
        <f t="shared" si="669"/>
        <v>779</v>
      </c>
      <c r="DR99" s="57">
        <f t="shared" si="670"/>
        <v>0</v>
      </c>
      <c r="DS99" s="1">
        <f t="shared" si="671"/>
        <v>105.41271989174561</v>
      </c>
      <c r="DT99" s="7">
        <f t="shared" si="672"/>
        <v>749</v>
      </c>
      <c r="DU99" s="56">
        <f t="shared" si="673"/>
        <v>749</v>
      </c>
      <c r="DV99" s="57">
        <f t="shared" si="674"/>
        <v>0</v>
      </c>
      <c r="DW99" s="1">
        <f t="shared" si="675"/>
        <v>100</v>
      </c>
      <c r="DX99" s="7">
        <f t="shared" si="676"/>
        <v>0</v>
      </c>
      <c r="DY99" s="56">
        <f t="shared" si="677"/>
        <v>0</v>
      </c>
      <c r="DZ99" s="57">
        <f t="shared" si="678"/>
        <v>0</v>
      </c>
      <c r="EA99" s="1" t="str">
        <f t="shared" si="679"/>
        <v/>
      </c>
      <c r="EB99" s="3" t="str">
        <f>EB51</f>
        <v>65QNED86A</v>
      </c>
      <c r="EC99" s="7">
        <f t="shared" si="680"/>
        <v>779</v>
      </c>
      <c r="ED99" s="56">
        <f t="shared" si="681"/>
        <v>779</v>
      </c>
      <c r="EE99" s="57">
        <f t="shared" si="682"/>
        <v>0</v>
      </c>
      <c r="EF99" s="1">
        <f t="shared" si="683"/>
        <v>105.41271989174561</v>
      </c>
      <c r="EG99" s="7">
        <f t="shared" si="684"/>
        <v>749</v>
      </c>
      <c r="EH99" s="56">
        <f t="shared" si="685"/>
        <v>749</v>
      </c>
      <c r="EI99" s="57">
        <f t="shared" si="686"/>
        <v>0</v>
      </c>
      <c r="EJ99" s="1">
        <f t="shared" si="687"/>
        <v>100</v>
      </c>
      <c r="EK99" s="7">
        <f t="shared" si="688"/>
        <v>0</v>
      </c>
      <c r="EL99" s="56">
        <f t="shared" si="689"/>
        <v>0</v>
      </c>
      <c r="EM99" s="57">
        <f t="shared" si="690"/>
        <v>0</v>
      </c>
      <c r="EN99" s="1" t="str">
        <f t="shared" si="691"/>
        <v/>
      </c>
    </row>
    <row r="100" spans="2:144" hidden="1" x14ac:dyDescent="0.3">
      <c r="B100" s="3" t="str">
        <f>B43</f>
        <v>65QNED80A</v>
      </c>
      <c r="C100" s="7">
        <f t="shared" si="560"/>
        <v>666</v>
      </c>
      <c r="D100" s="56">
        <f t="shared" si="561"/>
        <v>666</v>
      </c>
      <c r="E100" s="57">
        <f t="shared" si="562"/>
        <v>0</v>
      </c>
      <c r="F100" s="1">
        <f t="shared" si="563"/>
        <v>82.425742574257427</v>
      </c>
      <c r="G100" s="7">
        <f t="shared" si="564"/>
        <v>699</v>
      </c>
      <c r="H100" s="56">
        <f t="shared" si="565"/>
        <v>699</v>
      </c>
      <c r="I100" s="57">
        <f t="shared" si="566"/>
        <v>0</v>
      </c>
      <c r="J100" s="1" t="str">
        <f t="shared" si="567"/>
        <v/>
      </c>
      <c r="K100" s="7">
        <f t="shared" si="568"/>
        <v>900</v>
      </c>
      <c r="L100" s="56">
        <f t="shared" si="569"/>
        <v>900</v>
      </c>
      <c r="M100" s="57">
        <f t="shared" si="570"/>
        <v>0</v>
      </c>
      <c r="N100" s="1">
        <f t="shared" si="571"/>
        <v>138.67488443759629</v>
      </c>
      <c r="O100" s="3" t="str">
        <f>O43</f>
        <v>65QNED80A</v>
      </c>
      <c r="P100" s="7">
        <f t="shared" si="572"/>
        <v>666</v>
      </c>
      <c r="Q100" s="56">
        <f t="shared" si="573"/>
        <v>666</v>
      </c>
      <c r="R100" s="57">
        <f t="shared" si="574"/>
        <v>0</v>
      </c>
      <c r="S100" s="1">
        <f t="shared" si="575"/>
        <v>82.425742574257427</v>
      </c>
      <c r="T100" s="7">
        <f t="shared" si="576"/>
        <v>699</v>
      </c>
      <c r="U100" s="56">
        <f t="shared" si="577"/>
        <v>699</v>
      </c>
      <c r="V100" s="57">
        <f t="shared" si="578"/>
        <v>0</v>
      </c>
      <c r="W100" s="1" t="str">
        <f t="shared" si="579"/>
        <v/>
      </c>
      <c r="X100" s="7">
        <f t="shared" si="580"/>
        <v>726</v>
      </c>
      <c r="Y100" s="56">
        <f t="shared" si="581"/>
        <v>726</v>
      </c>
      <c r="Z100" s="57">
        <f t="shared" si="582"/>
        <v>0</v>
      </c>
      <c r="AA100" s="1">
        <f t="shared" si="583"/>
        <v>111.86440677966101</v>
      </c>
      <c r="AB100" s="3" t="str">
        <f>AB43</f>
        <v>65QNED80A</v>
      </c>
      <c r="AC100" s="7">
        <f t="shared" si="584"/>
        <v>0</v>
      </c>
      <c r="AD100" s="56">
        <f t="shared" si="585"/>
        <v>0</v>
      </c>
      <c r="AE100" s="57">
        <f t="shared" si="586"/>
        <v>0</v>
      </c>
      <c r="AF100" s="1" t="str">
        <f t="shared" si="587"/>
        <v/>
      </c>
      <c r="AG100" s="7">
        <f t="shared" si="588"/>
        <v>0</v>
      </c>
      <c r="AH100" s="56">
        <f t="shared" si="589"/>
        <v>0</v>
      </c>
      <c r="AI100" s="57">
        <f t="shared" si="590"/>
        <v>0</v>
      </c>
      <c r="AJ100" s="1" t="str">
        <f t="shared" si="591"/>
        <v/>
      </c>
      <c r="AK100" s="7">
        <f t="shared" si="592"/>
        <v>0</v>
      </c>
      <c r="AL100" s="56">
        <f t="shared" si="593"/>
        <v>0</v>
      </c>
      <c r="AM100" s="57">
        <f t="shared" si="594"/>
        <v>0</v>
      </c>
      <c r="AN100" s="1" t="str">
        <f t="shared" si="595"/>
        <v/>
      </c>
      <c r="AO100" s="3" t="str">
        <f>AO43</f>
        <v>65QNED80A</v>
      </c>
      <c r="AP100" s="7">
        <f t="shared" si="596"/>
        <v>729</v>
      </c>
      <c r="AQ100" s="56">
        <f t="shared" si="597"/>
        <v>729</v>
      </c>
      <c r="AR100" s="57">
        <f t="shared" si="598"/>
        <v>0</v>
      </c>
      <c r="AS100" s="1">
        <f t="shared" si="599"/>
        <v>107.36377025036819</v>
      </c>
      <c r="AT100" s="7">
        <f t="shared" si="600"/>
        <v>699</v>
      </c>
      <c r="AU100" s="56">
        <f t="shared" si="601"/>
        <v>699</v>
      </c>
      <c r="AV100" s="57">
        <f t="shared" si="602"/>
        <v>0</v>
      </c>
      <c r="AW100" s="1">
        <f t="shared" si="603"/>
        <v>100</v>
      </c>
      <c r="AX100" s="7">
        <f t="shared" si="604"/>
        <v>0</v>
      </c>
      <c r="AY100" s="56">
        <f t="shared" si="605"/>
        <v>0</v>
      </c>
      <c r="AZ100" s="57">
        <f t="shared" si="606"/>
        <v>0</v>
      </c>
      <c r="BA100" s="1" t="str">
        <f t="shared" si="607"/>
        <v/>
      </c>
      <c r="BB100" s="3" t="str">
        <f>BB43</f>
        <v>65QNED80A</v>
      </c>
      <c r="BC100" s="7">
        <f t="shared" si="608"/>
        <v>729</v>
      </c>
      <c r="BD100" s="56">
        <f t="shared" si="609"/>
        <v>729</v>
      </c>
      <c r="BE100" s="57">
        <f t="shared" si="610"/>
        <v>0</v>
      </c>
      <c r="BF100" s="1">
        <f t="shared" si="611"/>
        <v>107.36377025036819</v>
      </c>
      <c r="BG100" s="7">
        <f t="shared" si="612"/>
        <v>699</v>
      </c>
      <c r="BH100" s="56">
        <f t="shared" si="613"/>
        <v>699</v>
      </c>
      <c r="BI100" s="57">
        <f t="shared" si="614"/>
        <v>0</v>
      </c>
      <c r="BJ100" s="1">
        <f t="shared" si="615"/>
        <v>100</v>
      </c>
      <c r="BK100" s="7">
        <f t="shared" si="616"/>
        <v>0</v>
      </c>
      <c r="BL100" s="56">
        <f t="shared" si="617"/>
        <v>0</v>
      </c>
      <c r="BM100" s="57">
        <f t="shared" si="618"/>
        <v>0</v>
      </c>
      <c r="BN100" s="1" t="str">
        <f t="shared" si="619"/>
        <v/>
      </c>
      <c r="BO100" s="3" t="str">
        <f>BO43</f>
        <v>65QNED80A</v>
      </c>
      <c r="BP100" s="7">
        <f t="shared" si="620"/>
        <v>729</v>
      </c>
      <c r="BQ100" s="56">
        <f t="shared" si="621"/>
        <v>729</v>
      </c>
      <c r="BR100" s="57">
        <f t="shared" si="622"/>
        <v>0</v>
      </c>
      <c r="BS100" s="1">
        <f t="shared" si="623"/>
        <v>107.36377025036819</v>
      </c>
      <c r="BT100" s="7">
        <f t="shared" si="624"/>
        <v>699</v>
      </c>
      <c r="BU100" s="56">
        <f t="shared" si="625"/>
        <v>699</v>
      </c>
      <c r="BV100" s="57">
        <f t="shared" si="626"/>
        <v>0</v>
      </c>
      <c r="BW100" s="1">
        <f t="shared" si="627"/>
        <v>100</v>
      </c>
      <c r="BX100" s="7">
        <f t="shared" si="628"/>
        <v>0</v>
      </c>
      <c r="BY100" s="56">
        <f t="shared" si="629"/>
        <v>0</v>
      </c>
      <c r="BZ100" s="57">
        <f t="shared" si="630"/>
        <v>0</v>
      </c>
      <c r="CA100" s="1" t="str">
        <f t="shared" si="631"/>
        <v/>
      </c>
      <c r="CB100" s="3" t="str">
        <f>CB43</f>
        <v>65QNED80A</v>
      </c>
      <c r="CC100" s="7">
        <f t="shared" si="632"/>
        <v>729</v>
      </c>
      <c r="CD100" s="56">
        <f t="shared" si="633"/>
        <v>729</v>
      </c>
      <c r="CE100" s="57">
        <f t="shared" si="634"/>
        <v>0</v>
      </c>
      <c r="CF100" s="1">
        <f t="shared" si="635"/>
        <v>107.36377025036819</v>
      </c>
      <c r="CG100" s="7">
        <f t="shared" si="636"/>
        <v>699</v>
      </c>
      <c r="CH100" s="56">
        <f t="shared" si="637"/>
        <v>699</v>
      </c>
      <c r="CI100" s="57">
        <f t="shared" si="638"/>
        <v>0</v>
      </c>
      <c r="CJ100" s="1">
        <f t="shared" si="639"/>
        <v>100</v>
      </c>
      <c r="CK100" s="7">
        <f t="shared" si="640"/>
        <v>0</v>
      </c>
      <c r="CL100" s="56">
        <f t="shared" si="641"/>
        <v>0</v>
      </c>
      <c r="CM100" s="57">
        <f t="shared" si="642"/>
        <v>0</v>
      </c>
      <c r="CN100" s="1" t="str">
        <f t="shared" si="643"/>
        <v/>
      </c>
      <c r="CO100" s="3" t="str">
        <f>CO43</f>
        <v>65QNED80A</v>
      </c>
      <c r="CP100" s="7">
        <f t="shared" si="644"/>
        <v>729</v>
      </c>
      <c r="CQ100" s="56">
        <f t="shared" si="645"/>
        <v>729</v>
      </c>
      <c r="CR100" s="57">
        <f t="shared" si="646"/>
        <v>0</v>
      </c>
      <c r="CS100" s="1">
        <f t="shared" si="647"/>
        <v>107.36377025036819</v>
      </c>
      <c r="CT100" s="7">
        <f t="shared" si="648"/>
        <v>699</v>
      </c>
      <c r="CU100" s="56">
        <f t="shared" si="649"/>
        <v>699</v>
      </c>
      <c r="CV100" s="57">
        <f t="shared" si="650"/>
        <v>0</v>
      </c>
      <c r="CW100" s="1">
        <f t="shared" si="651"/>
        <v>100</v>
      </c>
      <c r="CX100" s="7">
        <f t="shared" si="652"/>
        <v>0</v>
      </c>
      <c r="CY100" s="56">
        <f t="shared" si="653"/>
        <v>0</v>
      </c>
      <c r="CZ100" s="57">
        <f t="shared" si="654"/>
        <v>0</v>
      </c>
      <c r="DA100" s="1" t="str">
        <f t="shared" si="655"/>
        <v/>
      </c>
      <c r="DB100" s="3" t="str">
        <f>DB43</f>
        <v>65QNED80A</v>
      </c>
      <c r="DC100" s="7">
        <f t="shared" si="656"/>
        <v>729</v>
      </c>
      <c r="DD100" s="56">
        <f t="shared" si="657"/>
        <v>729</v>
      </c>
      <c r="DE100" s="57">
        <f t="shared" si="658"/>
        <v>0</v>
      </c>
      <c r="DF100" s="1">
        <f t="shared" si="659"/>
        <v>107.36377025036819</v>
      </c>
      <c r="DG100" s="7">
        <f t="shared" si="660"/>
        <v>699</v>
      </c>
      <c r="DH100" s="56">
        <f t="shared" si="661"/>
        <v>699</v>
      </c>
      <c r="DI100" s="57">
        <f t="shared" si="662"/>
        <v>0</v>
      </c>
      <c r="DJ100" s="1">
        <f t="shared" si="663"/>
        <v>100</v>
      </c>
      <c r="DK100" s="7">
        <f t="shared" si="664"/>
        <v>0</v>
      </c>
      <c r="DL100" s="56">
        <f t="shared" si="665"/>
        <v>0</v>
      </c>
      <c r="DM100" s="57">
        <f t="shared" si="666"/>
        <v>0</v>
      </c>
      <c r="DN100" s="1" t="str">
        <f t="shared" si="667"/>
        <v/>
      </c>
      <c r="DO100" s="3" t="str">
        <f>DO43</f>
        <v>65QNED80A</v>
      </c>
      <c r="DP100" s="7">
        <f t="shared" si="668"/>
        <v>729</v>
      </c>
      <c r="DQ100" s="56">
        <f t="shared" si="669"/>
        <v>729</v>
      </c>
      <c r="DR100" s="57">
        <f t="shared" si="670"/>
        <v>0</v>
      </c>
      <c r="DS100" s="1">
        <f t="shared" si="671"/>
        <v>107.36377025036819</v>
      </c>
      <c r="DT100" s="7">
        <f t="shared" si="672"/>
        <v>699</v>
      </c>
      <c r="DU100" s="56">
        <f t="shared" si="673"/>
        <v>699</v>
      </c>
      <c r="DV100" s="57">
        <f t="shared" si="674"/>
        <v>0</v>
      </c>
      <c r="DW100" s="1">
        <f t="shared" si="675"/>
        <v>100</v>
      </c>
      <c r="DX100" s="7">
        <f t="shared" si="676"/>
        <v>0</v>
      </c>
      <c r="DY100" s="56">
        <f t="shared" si="677"/>
        <v>0</v>
      </c>
      <c r="DZ100" s="57">
        <f t="shared" si="678"/>
        <v>0</v>
      </c>
      <c r="EA100" s="1" t="str">
        <f t="shared" si="679"/>
        <v/>
      </c>
      <c r="EB100" s="3" t="str">
        <f>EB43</f>
        <v>65QNED80A</v>
      </c>
      <c r="EC100" s="7">
        <f t="shared" si="680"/>
        <v>729</v>
      </c>
      <c r="ED100" s="56">
        <f t="shared" si="681"/>
        <v>729</v>
      </c>
      <c r="EE100" s="57">
        <f t="shared" si="682"/>
        <v>0</v>
      </c>
      <c r="EF100" s="1">
        <f t="shared" si="683"/>
        <v>107.36377025036819</v>
      </c>
      <c r="EG100" s="7">
        <f t="shared" si="684"/>
        <v>699</v>
      </c>
      <c r="EH100" s="56">
        <f t="shared" si="685"/>
        <v>699</v>
      </c>
      <c r="EI100" s="57">
        <f t="shared" si="686"/>
        <v>0</v>
      </c>
      <c r="EJ100" s="1">
        <f t="shared" si="687"/>
        <v>100</v>
      </c>
      <c r="EK100" s="7">
        <f t="shared" si="688"/>
        <v>0</v>
      </c>
      <c r="EL100" s="56">
        <f t="shared" si="689"/>
        <v>0</v>
      </c>
      <c r="EM100" s="57">
        <f t="shared" si="690"/>
        <v>0</v>
      </c>
      <c r="EN100" s="1" t="str">
        <f t="shared" si="691"/>
        <v/>
      </c>
    </row>
    <row r="101" spans="2:144" hidden="1" x14ac:dyDescent="0.3">
      <c r="B101" s="3" t="str">
        <f>B58</f>
        <v>65QNED70A</v>
      </c>
      <c r="C101" s="7">
        <f t="shared" si="560"/>
        <v>0</v>
      </c>
      <c r="D101" s="56">
        <f t="shared" si="561"/>
        <v>0</v>
      </c>
      <c r="E101" s="57">
        <f t="shared" si="562"/>
        <v>0</v>
      </c>
      <c r="F101" s="1" t="str">
        <f t="shared" si="563"/>
        <v/>
      </c>
      <c r="G101" s="7">
        <f t="shared" si="564"/>
        <v>499</v>
      </c>
      <c r="H101" s="56">
        <f t="shared" si="565"/>
        <v>499</v>
      </c>
      <c r="I101" s="57">
        <f t="shared" si="566"/>
        <v>0</v>
      </c>
      <c r="J101" s="1" t="str">
        <f t="shared" si="567"/>
        <v/>
      </c>
      <c r="K101" s="7">
        <f t="shared" si="568"/>
        <v>0</v>
      </c>
      <c r="L101" s="56">
        <f t="shared" si="569"/>
        <v>0</v>
      </c>
      <c r="M101" s="57">
        <f t="shared" si="570"/>
        <v>0</v>
      </c>
      <c r="N101" s="1" t="str">
        <f t="shared" si="571"/>
        <v/>
      </c>
      <c r="O101" s="3" t="str">
        <f>O58</f>
        <v>65QNED70A</v>
      </c>
      <c r="P101" s="7">
        <f t="shared" si="572"/>
        <v>0</v>
      </c>
      <c r="Q101" s="56">
        <f t="shared" si="573"/>
        <v>0</v>
      </c>
      <c r="R101" s="57">
        <f t="shared" si="574"/>
        <v>0</v>
      </c>
      <c r="S101" s="1" t="str">
        <f t="shared" si="575"/>
        <v/>
      </c>
      <c r="T101" s="7">
        <f t="shared" si="576"/>
        <v>0</v>
      </c>
      <c r="U101" s="56">
        <f t="shared" si="577"/>
        <v>0</v>
      </c>
      <c r="V101" s="57">
        <f t="shared" si="578"/>
        <v>0</v>
      </c>
      <c r="W101" s="1" t="str">
        <f t="shared" si="579"/>
        <v/>
      </c>
      <c r="X101" s="7">
        <f t="shared" si="580"/>
        <v>500</v>
      </c>
      <c r="Y101" s="56">
        <f t="shared" si="581"/>
        <v>500</v>
      </c>
      <c r="Z101" s="57">
        <f t="shared" si="582"/>
        <v>0</v>
      </c>
      <c r="AA101" s="1" t="str">
        <f t="shared" si="583"/>
        <v/>
      </c>
      <c r="AB101" s="3" t="str">
        <f>AB58</f>
        <v>65QNED70A</v>
      </c>
      <c r="AC101" s="7">
        <f t="shared" si="584"/>
        <v>0</v>
      </c>
      <c r="AD101" s="56">
        <f t="shared" si="585"/>
        <v>0</v>
      </c>
      <c r="AE101" s="57">
        <f t="shared" si="586"/>
        <v>0</v>
      </c>
      <c r="AF101" s="1" t="str">
        <f t="shared" si="587"/>
        <v/>
      </c>
      <c r="AG101" s="7">
        <f t="shared" si="588"/>
        <v>0</v>
      </c>
      <c r="AH101" s="56">
        <f t="shared" si="589"/>
        <v>0</v>
      </c>
      <c r="AI101" s="57">
        <f t="shared" si="590"/>
        <v>0</v>
      </c>
      <c r="AJ101" s="1" t="str">
        <f t="shared" si="591"/>
        <v/>
      </c>
      <c r="AK101" s="7">
        <f t="shared" si="592"/>
        <v>0</v>
      </c>
      <c r="AL101" s="56">
        <f t="shared" si="593"/>
        <v>0</v>
      </c>
      <c r="AM101" s="57">
        <f t="shared" si="594"/>
        <v>0</v>
      </c>
      <c r="AN101" s="1" t="str">
        <f t="shared" si="595"/>
        <v/>
      </c>
      <c r="AO101" s="3" t="str">
        <f>AO58</f>
        <v>65QNED70A</v>
      </c>
      <c r="AP101" s="7">
        <f t="shared" si="596"/>
        <v>0</v>
      </c>
      <c r="AQ101" s="56">
        <f t="shared" si="597"/>
        <v>0</v>
      </c>
      <c r="AR101" s="57">
        <f t="shared" si="598"/>
        <v>0</v>
      </c>
      <c r="AS101" s="1" t="str">
        <f t="shared" si="599"/>
        <v/>
      </c>
      <c r="AT101" s="7">
        <f t="shared" si="600"/>
        <v>0</v>
      </c>
      <c r="AU101" s="56">
        <f t="shared" si="601"/>
        <v>0</v>
      </c>
      <c r="AV101" s="57">
        <f t="shared" si="602"/>
        <v>0</v>
      </c>
      <c r="AW101" s="1" t="str">
        <f t="shared" si="603"/>
        <v/>
      </c>
      <c r="AX101" s="7">
        <f t="shared" si="604"/>
        <v>0</v>
      </c>
      <c r="AY101" s="56">
        <f t="shared" si="605"/>
        <v>0</v>
      </c>
      <c r="AZ101" s="57">
        <f t="shared" si="606"/>
        <v>0</v>
      </c>
      <c r="BA101" s="1" t="str">
        <f t="shared" si="607"/>
        <v/>
      </c>
      <c r="BB101" s="3" t="str">
        <f>BB58</f>
        <v>65QNED70A</v>
      </c>
      <c r="BC101" s="7">
        <f t="shared" si="608"/>
        <v>0</v>
      </c>
      <c r="BD101" s="56">
        <f t="shared" si="609"/>
        <v>0</v>
      </c>
      <c r="BE101" s="57">
        <f t="shared" si="610"/>
        <v>0</v>
      </c>
      <c r="BF101" s="1" t="str">
        <f t="shared" si="611"/>
        <v/>
      </c>
      <c r="BG101" s="7">
        <f t="shared" si="612"/>
        <v>0</v>
      </c>
      <c r="BH101" s="56">
        <f t="shared" si="613"/>
        <v>0</v>
      </c>
      <c r="BI101" s="57">
        <f t="shared" si="614"/>
        <v>0</v>
      </c>
      <c r="BJ101" s="1" t="str">
        <f t="shared" si="615"/>
        <v/>
      </c>
      <c r="BK101" s="7">
        <f t="shared" si="616"/>
        <v>0</v>
      </c>
      <c r="BL101" s="56">
        <f t="shared" si="617"/>
        <v>0</v>
      </c>
      <c r="BM101" s="57">
        <f t="shared" si="618"/>
        <v>0</v>
      </c>
      <c r="BN101" s="1" t="str">
        <f t="shared" si="619"/>
        <v/>
      </c>
      <c r="BO101" s="3" t="str">
        <f>BO58</f>
        <v>65QNED70A</v>
      </c>
      <c r="BP101" s="7">
        <f t="shared" si="620"/>
        <v>0</v>
      </c>
      <c r="BQ101" s="56">
        <f t="shared" si="621"/>
        <v>0</v>
      </c>
      <c r="BR101" s="57">
        <f t="shared" si="622"/>
        <v>0</v>
      </c>
      <c r="BS101" s="1" t="str">
        <f t="shared" si="623"/>
        <v/>
      </c>
      <c r="BT101" s="7">
        <f t="shared" si="624"/>
        <v>0</v>
      </c>
      <c r="BU101" s="56">
        <f t="shared" si="625"/>
        <v>0</v>
      </c>
      <c r="BV101" s="57">
        <f t="shared" si="626"/>
        <v>0</v>
      </c>
      <c r="BW101" s="1" t="str">
        <f t="shared" si="627"/>
        <v/>
      </c>
      <c r="BX101" s="7">
        <f t="shared" si="628"/>
        <v>0</v>
      </c>
      <c r="BY101" s="56">
        <f t="shared" si="629"/>
        <v>0</v>
      </c>
      <c r="BZ101" s="57">
        <f t="shared" si="630"/>
        <v>0</v>
      </c>
      <c r="CA101" s="1" t="str">
        <f t="shared" si="631"/>
        <v/>
      </c>
      <c r="CB101" s="3" t="str">
        <f>CB58</f>
        <v>65QNED70A</v>
      </c>
      <c r="CC101" s="7">
        <f t="shared" si="632"/>
        <v>0</v>
      </c>
      <c r="CD101" s="56">
        <f t="shared" si="633"/>
        <v>0</v>
      </c>
      <c r="CE101" s="57">
        <f t="shared" si="634"/>
        <v>0</v>
      </c>
      <c r="CF101" s="1" t="str">
        <f t="shared" si="635"/>
        <v/>
      </c>
      <c r="CG101" s="7">
        <f t="shared" si="636"/>
        <v>0</v>
      </c>
      <c r="CH101" s="56">
        <f t="shared" si="637"/>
        <v>0</v>
      </c>
      <c r="CI101" s="57">
        <f t="shared" si="638"/>
        <v>0</v>
      </c>
      <c r="CJ101" s="1" t="str">
        <f t="shared" si="639"/>
        <v/>
      </c>
      <c r="CK101" s="7">
        <f t="shared" si="640"/>
        <v>0</v>
      </c>
      <c r="CL101" s="56">
        <f t="shared" si="641"/>
        <v>0</v>
      </c>
      <c r="CM101" s="57">
        <f t="shared" si="642"/>
        <v>0</v>
      </c>
      <c r="CN101" s="1" t="str">
        <f t="shared" si="643"/>
        <v/>
      </c>
      <c r="CO101" s="3" t="str">
        <f>CO58</f>
        <v>65QNED70A</v>
      </c>
      <c r="CP101" s="7">
        <f t="shared" si="644"/>
        <v>0</v>
      </c>
      <c r="CQ101" s="56">
        <f t="shared" si="645"/>
        <v>0</v>
      </c>
      <c r="CR101" s="57">
        <f t="shared" si="646"/>
        <v>0</v>
      </c>
      <c r="CS101" s="1" t="str">
        <f t="shared" si="647"/>
        <v/>
      </c>
      <c r="CT101" s="7">
        <f t="shared" si="648"/>
        <v>0</v>
      </c>
      <c r="CU101" s="56">
        <f t="shared" si="649"/>
        <v>0</v>
      </c>
      <c r="CV101" s="57">
        <f t="shared" si="650"/>
        <v>0</v>
      </c>
      <c r="CW101" s="1" t="str">
        <f t="shared" si="651"/>
        <v/>
      </c>
      <c r="CX101" s="7">
        <f t="shared" si="652"/>
        <v>0</v>
      </c>
      <c r="CY101" s="56">
        <f t="shared" si="653"/>
        <v>0</v>
      </c>
      <c r="CZ101" s="57">
        <f t="shared" si="654"/>
        <v>0</v>
      </c>
      <c r="DA101" s="1" t="str">
        <f t="shared" si="655"/>
        <v/>
      </c>
      <c r="DB101" s="3" t="str">
        <f>DB58</f>
        <v>65QNED70A</v>
      </c>
      <c r="DC101" s="7">
        <f t="shared" si="656"/>
        <v>0</v>
      </c>
      <c r="DD101" s="56">
        <f t="shared" si="657"/>
        <v>0</v>
      </c>
      <c r="DE101" s="57">
        <f t="shared" si="658"/>
        <v>0</v>
      </c>
      <c r="DF101" s="1" t="str">
        <f t="shared" si="659"/>
        <v/>
      </c>
      <c r="DG101" s="7">
        <f t="shared" si="660"/>
        <v>0</v>
      </c>
      <c r="DH101" s="56">
        <f t="shared" si="661"/>
        <v>0</v>
      </c>
      <c r="DI101" s="57">
        <f t="shared" si="662"/>
        <v>0</v>
      </c>
      <c r="DJ101" s="1" t="str">
        <f t="shared" si="663"/>
        <v/>
      </c>
      <c r="DK101" s="7">
        <f t="shared" si="664"/>
        <v>0</v>
      </c>
      <c r="DL101" s="56">
        <f t="shared" si="665"/>
        <v>0</v>
      </c>
      <c r="DM101" s="57">
        <f t="shared" si="666"/>
        <v>0</v>
      </c>
      <c r="DN101" s="1" t="str">
        <f t="shared" si="667"/>
        <v/>
      </c>
      <c r="DO101" s="3" t="str">
        <f>DO58</f>
        <v>65QNED70A</v>
      </c>
      <c r="DP101" s="7">
        <f t="shared" si="668"/>
        <v>0</v>
      </c>
      <c r="DQ101" s="56">
        <f t="shared" si="669"/>
        <v>0</v>
      </c>
      <c r="DR101" s="57">
        <f t="shared" si="670"/>
        <v>0</v>
      </c>
      <c r="DS101" s="1" t="str">
        <f t="shared" si="671"/>
        <v/>
      </c>
      <c r="DT101" s="7">
        <f t="shared" si="672"/>
        <v>0</v>
      </c>
      <c r="DU101" s="56">
        <f t="shared" si="673"/>
        <v>0</v>
      </c>
      <c r="DV101" s="57">
        <f t="shared" si="674"/>
        <v>0</v>
      </c>
      <c r="DW101" s="1" t="str">
        <f t="shared" si="675"/>
        <v/>
      </c>
      <c r="DX101" s="7">
        <f t="shared" si="676"/>
        <v>0</v>
      </c>
      <c r="DY101" s="56">
        <f t="shared" si="677"/>
        <v>0</v>
      </c>
      <c r="DZ101" s="57">
        <f t="shared" si="678"/>
        <v>0</v>
      </c>
      <c r="EA101" s="1" t="str">
        <f t="shared" si="679"/>
        <v/>
      </c>
      <c r="EB101" s="3" t="str">
        <f>EB58</f>
        <v>65QNED70A</v>
      </c>
      <c r="EC101" s="7">
        <f t="shared" si="680"/>
        <v>0</v>
      </c>
      <c r="ED101" s="56">
        <f t="shared" si="681"/>
        <v>0</v>
      </c>
      <c r="EE101" s="57">
        <f t="shared" si="682"/>
        <v>0</v>
      </c>
      <c r="EF101" s="1" t="str">
        <f t="shared" si="683"/>
        <v/>
      </c>
      <c r="EG101" s="7">
        <f t="shared" si="684"/>
        <v>0</v>
      </c>
      <c r="EH101" s="56">
        <f t="shared" si="685"/>
        <v>0</v>
      </c>
      <c r="EI101" s="57">
        <f t="shared" si="686"/>
        <v>0</v>
      </c>
      <c r="EJ101" s="1" t="str">
        <f t="shared" si="687"/>
        <v/>
      </c>
      <c r="EK101" s="7">
        <f t="shared" si="688"/>
        <v>0</v>
      </c>
      <c r="EL101" s="56">
        <f t="shared" si="689"/>
        <v>0</v>
      </c>
      <c r="EM101" s="57">
        <f t="shared" si="690"/>
        <v>0</v>
      </c>
      <c r="EN101" s="1" t="str">
        <f t="shared" si="691"/>
        <v/>
      </c>
    </row>
    <row r="102" spans="2:144" hidden="1" x14ac:dyDescent="0.3">
      <c r="B102" s="13" t="str">
        <f>B75</f>
        <v>65UA75</v>
      </c>
      <c r="C102" s="9">
        <f t="shared" si="560"/>
        <v>549</v>
      </c>
      <c r="D102" s="79">
        <f t="shared" si="561"/>
        <v>549</v>
      </c>
      <c r="E102" s="80">
        <f t="shared" si="562"/>
        <v>0</v>
      </c>
      <c r="F102" s="4">
        <f t="shared" si="563"/>
        <v>91.652754590984969</v>
      </c>
      <c r="G102" s="9">
        <f t="shared" si="564"/>
        <v>0</v>
      </c>
      <c r="H102" s="79">
        <f t="shared" si="565"/>
        <v>0</v>
      </c>
      <c r="I102" s="80">
        <f t="shared" si="566"/>
        <v>0</v>
      </c>
      <c r="J102" s="4">
        <f t="shared" si="567"/>
        <v>0</v>
      </c>
      <c r="K102" s="9">
        <f t="shared" si="568"/>
        <v>549</v>
      </c>
      <c r="L102" s="79">
        <f t="shared" si="569"/>
        <v>549</v>
      </c>
      <c r="M102" s="80">
        <f t="shared" si="570"/>
        <v>0</v>
      </c>
      <c r="N102" s="4">
        <f t="shared" si="571"/>
        <v>101.85528756957329</v>
      </c>
      <c r="O102" s="13" t="str">
        <f>O75</f>
        <v>65UA75</v>
      </c>
      <c r="P102" s="9">
        <f t="shared" si="572"/>
        <v>549</v>
      </c>
      <c r="Q102" s="79">
        <f t="shared" si="573"/>
        <v>549</v>
      </c>
      <c r="R102" s="80">
        <f t="shared" si="574"/>
        <v>0</v>
      </c>
      <c r="S102" s="4">
        <f t="shared" si="575"/>
        <v>91.652754590984969</v>
      </c>
      <c r="T102" s="9">
        <f t="shared" si="576"/>
        <v>0</v>
      </c>
      <c r="U102" s="79">
        <f t="shared" si="577"/>
        <v>0</v>
      </c>
      <c r="V102" s="80">
        <f t="shared" si="578"/>
        <v>0</v>
      </c>
      <c r="W102" s="4">
        <f t="shared" si="579"/>
        <v>0</v>
      </c>
      <c r="X102" s="9">
        <f t="shared" si="580"/>
        <v>549</v>
      </c>
      <c r="Y102" s="79">
        <f t="shared" si="581"/>
        <v>549</v>
      </c>
      <c r="Z102" s="80">
        <f t="shared" si="582"/>
        <v>0</v>
      </c>
      <c r="AA102" s="4">
        <f t="shared" si="583"/>
        <v>89.559543230016317</v>
      </c>
      <c r="AB102" s="13" t="str">
        <f>AB75</f>
        <v>65UA75</v>
      </c>
      <c r="AC102" s="9">
        <f t="shared" si="584"/>
        <v>0</v>
      </c>
      <c r="AD102" s="79">
        <f t="shared" si="585"/>
        <v>0</v>
      </c>
      <c r="AE102" s="80">
        <f t="shared" si="586"/>
        <v>0</v>
      </c>
      <c r="AF102" s="4" t="str">
        <f t="shared" si="587"/>
        <v/>
      </c>
      <c r="AG102" s="9">
        <f t="shared" si="588"/>
        <v>0</v>
      </c>
      <c r="AH102" s="79">
        <f t="shared" si="589"/>
        <v>0</v>
      </c>
      <c r="AI102" s="80">
        <f t="shared" si="590"/>
        <v>0</v>
      </c>
      <c r="AJ102" s="4" t="str">
        <f t="shared" si="591"/>
        <v/>
      </c>
      <c r="AK102" s="9">
        <f t="shared" si="592"/>
        <v>0</v>
      </c>
      <c r="AL102" s="79">
        <f t="shared" si="593"/>
        <v>0</v>
      </c>
      <c r="AM102" s="80">
        <f t="shared" si="594"/>
        <v>0</v>
      </c>
      <c r="AN102" s="4" t="str">
        <f t="shared" si="595"/>
        <v/>
      </c>
      <c r="AO102" s="13" t="str">
        <f>AO75</f>
        <v>65UA75</v>
      </c>
      <c r="AP102" s="9">
        <f t="shared" si="596"/>
        <v>539</v>
      </c>
      <c r="AQ102" s="79">
        <f t="shared" si="597"/>
        <v>539</v>
      </c>
      <c r="AR102" s="80">
        <f t="shared" si="598"/>
        <v>0</v>
      </c>
      <c r="AS102" s="4">
        <f t="shared" si="599"/>
        <v>89.98330550918196</v>
      </c>
      <c r="AT102" s="9">
        <f t="shared" si="600"/>
        <v>0</v>
      </c>
      <c r="AU102" s="79">
        <f t="shared" si="601"/>
        <v>0</v>
      </c>
      <c r="AV102" s="80">
        <f t="shared" si="602"/>
        <v>0</v>
      </c>
      <c r="AW102" s="4" t="str">
        <f t="shared" si="603"/>
        <v/>
      </c>
      <c r="AX102" s="9">
        <f t="shared" si="604"/>
        <v>0</v>
      </c>
      <c r="AY102" s="79">
        <f t="shared" si="605"/>
        <v>0</v>
      </c>
      <c r="AZ102" s="80">
        <f t="shared" si="606"/>
        <v>0</v>
      </c>
      <c r="BA102" s="4" t="str">
        <f t="shared" si="607"/>
        <v/>
      </c>
      <c r="BB102" s="13" t="str">
        <f>BB75</f>
        <v>65UA75</v>
      </c>
      <c r="BC102" s="9">
        <f t="shared" si="608"/>
        <v>539</v>
      </c>
      <c r="BD102" s="79">
        <f t="shared" si="609"/>
        <v>539</v>
      </c>
      <c r="BE102" s="80">
        <f t="shared" si="610"/>
        <v>0</v>
      </c>
      <c r="BF102" s="4">
        <f t="shared" si="611"/>
        <v>89.98330550918196</v>
      </c>
      <c r="BG102" s="9">
        <f t="shared" si="612"/>
        <v>0</v>
      </c>
      <c r="BH102" s="79">
        <f t="shared" si="613"/>
        <v>0</v>
      </c>
      <c r="BI102" s="80">
        <f t="shared" si="614"/>
        <v>0</v>
      </c>
      <c r="BJ102" s="4" t="str">
        <f t="shared" si="615"/>
        <v/>
      </c>
      <c r="BK102" s="9">
        <f t="shared" si="616"/>
        <v>0</v>
      </c>
      <c r="BL102" s="79">
        <f t="shared" si="617"/>
        <v>0</v>
      </c>
      <c r="BM102" s="80">
        <f t="shared" si="618"/>
        <v>0</v>
      </c>
      <c r="BN102" s="4" t="str">
        <f t="shared" si="619"/>
        <v/>
      </c>
      <c r="BO102" s="13" t="str">
        <f>BO75</f>
        <v>65UA75</v>
      </c>
      <c r="BP102" s="9">
        <f t="shared" si="620"/>
        <v>539</v>
      </c>
      <c r="BQ102" s="79">
        <f t="shared" si="621"/>
        <v>539</v>
      </c>
      <c r="BR102" s="80">
        <f t="shared" si="622"/>
        <v>0</v>
      </c>
      <c r="BS102" s="4">
        <f t="shared" si="623"/>
        <v>89.98330550918196</v>
      </c>
      <c r="BT102" s="9">
        <f t="shared" si="624"/>
        <v>0</v>
      </c>
      <c r="BU102" s="79">
        <f t="shared" si="625"/>
        <v>0</v>
      </c>
      <c r="BV102" s="80">
        <f t="shared" si="626"/>
        <v>0</v>
      </c>
      <c r="BW102" s="4" t="str">
        <f t="shared" si="627"/>
        <v/>
      </c>
      <c r="BX102" s="9">
        <f t="shared" si="628"/>
        <v>0</v>
      </c>
      <c r="BY102" s="79">
        <f t="shared" si="629"/>
        <v>0</v>
      </c>
      <c r="BZ102" s="80">
        <f t="shared" si="630"/>
        <v>0</v>
      </c>
      <c r="CA102" s="4" t="str">
        <f t="shared" si="631"/>
        <v/>
      </c>
      <c r="CB102" s="13" t="str">
        <f>CB75</f>
        <v>65UA75</v>
      </c>
      <c r="CC102" s="9">
        <f t="shared" si="632"/>
        <v>539</v>
      </c>
      <c r="CD102" s="79">
        <f t="shared" si="633"/>
        <v>539</v>
      </c>
      <c r="CE102" s="80">
        <f t="shared" si="634"/>
        <v>0</v>
      </c>
      <c r="CF102" s="4">
        <f t="shared" si="635"/>
        <v>89.98330550918196</v>
      </c>
      <c r="CG102" s="9">
        <f t="shared" si="636"/>
        <v>0</v>
      </c>
      <c r="CH102" s="79">
        <f t="shared" si="637"/>
        <v>0</v>
      </c>
      <c r="CI102" s="80">
        <f t="shared" si="638"/>
        <v>0</v>
      </c>
      <c r="CJ102" s="4" t="str">
        <f t="shared" si="639"/>
        <v/>
      </c>
      <c r="CK102" s="9">
        <f t="shared" si="640"/>
        <v>0</v>
      </c>
      <c r="CL102" s="79">
        <f t="shared" si="641"/>
        <v>0</v>
      </c>
      <c r="CM102" s="80">
        <f t="shared" si="642"/>
        <v>0</v>
      </c>
      <c r="CN102" s="4" t="str">
        <f t="shared" si="643"/>
        <v/>
      </c>
      <c r="CO102" s="13" t="str">
        <f>CO75</f>
        <v>65UA75</v>
      </c>
      <c r="CP102" s="9">
        <f t="shared" si="644"/>
        <v>539</v>
      </c>
      <c r="CQ102" s="79">
        <f t="shared" si="645"/>
        <v>539</v>
      </c>
      <c r="CR102" s="80">
        <f t="shared" si="646"/>
        <v>0</v>
      </c>
      <c r="CS102" s="4">
        <f t="shared" si="647"/>
        <v>89.98330550918196</v>
      </c>
      <c r="CT102" s="9">
        <f t="shared" si="648"/>
        <v>0</v>
      </c>
      <c r="CU102" s="79">
        <f t="shared" si="649"/>
        <v>0</v>
      </c>
      <c r="CV102" s="80">
        <f t="shared" si="650"/>
        <v>0</v>
      </c>
      <c r="CW102" s="4" t="str">
        <f t="shared" si="651"/>
        <v/>
      </c>
      <c r="CX102" s="9">
        <f t="shared" si="652"/>
        <v>0</v>
      </c>
      <c r="CY102" s="79">
        <f t="shared" si="653"/>
        <v>0</v>
      </c>
      <c r="CZ102" s="80">
        <f t="shared" si="654"/>
        <v>0</v>
      </c>
      <c r="DA102" s="4" t="str">
        <f t="shared" si="655"/>
        <v/>
      </c>
      <c r="DB102" s="13" t="str">
        <f>DB75</f>
        <v>65UA75</v>
      </c>
      <c r="DC102" s="9">
        <f t="shared" si="656"/>
        <v>539</v>
      </c>
      <c r="DD102" s="79">
        <f t="shared" si="657"/>
        <v>539</v>
      </c>
      <c r="DE102" s="80">
        <f t="shared" si="658"/>
        <v>0</v>
      </c>
      <c r="DF102" s="4">
        <f t="shared" si="659"/>
        <v>89.98330550918196</v>
      </c>
      <c r="DG102" s="9">
        <f t="shared" si="660"/>
        <v>0</v>
      </c>
      <c r="DH102" s="79">
        <f t="shared" si="661"/>
        <v>0</v>
      </c>
      <c r="DI102" s="80">
        <f t="shared" si="662"/>
        <v>0</v>
      </c>
      <c r="DJ102" s="4" t="str">
        <f t="shared" si="663"/>
        <v/>
      </c>
      <c r="DK102" s="9">
        <f t="shared" si="664"/>
        <v>0</v>
      </c>
      <c r="DL102" s="79">
        <f t="shared" si="665"/>
        <v>0</v>
      </c>
      <c r="DM102" s="80">
        <f t="shared" si="666"/>
        <v>0</v>
      </c>
      <c r="DN102" s="4" t="str">
        <f t="shared" si="667"/>
        <v/>
      </c>
      <c r="DO102" s="13" t="str">
        <f>DO75</f>
        <v>65UA75</v>
      </c>
      <c r="DP102" s="9">
        <f t="shared" si="668"/>
        <v>539</v>
      </c>
      <c r="DQ102" s="79">
        <f t="shared" si="669"/>
        <v>539</v>
      </c>
      <c r="DR102" s="80">
        <f t="shared" si="670"/>
        <v>0</v>
      </c>
      <c r="DS102" s="4">
        <f t="shared" si="671"/>
        <v>89.98330550918196</v>
      </c>
      <c r="DT102" s="9">
        <f t="shared" si="672"/>
        <v>0</v>
      </c>
      <c r="DU102" s="79">
        <f t="shared" si="673"/>
        <v>0</v>
      </c>
      <c r="DV102" s="80">
        <f t="shared" si="674"/>
        <v>0</v>
      </c>
      <c r="DW102" s="4" t="str">
        <f t="shared" si="675"/>
        <v/>
      </c>
      <c r="DX102" s="9">
        <f t="shared" si="676"/>
        <v>0</v>
      </c>
      <c r="DY102" s="79">
        <f t="shared" si="677"/>
        <v>0</v>
      </c>
      <c r="DZ102" s="80">
        <f t="shared" si="678"/>
        <v>0</v>
      </c>
      <c r="EA102" s="4" t="str">
        <f t="shared" si="679"/>
        <v/>
      </c>
      <c r="EB102" s="13" t="str">
        <f>EB75</f>
        <v>65UA75</v>
      </c>
      <c r="EC102" s="9">
        <f t="shared" si="680"/>
        <v>539</v>
      </c>
      <c r="ED102" s="79">
        <f t="shared" si="681"/>
        <v>539</v>
      </c>
      <c r="EE102" s="80">
        <f t="shared" si="682"/>
        <v>0</v>
      </c>
      <c r="EF102" s="4">
        <f t="shared" si="683"/>
        <v>89.98330550918196</v>
      </c>
      <c r="EG102" s="9">
        <f t="shared" si="684"/>
        <v>0</v>
      </c>
      <c r="EH102" s="79">
        <f t="shared" si="685"/>
        <v>0</v>
      </c>
      <c r="EI102" s="80">
        <f t="shared" si="686"/>
        <v>0</v>
      </c>
      <c r="EJ102" s="4" t="str">
        <f t="shared" si="687"/>
        <v/>
      </c>
      <c r="EK102" s="9">
        <f t="shared" si="688"/>
        <v>0</v>
      </c>
      <c r="EL102" s="79">
        <f t="shared" si="689"/>
        <v>0</v>
      </c>
      <c r="EM102" s="80">
        <f t="shared" si="690"/>
        <v>0</v>
      </c>
      <c r="EN102" s="4" t="str">
        <f t="shared" si="691"/>
        <v/>
      </c>
    </row>
    <row r="103" spans="2:144" hidden="1" x14ac:dyDescent="0.3">
      <c r="B103" s="3" t="str">
        <f>B6</f>
        <v>77G57</v>
      </c>
      <c r="C103" s="6">
        <f t="shared" si="560"/>
        <v>4949</v>
      </c>
      <c r="D103" s="54">
        <f t="shared" si="561"/>
        <v>4949</v>
      </c>
      <c r="E103" s="55">
        <f t="shared" si="562"/>
        <v>0</v>
      </c>
      <c r="F103" s="2">
        <f t="shared" si="563"/>
        <v>101.02061645233722</v>
      </c>
      <c r="G103" s="6">
        <f t="shared" si="564"/>
        <v>4859</v>
      </c>
      <c r="H103" s="54">
        <f t="shared" si="565"/>
        <v>4859</v>
      </c>
      <c r="I103" s="55">
        <f t="shared" si="566"/>
        <v>0</v>
      </c>
      <c r="J103" s="2">
        <f t="shared" si="567"/>
        <v>97.19943988797759</v>
      </c>
      <c r="K103" s="6">
        <f t="shared" si="568"/>
        <v>4798</v>
      </c>
      <c r="L103" s="54">
        <f t="shared" si="569"/>
        <v>4798</v>
      </c>
      <c r="M103" s="55">
        <f t="shared" si="570"/>
        <v>0</v>
      </c>
      <c r="N103" s="2">
        <f t="shared" si="571"/>
        <v>117.05293974140034</v>
      </c>
      <c r="O103" s="3" t="str">
        <f>O6</f>
        <v>77G57</v>
      </c>
      <c r="P103" s="6">
        <f t="shared" si="572"/>
        <v>4949</v>
      </c>
      <c r="Q103" s="54">
        <f t="shared" si="573"/>
        <v>4949</v>
      </c>
      <c r="R103" s="55">
        <f t="shared" si="574"/>
        <v>0</v>
      </c>
      <c r="S103" s="2">
        <f t="shared" si="575"/>
        <v>103.12565117732862</v>
      </c>
      <c r="T103" s="6">
        <f t="shared" si="576"/>
        <v>4859</v>
      </c>
      <c r="U103" s="54">
        <f t="shared" si="577"/>
        <v>4859</v>
      </c>
      <c r="V103" s="55">
        <f t="shared" si="578"/>
        <v>0</v>
      </c>
      <c r="W103" s="2" t="str">
        <f t="shared" si="579"/>
        <v/>
      </c>
      <c r="X103" s="6">
        <f t="shared" si="580"/>
        <v>4089</v>
      </c>
      <c r="Y103" s="54">
        <f t="shared" si="581"/>
        <v>4789</v>
      </c>
      <c r="Z103" s="55">
        <f t="shared" si="582"/>
        <v>700</v>
      </c>
      <c r="AA103" s="2">
        <f t="shared" si="583"/>
        <v>97.612795416567195</v>
      </c>
      <c r="AB103" s="3" t="str">
        <f>AB6</f>
        <v>77G57</v>
      </c>
      <c r="AC103" s="6">
        <f t="shared" si="584"/>
        <v>4949</v>
      </c>
      <c r="AD103" s="54">
        <f t="shared" si="585"/>
        <v>4949</v>
      </c>
      <c r="AE103" s="55">
        <f t="shared" si="586"/>
        <v>0</v>
      </c>
      <c r="AF103" s="2">
        <f t="shared" si="587"/>
        <v>103.12565117732862</v>
      </c>
      <c r="AG103" s="6">
        <f t="shared" si="588"/>
        <v>4859</v>
      </c>
      <c r="AH103" s="54">
        <f t="shared" si="589"/>
        <v>4859</v>
      </c>
      <c r="AI103" s="55">
        <f t="shared" si="590"/>
        <v>0</v>
      </c>
      <c r="AJ103" s="2">
        <f t="shared" si="591"/>
        <v>97.19943988797759</v>
      </c>
      <c r="AK103" s="6">
        <f t="shared" si="592"/>
        <v>4789</v>
      </c>
      <c r="AL103" s="54">
        <f t="shared" si="593"/>
        <v>5489</v>
      </c>
      <c r="AM103" s="55">
        <f t="shared" si="594"/>
        <v>700</v>
      </c>
      <c r="AN103" s="2">
        <f t="shared" si="595"/>
        <v>103.54594594594595</v>
      </c>
      <c r="AO103" s="3" t="str">
        <f>AO6</f>
        <v>77G57</v>
      </c>
      <c r="AP103" s="6">
        <f t="shared" si="596"/>
        <v>4949</v>
      </c>
      <c r="AQ103" s="54">
        <f t="shared" si="597"/>
        <v>4949</v>
      </c>
      <c r="AR103" s="55">
        <f t="shared" si="598"/>
        <v>0</v>
      </c>
      <c r="AS103" s="2">
        <f t="shared" si="599"/>
        <v>103.12565117732862</v>
      </c>
      <c r="AT103" s="6">
        <f t="shared" si="600"/>
        <v>4859</v>
      </c>
      <c r="AU103" s="54">
        <f t="shared" si="601"/>
        <v>4859</v>
      </c>
      <c r="AV103" s="55">
        <f t="shared" si="602"/>
        <v>0</v>
      </c>
      <c r="AW103" s="2">
        <f t="shared" si="603"/>
        <v>108.00177817292732</v>
      </c>
      <c r="AX103" s="6">
        <f t="shared" si="604"/>
        <v>4789</v>
      </c>
      <c r="AY103" s="54">
        <f t="shared" si="605"/>
        <v>5489</v>
      </c>
      <c r="AZ103" s="55">
        <f t="shared" si="606"/>
        <v>700</v>
      </c>
      <c r="BA103" s="2">
        <f t="shared" si="607"/>
        <v>106.44587686152478</v>
      </c>
      <c r="BB103" s="3" t="str">
        <f>BB6</f>
        <v>77G57</v>
      </c>
      <c r="BC103" s="6">
        <f t="shared" si="608"/>
        <v>4949</v>
      </c>
      <c r="BD103" s="54">
        <f t="shared" si="609"/>
        <v>4949</v>
      </c>
      <c r="BE103" s="55">
        <f t="shared" si="610"/>
        <v>0</v>
      </c>
      <c r="BF103" s="2">
        <f t="shared" si="611"/>
        <v>103.12565117732862</v>
      </c>
      <c r="BG103" s="6">
        <f t="shared" si="612"/>
        <v>4859</v>
      </c>
      <c r="BH103" s="54">
        <f t="shared" si="613"/>
        <v>4859</v>
      </c>
      <c r="BI103" s="55">
        <f t="shared" si="614"/>
        <v>0</v>
      </c>
      <c r="BJ103" s="2">
        <f t="shared" si="615"/>
        <v>108.00177817292732</v>
      </c>
      <c r="BK103" s="6">
        <f t="shared" si="616"/>
        <v>4789</v>
      </c>
      <c r="BL103" s="54">
        <f t="shared" si="617"/>
        <v>5489</v>
      </c>
      <c r="BM103" s="55">
        <f t="shared" si="618"/>
        <v>700</v>
      </c>
      <c r="BN103" s="2">
        <f t="shared" si="619"/>
        <v>106.44587686152478</v>
      </c>
      <c r="BO103" s="3" t="str">
        <f>BO6</f>
        <v>77G57</v>
      </c>
      <c r="BP103" s="6">
        <f t="shared" si="620"/>
        <v>4949</v>
      </c>
      <c r="BQ103" s="54">
        <f t="shared" si="621"/>
        <v>4949</v>
      </c>
      <c r="BR103" s="55">
        <f t="shared" si="622"/>
        <v>0</v>
      </c>
      <c r="BS103" s="2">
        <f t="shared" si="623"/>
        <v>103.12565117732862</v>
      </c>
      <c r="BT103" s="6">
        <f t="shared" si="624"/>
        <v>4859</v>
      </c>
      <c r="BU103" s="54">
        <f t="shared" si="625"/>
        <v>4859</v>
      </c>
      <c r="BV103" s="55">
        <f t="shared" si="626"/>
        <v>0</v>
      </c>
      <c r="BW103" s="2">
        <f t="shared" si="627"/>
        <v>108.00177817292732</v>
      </c>
      <c r="BX103" s="6">
        <f t="shared" si="628"/>
        <v>4789</v>
      </c>
      <c r="BY103" s="54">
        <f t="shared" si="629"/>
        <v>5489</v>
      </c>
      <c r="BZ103" s="55">
        <f t="shared" si="630"/>
        <v>700</v>
      </c>
      <c r="CA103" s="2">
        <f t="shared" si="631"/>
        <v>106.44587686152478</v>
      </c>
      <c r="CB103" s="3" t="str">
        <f>CB6</f>
        <v>77G57</v>
      </c>
      <c r="CC103" s="6">
        <f t="shared" si="632"/>
        <v>4949</v>
      </c>
      <c r="CD103" s="54">
        <f t="shared" si="633"/>
        <v>4949</v>
      </c>
      <c r="CE103" s="55">
        <f t="shared" si="634"/>
        <v>0</v>
      </c>
      <c r="CF103" s="2">
        <f t="shared" si="635"/>
        <v>103.12565117732862</v>
      </c>
      <c r="CG103" s="6">
        <f t="shared" si="636"/>
        <v>4859</v>
      </c>
      <c r="CH103" s="54">
        <f t="shared" si="637"/>
        <v>4859</v>
      </c>
      <c r="CI103" s="55">
        <f t="shared" si="638"/>
        <v>0</v>
      </c>
      <c r="CJ103" s="2">
        <f t="shared" si="639"/>
        <v>108.00177817292732</v>
      </c>
      <c r="CK103" s="6">
        <f t="shared" si="640"/>
        <v>4789</v>
      </c>
      <c r="CL103" s="54">
        <f t="shared" si="641"/>
        <v>5489</v>
      </c>
      <c r="CM103" s="55">
        <f t="shared" si="642"/>
        <v>700</v>
      </c>
      <c r="CN103" s="2">
        <f t="shared" si="643"/>
        <v>106.44587686152478</v>
      </c>
      <c r="CO103" s="3" t="str">
        <f>CO6</f>
        <v>77G57</v>
      </c>
      <c r="CP103" s="6">
        <f t="shared" si="644"/>
        <v>4949</v>
      </c>
      <c r="CQ103" s="54">
        <f t="shared" si="645"/>
        <v>4949</v>
      </c>
      <c r="CR103" s="55">
        <f t="shared" si="646"/>
        <v>0</v>
      </c>
      <c r="CS103" s="2">
        <f t="shared" si="647"/>
        <v>103.12565117732862</v>
      </c>
      <c r="CT103" s="6">
        <f t="shared" si="648"/>
        <v>4859</v>
      </c>
      <c r="CU103" s="54">
        <f t="shared" si="649"/>
        <v>4859</v>
      </c>
      <c r="CV103" s="55">
        <f t="shared" si="650"/>
        <v>0</v>
      </c>
      <c r="CW103" s="2">
        <f t="shared" si="651"/>
        <v>108.00177817292732</v>
      </c>
      <c r="CX103" s="6">
        <f t="shared" si="652"/>
        <v>4789</v>
      </c>
      <c r="CY103" s="54">
        <f t="shared" si="653"/>
        <v>5489</v>
      </c>
      <c r="CZ103" s="55">
        <f t="shared" si="654"/>
        <v>700</v>
      </c>
      <c r="DA103" s="2">
        <f t="shared" si="655"/>
        <v>106.44587686152478</v>
      </c>
      <c r="DB103" s="3" t="str">
        <f>DB6</f>
        <v>77G57</v>
      </c>
      <c r="DC103" s="6">
        <f t="shared" si="656"/>
        <v>4949</v>
      </c>
      <c r="DD103" s="54">
        <f t="shared" si="657"/>
        <v>4949</v>
      </c>
      <c r="DE103" s="55">
        <f t="shared" si="658"/>
        <v>0</v>
      </c>
      <c r="DF103" s="2">
        <f t="shared" si="659"/>
        <v>103.12565117732862</v>
      </c>
      <c r="DG103" s="6">
        <f t="shared" si="660"/>
        <v>4859</v>
      </c>
      <c r="DH103" s="54">
        <f t="shared" si="661"/>
        <v>4859</v>
      </c>
      <c r="DI103" s="55">
        <f t="shared" si="662"/>
        <v>0</v>
      </c>
      <c r="DJ103" s="2">
        <f t="shared" si="663"/>
        <v>108.00177817292732</v>
      </c>
      <c r="DK103" s="6">
        <f t="shared" si="664"/>
        <v>4789</v>
      </c>
      <c r="DL103" s="54">
        <f t="shared" si="665"/>
        <v>5489</v>
      </c>
      <c r="DM103" s="55">
        <f t="shared" si="666"/>
        <v>700</v>
      </c>
      <c r="DN103" s="2">
        <f t="shared" si="667"/>
        <v>106.44587686152478</v>
      </c>
      <c r="DO103" s="3" t="str">
        <f>DO6</f>
        <v>77G57</v>
      </c>
      <c r="DP103" s="6">
        <f t="shared" si="668"/>
        <v>4949</v>
      </c>
      <c r="DQ103" s="54">
        <f t="shared" si="669"/>
        <v>4949</v>
      </c>
      <c r="DR103" s="55">
        <f t="shared" si="670"/>
        <v>0</v>
      </c>
      <c r="DS103" s="2">
        <f t="shared" si="671"/>
        <v>103.12565117732862</v>
      </c>
      <c r="DT103" s="6">
        <f t="shared" si="672"/>
        <v>4859</v>
      </c>
      <c r="DU103" s="54">
        <f t="shared" si="673"/>
        <v>4859</v>
      </c>
      <c r="DV103" s="55">
        <f t="shared" si="674"/>
        <v>0</v>
      </c>
      <c r="DW103" s="2">
        <f t="shared" si="675"/>
        <v>108.00177817292732</v>
      </c>
      <c r="DX103" s="6">
        <f t="shared" si="676"/>
        <v>4789</v>
      </c>
      <c r="DY103" s="54">
        <f t="shared" si="677"/>
        <v>5489</v>
      </c>
      <c r="DZ103" s="55">
        <f t="shared" si="678"/>
        <v>700</v>
      </c>
      <c r="EA103" s="2">
        <f t="shared" si="679"/>
        <v>106.44587686152478</v>
      </c>
      <c r="EB103" s="3" t="str">
        <f>EB6</f>
        <v>77G57</v>
      </c>
      <c r="EC103" s="6">
        <f t="shared" si="680"/>
        <v>4949</v>
      </c>
      <c r="ED103" s="54">
        <f t="shared" si="681"/>
        <v>4949</v>
      </c>
      <c r="EE103" s="55">
        <f t="shared" si="682"/>
        <v>0</v>
      </c>
      <c r="EF103" s="2">
        <f t="shared" si="683"/>
        <v>103.12565117732862</v>
      </c>
      <c r="EG103" s="6">
        <f t="shared" si="684"/>
        <v>4859</v>
      </c>
      <c r="EH103" s="54">
        <f t="shared" si="685"/>
        <v>4859</v>
      </c>
      <c r="EI103" s="55">
        <f t="shared" si="686"/>
        <v>0</v>
      </c>
      <c r="EJ103" s="2">
        <f t="shared" si="687"/>
        <v>108.00177817292732</v>
      </c>
      <c r="EK103" s="6">
        <f t="shared" si="688"/>
        <v>4789</v>
      </c>
      <c r="EL103" s="54">
        <f t="shared" si="689"/>
        <v>5489</v>
      </c>
      <c r="EM103" s="55">
        <f t="shared" si="690"/>
        <v>700</v>
      </c>
      <c r="EN103" s="2">
        <f t="shared" si="691"/>
        <v>106.44587686152478</v>
      </c>
    </row>
    <row r="104" spans="2:144" hidden="1" x14ac:dyDescent="0.3">
      <c r="B104" s="3" t="str">
        <f>B12</f>
        <v>77C57</v>
      </c>
      <c r="C104" s="7">
        <f t="shared" si="560"/>
        <v>1999</v>
      </c>
      <c r="D104" s="56">
        <f t="shared" si="561"/>
        <v>1999</v>
      </c>
      <c r="E104" s="57">
        <f t="shared" si="562"/>
        <v>0</v>
      </c>
      <c r="F104" s="1">
        <f t="shared" si="563"/>
        <v>100</v>
      </c>
      <c r="G104" s="7">
        <f t="shared" si="564"/>
        <v>1999</v>
      </c>
      <c r="H104" s="56">
        <f t="shared" si="565"/>
        <v>1999</v>
      </c>
      <c r="I104" s="57">
        <f t="shared" si="566"/>
        <v>0</v>
      </c>
      <c r="J104" s="1">
        <f t="shared" si="567"/>
        <v>86.950848194867334</v>
      </c>
      <c r="K104" s="7">
        <f t="shared" si="568"/>
        <v>1999</v>
      </c>
      <c r="L104" s="56">
        <f t="shared" si="569"/>
        <v>1999</v>
      </c>
      <c r="M104" s="57">
        <f t="shared" si="570"/>
        <v>0</v>
      </c>
      <c r="N104" s="1">
        <f t="shared" si="571"/>
        <v>89.400715563506267</v>
      </c>
      <c r="O104" s="3" t="str">
        <f>O12</f>
        <v>77C57</v>
      </c>
      <c r="P104" s="7">
        <f t="shared" si="572"/>
        <v>1999</v>
      </c>
      <c r="Q104" s="56">
        <f t="shared" si="573"/>
        <v>1999</v>
      </c>
      <c r="R104" s="57">
        <f t="shared" si="574"/>
        <v>0</v>
      </c>
      <c r="S104" s="1">
        <f t="shared" si="575"/>
        <v>106.3863757317722</v>
      </c>
      <c r="T104" s="7">
        <f t="shared" si="576"/>
        <v>1949</v>
      </c>
      <c r="U104" s="56">
        <f t="shared" si="577"/>
        <v>1949</v>
      </c>
      <c r="V104" s="57">
        <f t="shared" si="578"/>
        <v>0</v>
      </c>
      <c r="W104" s="1">
        <f t="shared" si="579"/>
        <v>100</v>
      </c>
      <c r="X104" s="7">
        <f t="shared" si="580"/>
        <v>1999</v>
      </c>
      <c r="Y104" s="56">
        <f t="shared" si="581"/>
        <v>1999</v>
      </c>
      <c r="Z104" s="57">
        <f t="shared" si="582"/>
        <v>0</v>
      </c>
      <c r="AA104" s="1">
        <f t="shared" si="583"/>
        <v>105.26592943654556</v>
      </c>
      <c r="AB104" s="3" t="str">
        <f>AB12</f>
        <v>77C57</v>
      </c>
      <c r="AC104" s="7">
        <f t="shared" si="584"/>
        <v>1939</v>
      </c>
      <c r="AD104" s="56">
        <f t="shared" si="585"/>
        <v>1939</v>
      </c>
      <c r="AE104" s="57">
        <f t="shared" si="586"/>
        <v>0</v>
      </c>
      <c r="AF104" s="1">
        <f t="shared" si="587"/>
        <v>103.19318786588612</v>
      </c>
      <c r="AG104" s="7">
        <f t="shared" si="588"/>
        <v>1899</v>
      </c>
      <c r="AH104" s="56">
        <f t="shared" si="589"/>
        <v>1899</v>
      </c>
      <c r="AI104" s="57">
        <f t="shared" si="590"/>
        <v>0</v>
      </c>
      <c r="AJ104" s="1">
        <f t="shared" si="591"/>
        <v>100</v>
      </c>
      <c r="AK104" s="7">
        <f t="shared" si="592"/>
        <v>2079</v>
      </c>
      <c r="AL104" s="56">
        <f t="shared" si="593"/>
        <v>2079</v>
      </c>
      <c r="AM104" s="57">
        <f t="shared" si="594"/>
        <v>0</v>
      </c>
      <c r="AN104" s="1">
        <f t="shared" si="595"/>
        <v>109.478672985782</v>
      </c>
      <c r="AO104" s="3" t="str">
        <f>AO12</f>
        <v>77C57</v>
      </c>
      <c r="AP104" s="7">
        <f t="shared" si="596"/>
        <v>1939</v>
      </c>
      <c r="AQ104" s="56">
        <f t="shared" si="597"/>
        <v>1939</v>
      </c>
      <c r="AR104" s="57">
        <f t="shared" si="598"/>
        <v>0</v>
      </c>
      <c r="AS104" s="1">
        <f t="shared" si="599"/>
        <v>103.19318786588612</v>
      </c>
      <c r="AT104" s="7">
        <f t="shared" si="600"/>
        <v>1899</v>
      </c>
      <c r="AU104" s="56">
        <f t="shared" si="601"/>
        <v>1899</v>
      </c>
      <c r="AV104" s="57">
        <f t="shared" si="602"/>
        <v>0</v>
      </c>
      <c r="AW104" s="1">
        <f t="shared" si="603"/>
        <v>100</v>
      </c>
      <c r="AX104" s="7">
        <f t="shared" si="604"/>
        <v>1949</v>
      </c>
      <c r="AY104" s="56">
        <f t="shared" si="605"/>
        <v>1949</v>
      </c>
      <c r="AZ104" s="57">
        <f t="shared" si="606"/>
        <v>0</v>
      </c>
      <c r="BA104" s="1">
        <f t="shared" si="607"/>
        <v>100</v>
      </c>
      <c r="BB104" s="3" t="str">
        <f>BB12</f>
        <v>77C57</v>
      </c>
      <c r="BC104" s="7">
        <f t="shared" si="608"/>
        <v>1939</v>
      </c>
      <c r="BD104" s="56">
        <f t="shared" si="609"/>
        <v>1939</v>
      </c>
      <c r="BE104" s="57">
        <f t="shared" si="610"/>
        <v>0</v>
      </c>
      <c r="BF104" s="1">
        <f t="shared" si="611"/>
        <v>103.19318786588612</v>
      </c>
      <c r="BG104" s="7">
        <f t="shared" si="612"/>
        <v>1899</v>
      </c>
      <c r="BH104" s="56">
        <f t="shared" si="613"/>
        <v>1899</v>
      </c>
      <c r="BI104" s="57">
        <f t="shared" si="614"/>
        <v>0</v>
      </c>
      <c r="BJ104" s="1">
        <f t="shared" si="615"/>
        <v>100</v>
      </c>
      <c r="BK104" s="7">
        <f t="shared" si="616"/>
        <v>1949</v>
      </c>
      <c r="BL104" s="56">
        <f t="shared" si="617"/>
        <v>1949</v>
      </c>
      <c r="BM104" s="57">
        <f t="shared" si="618"/>
        <v>0</v>
      </c>
      <c r="BN104" s="1">
        <f t="shared" si="619"/>
        <v>100</v>
      </c>
      <c r="BO104" s="3" t="str">
        <f>BO12</f>
        <v>77C57</v>
      </c>
      <c r="BP104" s="7">
        <f t="shared" si="620"/>
        <v>1939</v>
      </c>
      <c r="BQ104" s="56">
        <f t="shared" si="621"/>
        <v>1939</v>
      </c>
      <c r="BR104" s="57">
        <f t="shared" si="622"/>
        <v>0</v>
      </c>
      <c r="BS104" s="1">
        <f t="shared" si="623"/>
        <v>103.19318786588612</v>
      </c>
      <c r="BT104" s="7">
        <f t="shared" si="624"/>
        <v>1899</v>
      </c>
      <c r="BU104" s="56">
        <f t="shared" si="625"/>
        <v>1899</v>
      </c>
      <c r="BV104" s="57">
        <f t="shared" si="626"/>
        <v>0</v>
      </c>
      <c r="BW104" s="1">
        <f t="shared" si="627"/>
        <v>100</v>
      </c>
      <c r="BX104" s="7">
        <f t="shared" si="628"/>
        <v>1949</v>
      </c>
      <c r="BY104" s="56">
        <f t="shared" si="629"/>
        <v>1949</v>
      </c>
      <c r="BZ104" s="57">
        <f t="shared" si="630"/>
        <v>0</v>
      </c>
      <c r="CA104" s="1">
        <f t="shared" si="631"/>
        <v>100</v>
      </c>
      <c r="CB104" s="3" t="str">
        <f>CB12</f>
        <v>77C57</v>
      </c>
      <c r="CC104" s="7">
        <f t="shared" si="632"/>
        <v>1939</v>
      </c>
      <c r="CD104" s="56">
        <f t="shared" si="633"/>
        <v>1939</v>
      </c>
      <c r="CE104" s="57">
        <f t="shared" si="634"/>
        <v>0</v>
      </c>
      <c r="CF104" s="1">
        <f t="shared" si="635"/>
        <v>103.19318786588612</v>
      </c>
      <c r="CG104" s="7">
        <f t="shared" si="636"/>
        <v>1899</v>
      </c>
      <c r="CH104" s="56">
        <f t="shared" si="637"/>
        <v>1899</v>
      </c>
      <c r="CI104" s="57">
        <f t="shared" si="638"/>
        <v>0</v>
      </c>
      <c r="CJ104" s="1">
        <f t="shared" si="639"/>
        <v>100</v>
      </c>
      <c r="CK104" s="7">
        <f t="shared" si="640"/>
        <v>1949</v>
      </c>
      <c r="CL104" s="56">
        <f t="shared" si="641"/>
        <v>1949</v>
      </c>
      <c r="CM104" s="57">
        <f t="shared" si="642"/>
        <v>0</v>
      </c>
      <c r="CN104" s="1">
        <f t="shared" si="643"/>
        <v>100</v>
      </c>
      <c r="CO104" s="3" t="str">
        <f>CO12</f>
        <v>77C57</v>
      </c>
      <c r="CP104" s="7">
        <f t="shared" si="644"/>
        <v>1939</v>
      </c>
      <c r="CQ104" s="56">
        <f t="shared" si="645"/>
        <v>1939</v>
      </c>
      <c r="CR104" s="57">
        <f t="shared" si="646"/>
        <v>0</v>
      </c>
      <c r="CS104" s="1">
        <f t="shared" si="647"/>
        <v>103.19318786588612</v>
      </c>
      <c r="CT104" s="7">
        <f t="shared" si="648"/>
        <v>1899</v>
      </c>
      <c r="CU104" s="56">
        <f t="shared" si="649"/>
        <v>1899</v>
      </c>
      <c r="CV104" s="57">
        <f t="shared" si="650"/>
        <v>0</v>
      </c>
      <c r="CW104" s="1">
        <f t="shared" si="651"/>
        <v>100</v>
      </c>
      <c r="CX104" s="7">
        <f t="shared" si="652"/>
        <v>1949</v>
      </c>
      <c r="CY104" s="56">
        <f t="shared" si="653"/>
        <v>1949</v>
      </c>
      <c r="CZ104" s="57">
        <f t="shared" si="654"/>
        <v>0</v>
      </c>
      <c r="DA104" s="1">
        <f t="shared" si="655"/>
        <v>100</v>
      </c>
      <c r="DB104" s="3" t="str">
        <f>DB12</f>
        <v>77C57</v>
      </c>
      <c r="DC104" s="7">
        <f t="shared" si="656"/>
        <v>1939</v>
      </c>
      <c r="DD104" s="56">
        <f t="shared" si="657"/>
        <v>1939</v>
      </c>
      <c r="DE104" s="57">
        <f t="shared" si="658"/>
        <v>0</v>
      </c>
      <c r="DF104" s="1">
        <f t="shared" si="659"/>
        <v>103.19318786588612</v>
      </c>
      <c r="DG104" s="7">
        <f t="shared" si="660"/>
        <v>1899</v>
      </c>
      <c r="DH104" s="56">
        <f t="shared" si="661"/>
        <v>1899</v>
      </c>
      <c r="DI104" s="57">
        <f t="shared" si="662"/>
        <v>0</v>
      </c>
      <c r="DJ104" s="1">
        <f t="shared" si="663"/>
        <v>100</v>
      </c>
      <c r="DK104" s="7">
        <f t="shared" si="664"/>
        <v>1949</v>
      </c>
      <c r="DL104" s="56">
        <f t="shared" si="665"/>
        <v>1949</v>
      </c>
      <c r="DM104" s="57">
        <f t="shared" si="666"/>
        <v>0</v>
      </c>
      <c r="DN104" s="1">
        <f t="shared" si="667"/>
        <v>100</v>
      </c>
      <c r="DO104" s="3" t="str">
        <f>DO12</f>
        <v>77C57</v>
      </c>
      <c r="DP104" s="7">
        <f t="shared" si="668"/>
        <v>1939</v>
      </c>
      <c r="DQ104" s="56">
        <f t="shared" si="669"/>
        <v>1939</v>
      </c>
      <c r="DR104" s="57">
        <f t="shared" si="670"/>
        <v>0</v>
      </c>
      <c r="DS104" s="1">
        <f t="shared" si="671"/>
        <v>103.19318786588612</v>
      </c>
      <c r="DT104" s="7">
        <f t="shared" si="672"/>
        <v>1899</v>
      </c>
      <c r="DU104" s="56">
        <f t="shared" si="673"/>
        <v>1899</v>
      </c>
      <c r="DV104" s="57">
        <f t="shared" si="674"/>
        <v>0</v>
      </c>
      <c r="DW104" s="1">
        <f t="shared" si="675"/>
        <v>100</v>
      </c>
      <c r="DX104" s="7">
        <f t="shared" si="676"/>
        <v>1949</v>
      </c>
      <c r="DY104" s="56">
        <f t="shared" si="677"/>
        <v>1949</v>
      </c>
      <c r="DZ104" s="57">
        <f t="shared" si="678"/>
        <v>0</v>
      </c>
      <c r="EA104" s="1">
        <f t="shared" si="679"/>
        <v>100</v>
      </c>
      <c r="EB104" s="3" t="str">
        <f>EB12</f>
        <v>77C57</v>
      </c>
      <c r="EC104" s="7">
        <f t="shared" si="680"/>
        <v>1939</v>
      </c>
      <c r="ED104" s="56">
        <f t="shared" si="681"/>
        <v>1939</v>
      </c>
      <c r="EE104" s="57">
        <f t="shared" si="682"/>
        <v>0</v>
      </c>
      <c r="EF104" s="1">
        <f t="shared" si="683"/>
        <v>103.19318786588612</v>
      </c>
      <c r="EG104" s="7">
        <f t="shared" si="684"/>
        <v>1899</v>
      </c>
      <c r="EH104" s="56">
        <f t="shared" si="685"/>
        <v>1899</v>
      </c>
      <c r="EI104" s="57">
        <f t="shared" si="686"/>
        <v>0</v>
      </c>
      <c r="EJ104" s="1">
        <f t="shared" si="687"/>
        <v>100</v>
      </c>
      <c r="EK104" s="7">
        <f t="shared" si="688"/>
        <v>1949</v>
      </c>
      <c r="EL104" s="56">
        <f t="shared" si="689"/>
        <v>1949</v>
      </c>
      <c r="EM104" s="57">
        <f t="shared" si="690"/>
        <v>0</v>
      </c>
      <c r="EN104" s="1">
        <f t="shared" si="691"/>
        <v>100</v>
      </c>
    </row>
    <row r="105" spans="2:144" hidden="1" x14ac:dyDescent="0.3">
      <c r="B105" s="3" t="str">
        <f>B19</f>
        <v>77B59</v>
      </c>
      <c r="C105" s="7">
        <f t="shared" si="560"/>
        <v>0</v>
      </c>
      <c r="D105" s="56">
        <f t="shared" si="561"/>
        <v>0</v>
      </c>
      <c r="E105" s="57">
        <f t="shared" si="562"/>
        <v>0</v>
      </c>
      <c r="F105" s="1">
        <f t="shared" si="563"/>
        <v>0</v>
      </c>
      <c r="G105" s="7">
        <f t="shared" si="564"/>
        <v>1899</v>
      </c>
      <c r="H105" s="56">
        <f t="shared" si="565"/>
        <v>1899</v>
      </c>
      <c r="I105" s="57">
        <f t="shared" si="566"/>
        <v>0</v>
      </c>
      <c r="J105" s="1">
        <f t="shared" si="567"/>
        <v>111.77163037080635</v>
      </c>
      <c r="K105" s="7">
        <f t="shared" si="568"/>
        <v>1900</v>
      </c>
      <c r="L105" s="56">
        <f t="shared" si="569"/>
        <v>1900</v>
      </c>
      <c r="M105" s="57">
        <f t="shared" si="570"/>
        <v>0</v>
      </c>
      <c r="N105" s="1">
        <f t="shared" si="571"/>
        <v>103.54223433242507</v>
      </c>
      <c r="O105" s="3" t="str">
        <f>O19</f>
        <v>77B59</v>
      </c>
      <c r="P105" s="7">
        <f t="shared" si="572"/>
        <v>0</v>
      </c>
      <c r="Q105" s="56">
        <f t="shared" si="573"/>
        <v>0</v>
      </c>
      <c r="R105" s="57">
        <f t="shared" si="574"/>
        <v>0</v>
      </c>
      <c r="S105" s="1">
        <f t="shared" si="575"/>
        <v>0</v>
      </c>
      <c r="T105" s="7">
        <f t="shared" si="576"/>
        <v>1799</v>
      </c>
      <c r="U105" s="56">
        <f t="shared" si="577"/>
        <v>1799</v>
      </c>
      <c r="V105" s="57">
        <f t="shared" si="578"/>
        <v>0</v>
      </c>
      <c r="W105" s="1" t="str">
        <f t="shared" si="579"/>
        <v/>
      </c>
      <c r="X105" s="7">
        <f t="shared" si="580"/>
        <v>1800</v>
      </c>
      <c r="Y105" s="56">
        <f t="shared" si="581"/>
        <v>1800</v>
      </c>
      <c r="Z105" s="57">
        <f t="shared" si="582"/>
        <v>0</v>
      </c>
      <c r="AA105" s="1">
        <f t="shared" si="583"/>
        <v>68.545316070068537</v>
      </c>
      <c r="AB105" s="3" t="str">
        <f>AB19</f>
        <v>77B59</v>
      </c>
      <c r="AC105" s="7">
        <f t="shared" si="584"/>
        <v>0</v>
      </c>
      <c r="AD105" s="56">
        <f t="shared" si="585"/>
        <v>0</v>
      </c>
      <c r="AE105" s="57">
        <f t="shared" si="586"/>
        <v>0</v>
      </c>
      <c r="AF105" s="1">
        <f t="shared" si="587"/>
        <v>0</v>
      </c>
      <c r="AG105" s="7">
        <f t="shared" si="588"/>
        <v>1799</v>
      </c>
      <c r="AH105" s="56">
        <f t="shared" si="589"/>
        <v>1799</v>
      </c>
      <c r="AI105" s="57">
        <f t="shared" si="590"/>
        <v>0</v>
      </c>
      <c r="AJ105" s="1" t="str">
        <f t="shared" si="591"/>
        <v/>
      </c>
      <c r="AK105" s="7">
        <f t="shared" si="592"/>
        <v>1695</v>
      </c>
      <c r="AL105" s="56">
        <f t="shared" si="593"/>
        <v>1695</v>
      </c>
      <c r="AM105" s="57">
        <f t="shared" si="594"/>
        <v>0</v>
      </c>
      <c r="AN105" s="1" t="str">
        <f t="shared" si="595"/>
        <v/>
      </c>
      <c r="AO105" s="3" t="str">
        <f>AO19</f>
        <v>77B59</v>
      </c>
      <c r="AP105" s="7">
        <f t="shared" si="596"/>
        <v>0</v>
      </c>
      <c r="AQ105" s="56">
        <f t="shared" si="597"/>
        <v>0</v>
      </c>
      <c r="AR105" s="57">
        <f t="shared" si="598"/>
        <v>0</v>
      </c>
      <c r="AS105" s="1">
        <f t="shared" si="599"/>
        <v>0</v>
      </c>
      <c r="AT105" s="7">
        <f t="shared" si="600"/>
        <v>1799</v>
      </c>
      <c r="AU105" s="56">
        <f t="shared" si="601"/>
        <v>1799</v>
      </c>
      <c r="AV105" s="57">
        <f t="shared" si="602"/>
        <v>0</v>
      </c>
      <c r="AW105" s="1" t="str">
        <f t="shared" si="603"/>
        <v/>
      </c>
      <c r="AX105" s="7">
        <f t="shared" si="604"/>
        <v>1695</v>
      </c>
      <c r="AY105" s="56">
        <f t="shared" si="605"/>
        <v>1695</v>
      </c>
      <c r="AZ105" s="57">
        <f t="shared" si="606"/>
        <v>0</v>
      </c>
      <c r="BA105" s="1">
        <f t="shared" si="607"/>
        <v>109.42543576500969</v>
      </c>
      <c r="BB105" s="3" t="str">
        <f>BB19</f>
        <v>77B59</v>
      </c>
      <c r="BC105" s="7">
        <f t="shared" si="608"/>
        <v>0</v>
      </c>
      <c r="BD105" s="56">
        <f t="shared" si="609"/>
        <v>0</v>
      </c>
      <c r="BE105" s="57">
        <f t="shared" si="610"/>
        <v>0</v>
      </c>
      <c r="BF105" s="1">
        <f t="shared" si="611"/>
        <v>0</v>
      </c>
      <c r="BG105" s="7">
        <f t="shared" si="612"/>
        <v>1799</v>
      </c>
      <c r="BH105" s="56">
        <f t="shared" si="613"/>
        <v>1799</v>
      </c>
      <c r="BI105" s="57">
        <f t="shared" si="614"/>
        <v>0</v>
      </c>
      <c r="BJ105" s="1" t="str">
        <f t="shared" si="615"/>
        <v/>
      </c>
      <c r="BK105" s="7">
        <f t="shared" si="616"/>
        <v>1695</v>
      </c>
      <c r="BL105" s="56">
        <f t="shared" si="617"/>
        <v>1695</v>
      </c>
      <c r="BM105" s="57">
        <f t="shared" si="618"/>
        <v>0</v>
      </c>
      <c r="BN105" s="1">
        <f t="shared" si="619"/>
        <v>109.42543576500969</v>
      </c>
      <c r="BO105" s="3" t="str">
        <f>BO19</f>
        <v>77B59</v>
      </c>
      <c r="BP105" s="7">
        <f t="shared" si="620"/>
        <v>0</v>
      </c>
      <c r="BQ105" s="56">
        <f t="shared" si="621"/>
        <v>0</v>
      </c>
      <c r="BR105" s="57">
        <f t="shared" si="622"/>
        <v>0</v>
      </c>
      <c r="BS105" s="1">
        <f t="shared" si="623"/>
        <v>0</v>
      </c>
      <c r="BT105" s="7">
        <f t="shared" si="624"/>
        <v>1799</v>
      </c>
      <c r="BU105" s="56">
        <f t="shared" si="625"/>
        <v>1799</v>
      </c>
      <c r="BV105" s="57">
        <f t="shared" si="626"/>
        <v>0</v>
      </c>
      <c r="BW105" s="1" t="str">
        <f t="shared" si="627"/>
        <v/>
      </c>
      <c r="BX105" s="7">
        <f t="shared" si="628"/>
        <v>1695</v>
      </c>
      <c r="BY105" s="56">
        <f t="shared" si="629"/>
        <v>1695</v>
      </c>
      <c r="BZ105" s="57">
        <f t="shared" si="630"/>
        <v>0</v>
      </c>
      <c r="CA105" s="1">
        <f t="shared" si="631"/>
        <v>109.42543576500969</v>
      </c>
      <c r="CB105" s="3" t="str">
        <f>CB19</f>
        <v>77B59</v>
      </c>
      <c r="CC105" s="7">
        <f t="shared" si="632"/>
        <v>0</v>
      </c>
      <c r="CD105" s="56">
        <f t="shared" si="633"/>
        <v>0</v>
      </c>
      <c r="CE105" s="57">
        <f t="shared" si="634"/>
        <v>0</v>
      </c>
      <c r="CF105" s="1">
        <f t="shared" si="635"/>
        <v>0</v>
      </c>
      <c r="CG105" s="7">
        <f t="shared" si="636"/>
        <v>1799</v>
      </c>
      <c r="CH105" s="56">
        <f t="shared" si="637"/>
        <v>1799</v>
      </c>
      <c r="CI105" s="57">
        <f t="shared" si="638"/>
        <v>0</v>
      </c>
      <c r="CJ105" s="1" t="str">
        <f t="shared" si="639"/>
        <v/>
      </c>
      <c r="CK105" s="7">
        <f t="shared" si="640"/>
        <v>1695</v>
      </c>
      <c r="CL105" s="56">
        <f t="shared" si="641"/>
        <v>1695</v>
      </c>
      <c r="CM105" s="57">
        <f t="shared" si="642"/>
        <v>0</v>
      </c>
      <c r="CN105" s="1">
        <f t="shared" si="643"/>
        <v>109.42543576500969</v>
      </c>
      <c r="CO105" s="3" t="str">
        <f>CO19</f>
        <v>77B59</v>
      </c>
      <c r="CP105" s="7">
        <f t="shared" si="644"/>
        <v>0</v>
      </c>
      <c r="CQ105" s="56">
        <f t="shared" si="645"/>
        <v>0</v>
      </c>
      <c r="CR105" s="57">
        <f t="shared" si="646"/>
        <v>0</v>
      </c>
      <c r="CS105" s="1">
        <f t="shared" si="647"/>
        <v>0</v>
      </c>
      <c r="CT105" s="7">
        <f t="shared" si="648"/>
        <v>1799</v>
      </c>
      <c r="CU105" s="56">
        <f t="shared" si="649"/>
        <v>1799</v>
      </c>
      <c r="CV105" s="57">
        <f t="shared" si="650"/>
        <v>0</v>
      </c>
      <c r="CW105" s="1" t="str">
        <f t="shared" si="651"/>
        <v/>
      </c>
      <c r="CX105" s="7">
        <f t="shared" si="652"/>
        <v>1695</v>
      </c>
      <c r="CY105" s="56">
        <f t="shared" si="653"/>
        <v>1695</v>
      </c>
      <c r="CZ105" s="57">
        <f t="shared" si="654"/>
        <v>0</v>
      </c>
      <c r="DA105" s="1">
        <f t="shared" si="655"/>
        <v>109.42543576500969</v>
      </c>
      <c r="DB105" s="3" t="str">
        <f>DB19</f>
        <v>77B59</v>
      </c>
      <c r="DC105" s="7">
        <f t="shared" si="656"/>
        <v>0</v>
      </c>
      <c r="DD105" s="56">
        <f t="shared" si="657"/>
        <v>0</v>
      </c>
      <c r="DE105" s="57">
        <f t="shared" si="658"/>
        <v>0</v>
      </c>
      <c r="DF105" s="1">
        <f t="shared" si="659"/>
        <v>0</v>
      </c>
      <c r="DG105" s="7">
        <f t="shared" si="660"/>
        <v>1799</v>
      </c>
      <c r="DH105" s="56">
        <f t="shared" si="661"/>
        <v>1799</v>
      </c>
      <c r="DI105" s="57">
        <f t="shared" si="662"/>
        <v>0</v>
      </c>
      <c r="DJ105" s="1" t="str">
        <f t="shared" si="663"/>
        <v/>
      </c>
      <c r="DK105" s="7">
        <f t="shared" si="664"/>
        <v>1695</v>
      </c>
      <c r="DL105" s="56">
        <f t="shared" si="665"/>
        <v>1695</v>
      </c>
      <c r="DM105" s="57">
        <f t="shared" si="666"/>
        <v>0</v>
      </c>
      <c r="DN105" s="1">
        <f t="shared" si="667"/>
        <v>109.42543576500969</v>
      </c>
      <c r="DO105" s="3" t="str">
        <f>DO19</f>
        <v>77B59</v>
      </c>
      <c r="DP105" s="7">
        <f t="shared" si="668"/>
        <v>0</v>
      </c>
      <c r="DQ105" s="56">
        <f t="shared" si="669"/>
        <v>0</v>
      </c>
      <c r="DR105" s="57">
        <f t="shared" si="670"/>
        <v>0</v>
      </c>
      <c r="DS105" s="1">
        <f t="shared" si="671"/>
        <v>0</v>
      </c>
      <c r="DT105" s="7">
        <f t="shared" si="672"/>
        <v>1799</v>
      </c>
      <c r="DU105" s="56">
        <f t="shared" si="673"/>
        <v>1799</v>
      </c>
      <c r="DV105" s="57">
        <f t="shared" si="674"/>
        <v>0</v>
      </c>
      <c r="DW105" s="1" t="str">
        <f t="shared" si="675"/>
        <v/>
      </c>
      <c r="DX105" s="7">
        <f t="shared" si="676"/>
        <v>1695</v>
      </c>
      <c r="DY105" s="56">
        <f t="shared" si="677"/>
        <v>1695</v>
      </c>
      <c r="DZ105" s="57">
        <f t="shared" si="678"/>
        <v>0</v>
      </c>
      <c r="EA105" s="1">
        <f t="shared" si="679"/>
        <v>109.42543576500969</v>
      </c>
      <c r="EB105" s="3" t="str">
        <f>EB19</f>
        <v>77B59</v>
      </c>
      <c r="EC105" s="7">
        <f t="shared" si="680"/>
        <v>0</v>
      </c>
      <c r="ED105" s="56">
        <f t="shared" si="681"/>
        <v>0</v>
      </c>
      <c r="EE105" s="57">
        <f t="shared" si="682"/>
        <v>0</v>
      </c>
      <c r="EF105" s="1">
        <f t="shared" si="683"/>
        <v>0</v>
      </c>
      <c r="EG105" s="7">
        <f t="shared" si="684"/>
        <v>1799</v>
      </c>
      <c r="EH105" s="56">
        <f t="shared" si="685"/>
        <v>1799</v>
      </c>
      <c r="EI105" s="57">
        <f t="shared" si="686"/>
        <v>0</v>
      </c>
      <c r="EJ105" s="1" t="str">
        <f t="shared" si="687"/>
        <v/>
      </c>
      <c r="EK105" s="7">
        <f t="shared" si="688"/>
        <v>1695</v>
      </c>
      <c r="EL105" s="56">
        <f t="shared" si="689"/>
        <v>1695</v>
      </c>
      <c r="EM105" s="57">
        <f t="shared" si="690"/>
        <v>0</v>
      </c>
      <c r="EN105" s="1">
        <f t="shared" si="691"/>
        <v>109.42543576500969</v>
      </c>
    </row>
    <row r="106" spans="2:144" hidden="1" x14ac:dyDescent="0.3">
      <c r="B106" s="3" t="str">
        <f>B50</f>
        <v>75QNED86A</v>
      </c>
      <c r="C106" s="7">
        <f t="shared" si="560"/>
        <v>1099</v>
      </c>
      <c r="D106" s="56">
        <f t="shared" si="561"/>
        <v>1099</v>
      </c>
      <c r="E106" s="57">
        <f t="shared" si="562"/>
        <v>0</v>
      </c>
      <c r="F106" s="1">
        <f t="shared" si="563"/>
        <v>61.880630630630627</v>
      </c>
      <c r="G106" s="7">
        <f t="shared" si="564"/>
        <v>1099</v>
      </c>
      <c r="H106" s="56">
        <f t="shared" si="565"/>
        <v>1099</v>
      </c>
      <c r="I106" s="57">
        <f t="shared" si="566"/>
        <v>0</v>
      </c>
      <c r="J106" s="1">
        <f t="shared" si="567"/>
        <v>84.603541185527334</v>
      </c>
      <c r="K106" s="7">
        <f t="shared" si="568"/>
        <v>1222</v>
      </c>
      <c r="L106" s="56">
        <f t="shared" si="569"/>
        <v>1222</v>
      </c>
      <c r="M106" s="57">
        <f t="shared" si="570"/>
        <v>0</v>
      </c>
      <c r="N106" s="1">
        <f t="shared" si="571"/>
        <v>101.91826522101752</v>
      </c>
      <c r="O106" s="3" t="str">
        <f>O50</f>
        <v>75QNED86A</v>
      </c>
      <c r="P106" s="7">
        <f t="shared" si="572"/>
        <v>1099</v>
      </c>
      <c r="Q106" s="56">
        <f t="shared" si="573"/>
        <v>1099</v>
      </c>
      <c r="R106" s="57">
        <f t="shared" si="574"/>
        <v>0</v>
      </c>
      <c r="S106" s="1">
        <f t="shared" si="575"/>
        <v>100.91827364554638</v>
      </c>
      <c r="T106" s="7">
        <f t="shared" si="576"/>
        <v>999</v>
      </c>
      <c r="U106" s="56">
        <f t="shared" si="577"/>
        <v>999</v>
      </c>
      <c r="V106" s="57">
        <f t="shared" si="578"/>
        <v>0</v>
      </c>
      <c r="W106" s="1">
        <f t="shared" si="579"/>
        <v>100</v>
      </c>
      <c r="X106" s="7">
        <f t="shared" si="580"/>
        <v>1099</v>
      </c>
      <c r="Y106" s="56">
        <f t="shared" si="581"/>
        <v>1099</v>
      </c>
      <c r="Z106" s="57">
        <f t="shared" si="582"/>
        <v>0</v>
      </c>
      <c r="AA106" s="1">
        <f t="shared" si="583"/>
        <v>85.193798449612402</v>
      </c>
      <c r="AB106" s="3" t="str">
        <f>AB50</f>
        <v>75QNED86A</v>
      </c>
      <c r="AC106" s="7">
        <f t="shared" si="584"/>
        <v>0</v>
      </c>
      <c r="AD106" s="56">
        <f t="shared" si="585"/>
        <v>0</v>
      </c>
      <c r="AE106" s="57">
        <f t="shared" si="586"/>
        <v>0</v>
      </c>
      <c r="AF106" s="1" t="str">
        <f t="shared" si="587"/>
        <v/>
      </c>
      <c r="AG106" s="7">
        <f t="shared" si="588"/>
        <v>0</v>
      </c>
      <c r="AH106" s="56">
        <f t="shared" si="589"/>
        <v>0</v>
      </c>
      <c r="AI106" s="57">
        <f t="shared" si="590"/>
        <v>0</v>
      </c>
      <c r="AJ106" s="1" t="str">
        <f t="shared" si="591"/>
        <v/>
      </c>
      <c r="AK106" s="7">
        <f t="shared" si="592"/>
        <v>0</v>
      </c>
      <c r="AL106" s="56">
        <f t="shared" si="593"/>
        <v>0</v>
      </c>
      <c r="AM106" s="57">
        <f t="shared" si="594"/>
        <v>0</v>
      </c>
      <c r="AN106" s="1" t="str">
        <f t="shared" si="595"/>
        <v/>
      </c>
      <c r="AO106" s="3" t="str">
        <f>AO50</f>
        <v>75QNED86A</v>
      </c>
      <c r="AP106" s="7">
        <f t="shared" si="596"/>
        <v>1099</v>
      </c>
      <c r="AQ106" s="56">
        <f t="shared" si="597"/>
        <v>1099</v>
      </c>
      <c r="AR106" s="57">
        <f t="shared" si="598"/>
        <v>0</v>
      </c>
      <c r="AS106" s="1">
        <f t="shared" si="599"/>
        <v>62.055335968379445</v>
      </c>
      <c r="AT106" s="7">
        <f t="shared" si="600"/>
        <v>999</v>
      </c>
      <c r="AU106" s="56">
        <f t="shared" si="601"/>
        <v>999</v>
      </c>
      <c r="AV106" s="57">
        <f t="shared" si="602"/>
        <v>0</v>
      </c>
      <c r="AW106" s="1">
        <f t="shared" si="603"/>
        <v>95.233555767397533</v>
      </c>
      <c r="AX106" s="7">
        <f t="shared" si="604"/>
        <v>0</v>
      </c>
      <c r="AY106" s="56">
        <f t="shared" si="605"/>
        <v>0</v>
      </c>
      <c r="AZ106" s="57">
        <f t="shared" si="606"/>
        <v>0</v>
      </c>
      <c r="BA106" s="1" t="str">
        <f t="shared" si="607"/>
        <v/>
      </c>
      <c r="BB106" s="3" t="str">
        <f>BB50</f>
        <v>75QNED86A</v>
      </c>
      <c r="BC106" s="7">
        <f t="shared" si="608"/>
        <v>1099</v>
      </c>
      <c r="BD106" s="56">
        <f t="shared" si="609"/>
        <v>1099</v>
      </c>
      <c r="BE106" s="57">
        <f t="shared" si="610"/>
        <v>0</v>
      </c>
      <c r="BF106" s="1">
        <f t="shared" si="611"/>
        <v>62.055335968379445</v>
      </c>
      <c r="BG106" s="7">
        <f t="shared" si="612"/>
        <v>999</v>
      </c>
      <c r="BH106" s="56">
        <f t="shared" si="613"/>
        <v>999</v>
      </c>
      <c r="BI106" s="57">
        <f t="shared" si="614"/>
        <v>0</v>
      </c>
      <c r="BJ106" s="1">
        <f t="shared" si="615"/>
        <v>95.233555767397533</v>
      </c>
      <c r="BK106" s="7">
        <f t="shared" si="616"/>
        <v>0</v>
      </c>
      <c r="BL106" s="56">
        <f t="shared" si="617"/>
        <v>0</v>
      </c>
      <c r="BM106" s="57">
        <f t="shared" si="618"/>
        <v>0</v>
      </c>
      <c r="BN106" s="1" t="str">
        <f t="shared" si="619"/>
        <v/>
      </c>
      <c r="BO106" s="3" t="str">
        <f>BO50</f>
        <v>75QNED86A</v>
      </c>
      <c r="BP106" s="7">
        <f t="shared" si="620"/>
        <v>1099</v>
      </c>
      <c r="BQ106" s="56">
        <f t="shared" si="621"/>
        <v>1099</v>
      </c>
      <c r="BR106" s="57">
        <f t="shared" si="622"/>
        <v>0</v>
      </c>
      <c r="BS106" s="1">
        <f t="shared" si="623"/>
        <v>62.055335968379445</v>
      </c>
      <c r="BT106" s="7">
        <f t="shared" si="624"/>
        <v>999</v>
      </c>
      <c r="BU106" s="56">
        <f t="shared" si="625"/>
        <v>999</v>
      </c>
      <c r="BV106" s="57">
        <f t="shared" si="626"/>
        <v>0</v>
      </c>
      <c r="BW106" s="1">
        <f t="shared" si="627"/>
        <v>95.233555767397533</v>
      </c>
      <c r="BX106" s="7">
        <f t="shared" si="628"/>
        <v>0</v>
      </c>
      <c r="BY106" s="56">
        <f t="shared" si="629"/>
        <v>0</v>
      </c>
      <c r="BZ106" s="57">
        <f t="shared" si="630"/>
        <v>0</v>
      </c>
      <c r="CA106" s="1" t="str">
        <f t="shared" si="631"/>
        <v/>
      </c>
      <c r="CB106" s="3" t="str">
        <f>CB50</f>
        <v>75QNED86A</v>
      </c>
      <c r="CC106" s="7">
        <f t="shared" si="632"/>
        <v>1099</v>
      </c>
      <c r="CD106" s="56">
        <f t="shared" si="633"/>
        <v>1099</v>
      </c>
      <c r="CE106" s="57">
        <f t="shared" si="634"/>
        <v>0</v>
      </c>
      <c r="CF106" s="1">
        <f t="shared" si="635"/>
        <v>62.055335968379445</v>
      </c>
      <c r="CG106" s="7">
        <f t="shared" si="636"/>
        <v>999</v>
      </c>
      <c r="CH106" s="56">
        <f t="shared" si="637"/>
        <v>999</v>
      </c>
      <c r="CI106" s="57">
        <f t="shared" si="638"/>
        <v>0</v>
      </c>
      <c r="CJ106" s="1">
        <f t="shared" si="639"/>
        <v>95.233555767397533</v>
      </c>
      <c r="CK106" s="7">
        <f t="shared" si="640"/>
        <v>0</v>
      </c>
      <c r="CL106" s="56">
        <f t="shared" si="641"/>
        <v>0</v>
      </c>
      <c r="CM106" s="57">
        <f t="shared" si="642"/>
        <v>0</v>
      </c>
      <c r="CN106" s="1" t="str">
        <f t="shared" si="643"/>
        <v/>
      </c>
      <c r="CO106" s="3" t="str">
        <f>CO50</f>
        <v>75QNED86A</v>
      </c>
      <c r="CP106" s="7">
        <f t="shared" si="644"/>
        <v>1099</v>
      </c>
      <c r="CQ106" s="56">
        <f t="shared" si="645"/>
        <v>1099</v>
      </c>
      <c r="CR106" s="57">
        <f t="shared" si="646"/>
        <v>0</v>
      </c>
      <c r="CS106" s="1">
        <f t="shared" si="647"/>
        <v>62.055335968379445</v>
      </c>
      <c r="CT106" s="7">
        <f t="shared" si="648"/>
        <v>999</v>
      </c>
      <c r="CU106" s="56">
        <f t="shared" si="649"/>
        <v>999</v>
      </c>
      <c r="CV106" s="57">
        <f t="shared" si="650"/>
        <v>0</v>
      </c>
      <c r="CW106" s="1">
        <f t="shared" si="651"/>
        <v>95.233555767397533</v>
      </c>
      <c r="CX106" s="7">
        <f t="shared" si="652"/>
        <v>0</v>
      </c>
      <c r="CY106" s="56">
        <f t="shared" si="653"/>
        <v>0</v>
      </c>
      <c r="CZ106" s="57">
        <f t="shared" si="654"/>
        <v>0</v>
      </c>
      <c r="DA106" s="1" t="str">
        <f t="shared" si="655"/>
        <v/>
      </c>
      <c r="DB106" s="3" t="str">
        <f>DB50</f>
        <v>75QNED86A</v>
      </c>
      <c r="DC106" s="7">
        <f t="shared" si="656"/>
        <v>1099</v>
      </c>
      <c r="DD106" s="56">
        <f t="shared" si="657"/>
        <v>1099</v>
      </c>
      <c r="DE106" s="57">
        <f t="shared" si="658"/>
        <v>0</v>
      </c>
      <c r="DF106" s="1">
        <f t="shared" si="659"/>
        <v>62.055335968379445</v>
      </c>
      <c r="DG106" s="7">
        <f t="shared" si="660"/>
        <v>999</v>
      </c>
      <c r="DH106" s="56">
        <f t="shared" si="661"/>
        <v>999</v>
      </c>
      <c r="DI106" s="57">
        <f t="shared" si="662"/>
        <v>0</v>
      </c>
      <c r="DJ106" s="1">
        <f t="shared" si="663"/>
        <v>95.233555767397533</v>
      </c>
      <c r="DK106" s="7">
        <f t="shared" si="664"/>
        <v>0</v>
      </c>
      <c r="DL106" s="56">
        <f t="shared" si="665"/>
        <v>0</v>
      </c>
      <c r="DM106" s="57">
        <f t="shared" si="666"/>
        <v>0</v>
      </c>
      <c r="DN106" s="1" t="str">
        <f t="shared" si="667"/>
        <v/>
      </c>
      <c r="DO106" s="3" t="str">
        <f>DO50</f>
        <v>75QNED86A</v>
      </c>
      <c r="DP106" s="7">
        <f t="shared" si="668"/>
        <v>1099</v>
      </c>
      <c r="DQ106" s="56">
        <f t="shared" si="669"/>
        <v>1099</v>
      </c>
      <c r="DR106" s="57">
        <f t="shared" si="670"/>
        <v>0</v>
      </c>
      <c r="DS106" s="1">
        <f t="shared" si="671"/>
        <v>62.055335968379445</v>
      </c>
      <c r="DT106" s="7">
        <f t="shared" si="672"/>
        <v>999</v>
      </c>
      <c r="DU106" s="56">
        <f t="shared" si="673"/>
        <v>999</v>
      </c>
      <c r="DV106" s="57">
        <f t="shared" si="674"/>
        <v>0</v>
      </c>
      <c r="DW106" s="1">
        <f t="shared" si="675"/>
        <v>95.233555767397533</v>
      </c>
      <c r="DX106" s="7">
        <f t="shared" si="676"/>
        <v>0</v>
      </c>
      <c r="DY106" s="56">
        <f t="shared" si="677"/>
        <v>0</v>
      </c>
      <c r="DZ106" s="57">
        <f t="shared" si="678"/>
        <v>0</v>
      </c>
      <c r="EA106" s="1" t="str">
        <f t="shared" si="679"/>
        <v/>
      </c>
      <c r="EB106" s="3" t="str">
        <f>EB50</f>
        <v>75QNED86A</v>
      </c>
      <c r="EC106" s="7">
        <f t="shared" si="680"/>
        <v>1099</v>
      </c>
      <c r="ED106" s="56">
        <f t="shared" si="681"/>
        <v>1099</v>
      </c>
      <c r="EE106" s="57">
        <f t="shared" si="682"/>
        <v>0</v>
      </c>
      <c r="EF106" s="1">
        <f t="shared" si="683"/>
        <v>62.055335968379445</v>
      </c>
      <c r="EG106" s="7">
        <f t="shared" si="684"/>
        <v>999</v>
      </c>
      <c r="EH106" s="56">
        <f t="shared" si="685"/>
        <v>999</v>
      </c>
      <c r="EI106" s="57">
        <f t="shared" si="686"/>
        <v>0</v>
      </c>
      <c r="EJ106" s="1">
        <f t="shared" si="687"/>
        <v>95.233555767397533</v>
      </c>
      <c r="EK106" s="7">
        <f t="shared" si="688"/>
        <v>0</v>
      </c>
      <c r="EL106" s="56">
        <f t="shared" si="689"/>
        <v>0</v>
      </c>
      <c r="EM106" s="57">
        <f t="shared" si="690"/>
        <v>0</v>
      </c>
      <c r="EN106" s="1" t="str">
        <f t="shared" si="691"/>
        <v/>
      </c>
    </row>
    <row r="107" spans="2:144" hidden="1" x14ac:dyDescent="0.3">
      <c r="B107" s="3" t="str">
        <f>B42</f>
        <v>75QNED80A</v>
      </c>
      <c r="C107" s="7">
        <f t="shared" si="560"/>
        <v>799</v>
      </c>
      <c r="D107" s="56">
        <f t="shared" si="561"/>
        <v>799</v>
      </c>
      <c r="E107" s="57">
        <f t="shared" si="562"/>
        <v>0</v>
      </c>
      <c r="F107" s="1">
        <f t="shared" si="563"/>
        <v>74.25650557620817</v>
      </c>
      <c r="G107" s="7">
        <f t="shared" si="564"/>
        <v>899</v>
      </c>
      <c r="H107" s="56">
        <f t="shared" si="565"/>
        <v>899</v>
      </c>
      <c r="I107" s="57">
        <f t="shared" si="566"/>
        <v>0</v>
      </c>
      <c r="J107" s="1">
        <f t="shared" si="567"/>
        <v>85.700667302192571</v>
      </c>
      <c r="K107" s="7">
        <f t="shared" si="568"/>
        <v>799</v>
      </c>
      <c r="L107" s="56">
        <f t="shared" si="569"/>
        <v>799</v>
      </c>
      <c r="M107" s="57">
        <f t="shared" si="570"/>
        <v>0</v>
      </c>
      <c r="N107" s="1">
        <f t="shared" si="571"/>
        <v>84.193888303477351</v>
      </c>
      <c r="O107" s="3" t="str">
        <f>O42</f>
        <v>75QNED80A</v>
      </c>
      <c r="P107" s="7">
        <f t="shared" si="572"/>
        <v>899</v>
      </c>
      <c r="Q107" s="56">
        <f t="shared" si="573"/>
        <v>899</v>
      </c>
      <c r="R107" s="57">
        <f t="shared" si="574"/>
        <v>0</v>
      </c>
      <c r="S107" s="1">
        <f t="shared" si="575"/>
        <v>83.550185873605955</v>
      </c>
      <c r="T107" s="7">
        <f t="shared" si="576"/>
        <v>799</v>
      </c>
      <c r="U107" s="56">
        <f t="shared" si="577"/>
        <v>799</v>
      </c>
      <c r="V107" s="57">
        <f t="shared" si="578"/>
        <v>0</v>
      </c>
      <c r="W107" s="1" t="str">
        <f t="shared" si="579"/>
        <v/>
      </c>
      <c r="X107" s="7">
        <f t="shared" si="580"/>
        <v>894</v>
      </c>
      <c r="Y107" s="56">
        <f t="shared" si="581"/>
        <v>894</v>
      </c>
      <c r="Z107" s="57">
        <f t="shared" si="582"/>
        <v>0</v>
      </c>
      <c r="AA107" s="1">
        <f t="shared" si="583"/>
        <v>119.35914552736983</v>
      </c>
      <c r="AB107" s="3" t="str">
        <f>AB42</f>
        <v>75QNED80A</v>
      </c>
      <c r="AC107" s="7">
        <f t="shared" si="584"/>
        <v>0</v>
      </c>
      <c r="AD107" s="56">
        <f t="shared" si="585"/>
        <v>0</v>
      </c>
      <c r="AE107" s="57">
        <f t="shared" si="586"/>
        <v>0</v>
      </c>
      <c r="AF107" s="1" t="str">
        <f t="shared" si="587"/>
        <v/>
      </c>
      <c r="AG107" s="7">
        <f t="shared" si="588"/>
        <v>0</v>
      </c>
      <c r="AH107" s="56">
        <f t="shared" si="589"/>
        <v>0</v>
      </c>
      <c r="AI107" s="57">
        <f t="shared" si="590"/>
        <v>0</v>
      </c>
      <c r="AJ107" s="1" t="str">
        <f t="shared" si="591"/>
        <v/>
      </c>
      <c r="AK107" s="7">
        <f t="shared" si="592"/>
        <v>0</v>
      </c>
      <c r="AL107" s="56">
        <f t="shared" si="593"/>
        <v>0</v>
      </c>
      <c r="AM107" s="57">
        <f t="shared" si="594"/>
        <v>0</v>
      </c>
      <c r="AN107" s="1" t="str">
        <f t="shared" si="595"/>
        <v/>
      </c>
      <c r="AO107" s="3" t="str">
        <f>AO42</f>
        <v>75QNED80A</v>
      </c>
      <c r="AP107" s="7">
        <f t="shared" si="596"/>
        <v>799</v>
      </c>
      <c r="AQ107" s="56">
        <f t="shared" si="597"/>
        <v>799</v>
      </c>
      <c r="AR107" s="57">
        <f t="shared" si="598"/>
        <v>0</v>
      </c>
      <c r="AS107" s="1">
        <f t="shared" si="599"/>
        <v>85.090521831735884</v>
      </c>
      <c r="AT107" s="7">
        <f t="shared" si="600"/>
        <v>799</v>
      </c>
      <c r="AU107" s="56">
        <f t="shared" si="601"/>
        <v>799</v>
      </c>
      <c r="AV107" s="57">
        <f t="shared" si="602"/>
        <v>0</v>
      </c>
      <c r="AW107" s="1">
        <f t="shared" si="603"/>
        <v>88.876529477196883</v>
      </c>
      <c r="AX107" s="7">
        <f t="shared" si="604"/>
        <v>0</v>
      </c>
      <c r="AY107" s="56">
        <f t="shared" si="605"/>
        <v>0</v>
      </c>
      <c r="AZ107" s="57">
        <f t="shared" si="606"/>
        <v>0</v>
      </c>
      <c r="BA107" s="1" t="str">
        <f t="shared" si="607"/>
        <v/>
      </c>
      <c r="BB107" s="3" t="str">
        <f>BB42</f>
        <v>75QNED80A</v>
      </c>
      <c r="BC107" s="7">
        <f t="shared" si="608"/>
        <v>799</v>
      </c>
      <c r="BD107" s="56">
        <f t="shared" si="609"/>
        <v>799</v>
      </c>
      <c r="BE107" s="57">
        <f t="shared" si="610"/>
        <v>0</v>
      </c>
      <c r="BF107" s="1">
        <f t="shared" si="611"/>
        <v>85.090521831735884</v>
      </c>
      <c r="BG107" s="7">
        <f t="shared" si="612"/>
        <v>799</v>
      </c>
      <c r="BH107" s="56">
        <f t="shared" si="613"/>
        <v>799</v>
      </c>
      <c r="BI107" s="57">
        <f t="shared" si="614"/>
        <v>0</v>
      </c>
      <c r="BJ107" s="1">
        <f t="shared" si="615"/>
        <v>88.876529477196883</v>
      </c>
      <c r="BK107" s="7">
        <f t="shared" si="616"/>
        <v>0</v>
      </c>
      <c r="BL107" s="56">
        <f t="shared" si="617"/>
        <v>0</v>
      </c>
      <c r="BM107" s="57">
        <f t="shared" si="618"/>
        <v>0</v>
      </c>
      <c r="BN107" s="1" t="str">
        <f t="shared" si="619"/>
        <v/>
      </c>
      <c r="BO107" s="3" t="str">
        <f>BO42</f>
        <v>75QNED80A</v>
      </c>
      <c r="BP107" s="7">
        <f t="shared" si="620"/>
        <v>799</v>
      </c>
      <c r="BQ107" s="56">
        <f t="shared" si="621"/>
        <v>799</v>
      </c>
      <c r="BR107" s="57">
        <f t="shared" si="622"/>
        <v>0</v>
      </c>
      <c r="BS107" s="1">
        <f t="shared" si="623"/>
        <v>85.090521831735884</v>
      </c>
      <c r="BT107" s="7">
        <f t="shared" si="624"/>
        <v>799</v>
      </c>
      <c r="BU107" s="56">
        <f t="shared" si="625"/>
        <v>799</v>
      </c>
      <c r="BV107" s="57">
        <f t="shared" si="626"/>
        <v>0</v>
      </c>
      <c r="BW107" s="1">
        <f t="shared" si="627"/>
        <v>88.876529477196883</v>
      </c>
      <c r="BX107" s="7">
        <f t="shared" si="628"/>
        <v>0</v>
      </c>
      <c r="BY107" s="56">
        <f t="shared" si="629"/>
        <v>0</v>
      </c>
      <c r="BZ107" s="57">
        <f t="shared" si="630"/>
        <v>0</v>
      </c>
      <c r="CA107" s="1" t="str">
        <f t="shared" si="631"/>
        <v/>
      </c>
      <c r="CB107" s="3" t="str">
        <f>CB42</f>
        <v>75QNED80A</v>
      </c>
      <c r="CC107" s="7">
        <f t="shared" si="632"/>
        <v>799</v>
      </c>
      <c r="CD107" s="56">
        <f t="shared" si="633"/>
        <v>799</v>
      </c>
      <c r="CE107" s="57">
        <f t="shared" si="634"/>
        <v>0</v>
      </c>
      <c r="CF107" s="1">
        <f t="shared" si="635"/>
        <v>85.090521831735884</v>
      </c>
      <c r="CG107" s="7">
        <f t="shared" si="636"/>
        <v>799</v>
      </c>
      <c r="CH107" s="56">
        <f t="shared" si="637"/>
        <v>799</v>
      </c>
      <c r="CI107" s="57">
        <f t="shared" si="638"/>
        <v>0</v>
      </c>
      <c r="CJ107" s="1">
        <f t="shared" si="639"/>
        <v>88.876529477196883</v>
      </c>
      <c r="CK107" s="7">
        <f t="shared" si="640"/>
        <v>0</v>
      </c>
      <c r="CL107" s="56">
        <f t="shared" si="641"/>
        <v>0</v>
      </c>
      <c r="CM107" s="57">
        <f t="shared" si="642"/>
        <v>0</v>
      </c>
      <c r="CN107" s="1" t="str">
        <f t="shared" si="643"/>
        <v/>
      </c>
      <c r="CO107" s="3" t="str">
        <f>CO42</f>
        <v>75QNED80A</v>
      </c>
      <c r="CP107" s="7">
        <f t="shared" si="644"/>
        <v>799</v>
      </c>
      <c r="CQ107" s="56">
        <f t="shared" si="645"/>
        <v>799</v>
      </c>
      <c r="CR107" s="57">
        <f t="shared" si="646"/>
        <v>0</v>
      </c>
      <c r="CS107" s="1">
        <f t="shared" si="647"/>
        <v>85.090521831735884</v>
      </c>
      <c r="CT107" s="7">
        <f t="shared" si="648"/>
        <v>799</v>
      </c>
      <c r="CU107" s="56">
        <f t="shared" si="649"/>
        <v>799</v>
      </c>
      <c r="CV107" s="57">
        <f t="shared" si="650"/>
        <v>0</v>
      </c>
      <c r="CW107" s="1">
        <f t="shared" si="651"/>
        <v>88.876529477196883</v>
      </c>
      <c r="CX107" s="7">
        <f t="shared" si="652"/>
        <v>0</v>
      </c>
      <c r="CY107" s="56">
        <f t="shared" si="653"/>
        <v>0</v>
      </c>
      <c r="CZ107" s="57">
        <f t="shared" si="654"/>
        <v>0</v>
      </c>
      <c r="DA107" s="1" t="str">
        <f t="shared" si="655"/>
        <v/>
      </c>
      <c r="DB107" s="3" t="str">
        <f>DB42</f>
        <v>75QNED80A</v>
      </c>
      <c r="DC107" s="7">
        <f t="shared" si="656"/>
        <v>799</v>
      </c>
      <c r="DD107" s="56">
        <f t="shared" si="657"/>
        <v>799</v>
      </c>
      <c r="DE107" s="57">
        <f t="shared" si="658"/>
        <v>0</v>
      </c>
      <c r="DF107" s="1">
        <f t="shared" si="659"/>
        <v>85.090521831735884</v>
      </c>
      <c r="DG107" s="7">
        <f t="shared" si="660"/>
        <v>799</v>
      </c>
      <c r="DH107" s="56">
        <f t="shared" si="661"/>
        <v>799</v>
      </c>
      <c r="DI107" s="57">
        <f t="shared" si="662"/>
        <v>0</v>
      </c>
      <c r="DJ107" s="1">
        <f t="shared" si="663"/>
        <v>88.876529477196883</v>
      </c>
      <c r="DK107" s="7">
        <f t="shared" si="664"/>
        <v>0</v>
      </c>
      <c r="DL107" s="56">
        <f t="shared" si="665"/>
        <v>0</v>
      </c>
      <c r="DM107" s="57">
        <f t="shared" si="666"/>
        <v>0</v>
      </c>
      <c r="DN107" s="1" t="str">
        <f t="shared" si="667"/>
        <v/>
      </c>
      <c r="DO107" s="3" t="str">
        <f>DO42</f>
        <v>75QNED80A</v>
      </c>
      <c r="DP107" s="7">
        <f t="shared" si="668"/>
        <v>799</v>
      </c>
      <c r="DQ107" s="56">
        <f t="shared" si="669"/>
        <v>799</v>
      </c>
      <c r="DR107" s="57">
        <f t="shared" si="670"/>
        <v>0</v>
      </c>
      <c r="DS107" s="1">
        <f t="shared" si="671"/>
        <v>85.090521831735884</v>
      </c>
      <c r="DT107" s="7">
        <f t="shared" si="672"/>
        <v>799</v>
      </c>
      <c r="DU107" s="56">
        <f t="shared" si="673"/>
        <v>799</v>
      </c>
      <c r="DV107" s="57">
        <f t="shared" si="674"/>
        <v>0</v>
      </c>
      <c r="DW107" s="1">
        <f t="shared" si="675"/>
        <v>88.876529477196883</v>
      </c>
      <c r="DX107" s="7">
        <f t="shared" si="676"/>
        <v>0</v>
      </c>
      <c r="DY107" s="56">
        <f t="shared" si="677"/>
        <v>0</v>
      </c>
      <c r="DZ107" s="57">
        <f t="shared" si="678"/>
        <v>0</v>
      </c>
      <c r="EA107" s="1" t="str">
        <f t="shared" si="679"/>
        <v/>
      </c>
      <c r="EB107" s="3" t="str">
        <f>EB42</f>
        <v>75QNED80A</v>
      </c>
      <c r="EC107" s="7">
        <f t="shared" si="680"/>
        <v>799</v>
      </c>
      <c r="ED107" s="56">
        <f t="shared" si="681"/>
        <v>799</v>
      </c>
      <c r="EE107" s="57">
        <f t="shared" si="682"/>
        <v>0</v>
      </c>
      <c r="EF107" s="1">
        <f t="shared" si="683"/>
        <v>85.090521831735884</v>
      </c>
      <c r="EG107" s="7">
        <f t="shared" si="684"/>
        <v>799</v>
      </c>
      <c r="EH107" s="56">
        <f t="shared" si="685"/>
        <v>799</v>
      </c>
      <c r="EI107" s="57">
        <f t="shared" si="686"/>
        <v>0</v>
      </c>
      <c r="EJ107" s="1">
        <f t="shared" si="687"/>
        <v>88.876529477196883</v>
      </c>
      <c r="EK107" s="7">
        <f t="shared" si="688"/>
        <v>0</v>
      </c>
      <c r="EL107" s="56">
        <f t="shared" si="689"/>
        <v>0</v>
      </c>
      <c r="EM107" s="57">
        <f t="shared" si="690"/>
        <v>0</v>
      </c>
      <c r="EN107" s="1" t="str">
        <f t="shared" si="691"/>
        <v/>
      </c>
    </row>
    <row r="108" spans="2:144" hidden="1" x14ac:dyDescent="0.3">
      <c r="B108" s="3" t="str">
        <f>B57</f>
        <v>75QNED70A</v>
      </c>
      <c r="C108" s="7">
        <f t="shared" si="560"/>
        <v>0</v>
      </c>
      <c r="D108" s="56">
        <f t="shared" si="561"/>
        <v>0</v>
      </c>
      <c r="E108" s="57">
        <f t="shared" si="562"/>
        <v>0</v>
      </c>
      <c r="F108" s="1" t="str">
        <f t="shared" si="563"/>
        <v/>
      </c>
      <c r="G108" s="7">
        <f t="shared" si="564"/>
        <v>0</v>
      </c>
      <c r="H108" s="56">
        <f t="shared" si="565"/>
        <v>0</v>
      </c>
      <c r="I108" s="57">
        <f t="shared" si="566"/>
        <v>0</v>
      </c>
      <c r="J108" s="1" t="str">
        <f t="shared" si="567"/>
        <v/>
      </c>
      <c r="K108" s="7">
        <f t="shared" si="568"/>
        <v>0</v>
      </c>
      <c r="L108" s="56">
        <f t="shared" si="569"/>
        <v>0</v>
      </c>
      <c r="M108" s="57">
        <f t="shared" si="570"/>
        <v>0</v>
      </c>
      <c r="N108" s="1" t="str">
        <f t="shared" si="571"/>
        <v/>
      </c>
      <c r="O108" s="3" t="str">
        <f>O57</f>
        <v>75QNED70A</v>
      </c>
      <c r="P108" s="7">
        <f t="shared" si="572"/>
        <v>0</v>
      </c>
      <c r="Q108" s="56">
        <f t="shared" si="573"/>
        <v>0</v>
      </c>
      <c r="R108" s="57">
        <f t="shared" si="574"/>
        <v>0</v>
      </c>
      <c r="S108" s="1" t="str">
        <f t="shared" si="575"/>
        <v/>
      </c>
      <c r="T108" s="7">
        <f t="shared" si="576"/>
        <v>0</v>
      </c>
      <c r="U108" s="56">
        <f t="shared" si="577"/>
        <v>0</v>
      </c>
      <c r="V108" s="57">
        <f t="shared" si="578"/>
        <v>0</v>
      </c>
      <c r="W108" s="1" t="str">
        <f t="shared" si="579"/>
        <v/>
      </c>
      <c r="X108" s="7">
        <f t="shared" si="580"/>
        <v>0</v>
      </c>
      <c r="Y108" s="56">
        <f t="shared" si="581"/>
        <v>0</v>
      </c>
      <c r="Z108" s="57">
        <f t="shared" si="582"/>
        <v>0</v>
      </c>
      <c r="AA108" s="1" t="str">
        <f t="shared" si="583"/>
        <v/>
      </c>
      <c r="AB108" s="3" t="str">
        <f>AB57</f>
        <v>75QNED70A</v>
      </c>
      <c r="AC108" s="7">
        <f t="shared" si="584"/>
        <v>0</v>
      </c>
      <c r="AD108" s="56">
        <f t="shared" si="585"/>
        <v>0</v>
      </c>
      <c r="AE108" s="57">
        <f t="shared" si="586"/>
        <v>0</v>
      </c>
      <c r="AF108" s="1" t="str">
        <f t="shared" si="587"/>
        <v/>
      </c>
      <c r="AG108" s="7">
        <f t="shared" si="588"/>
        <v>0</v>
      </c>
      <c r="AH108" s="56">
        <f t="shared" si="589"/>
        <v>0</v>
      </c>
      <c r="AI108" s="57">
        <f t="shared" si="590"/>
        <v>0</v>
      </c>
      <c r="AJ108" s="1" t="str">
        <f t="shared" si="591"/>
        <v/>
      </c>
      <c r="AK108" s="7">
        <f t="shared" si="592"/>
        <v>0</v>
      </c>
      <c r="AL108" s="56">
        <f t="shared" si="593"/>
        <v>0</v>
      </c>
      <c r="AM108" s="57">
        <f t="shared" si="594"/>
        <v>0</v>
      </c>
      <c r="AN108" s="1" t="str">
        <f t="shared" si="595"/>
        <v/>
      </c>
      <c r="AO108" s="3" t="str">
        <f>AO57</f>
        <v>75QNED70A</v>
      </c>
      <c r="AP108" s="7">
        <f t="shared" si="596"/>
        <v>0</v>
      </c>
      <c r="AQ108" s="56">
        <f t="shared" si="597"/>
        <v>0</v>
      </c>
      <c r="AR108" s="57">
        <f t="shared" si="598"/>
        <v>0</v>
      </c>
      <c r="AS108" s="1" t="str">
        <f t="shared" si="599"/>
        <v/>
      </c>
      <c r="AT108" s="7">
        <f t="shared" si="600"/>
        <v>0</v>
      </c>
      <c r="AU108" s="56">
        <f t="shared" si="601"/>
        <v>0</v>
      </c>
      <c r="AV108" s="57">
        <f t="shared" si="602"/>
        <v>0</v>
      </c>
      <c r="AW108" s="1" t="str">
        <f t="shared" si="603"/>
        <v/>
      </c>
      <c r="AX108" s="7">
        <f t="shared" si="604"/>
        <v>0</v>
      </c>
      <c r="AY108" s="56">
        <f t="shared" si="605"/>
        <v>0</v>
      </c>
      <c r="AZ108" s="57">
        <f t="shared" si="606"/>
        <v>0</v>
      </c>
      <c r="BA108" s="1" t="str">
        <f t="shared" si="607"/>
        <v/>
      </c>
      <c r="BB108" s="3" t="str">
        <f>BB57</f>
        <v>75QNED70A</v>
      </c>
      <c r="BC108" s="7">
        <f t="shared" si="608"/>
        <v>0</v>
      </c>
      <c r="BD108" s="56">
        <f t="shared" si="609"/>
        <v>0</v>
      </c>
      <c r="BE108" s="57">
        <f t="shared" si="610"/>
        <v>0</v>
      </c>
      <c r="BF108" s="1" t="str">
        <f t="shared" si="611"/>
        <v/>
      </c>
      <c r="BG108" s="7">
        <f t="shared" si="612"/>
        <v>0</v>
      </c>
      <c r="BH108" s="56">
        <f t="shared" si="613"/>
        <v>0</v>
      </c>
      <c r="BI108" s="57">
        <f t="shared" si="614"/>
        <v>0</v>
      </c>
      <c r="BJ108" s="1" t="str">
        <f t="shared" si="615"/>
        <v/>
      </c>
      <c r="BK108" s="7">
        <f t="shared" si="616"/>
        <v>0</v>
      </c>
      <c r="BL108" s="56">
        <f t="shared" si="617"/>
        <v>0</v>
      </c>
      <c r="BM108" s="57">
        <f t="shared" si="618"/>
        <v>0</v>
      </c>
      <c r="BN108" s="1" t="str">
        <f t="shared" si="619"/>
        <v/>
      </c>
      <c r="BO108" s="3" t="str">
        <f>BO57</f>
        <v>75QNED70A</v>
      </c>
      <c r="BP108" s="7">
        <f t="shared" si="620"/>
        <v>0</v>
      </c>
      <c r="BQ108" s="56">
        <f t="shared" si="621"/>
        <v>0</v>
      </c>
      <c r="BR108" s="57">
        <f t="shared" si="622"/>
        <v>0</v>
      </c>
      <c r="BS108" s="1" t="str">
        <f t="shared" si="623"/>
        <v/>
      </c>
      <c r="BT108" s="7">
        <f t="shared" si="624"/>
        <v>0</v>
      </c>
      <c r="BU108" s="56">
        <f t="shared" si="625"/>
        <v>0</v>
      </c>
      <c r="BV108" s="57">
        <f t="shared" si="626"/>
        <v>0</v>
      </c>
      <c r="BW108" s="1" t="str">
        <f t="shared" si="627"/>
        <v/>
      </c>
      <c r="BX108" s="7">
        <f t="shared" si="628"/>
        <v>0</v>
      </c>
      <c r="BY108" s="56">
        <f t="shared" si="629"/>
        <v>0</v>
      </c>
      <c r="BZ108" s="57">
        <f t="shared" si="630"/>
        <v>0</v>
      </c>
      <c r="CA108" s="1" t="str">
        <f t="shared" si="631"/>
        <v/>
      </c>
      <c r="CB108" s="3" t="str">
        <f>CB57</f>
        <v>75QNED70A</v>
      </c>
      <c r="CC108" s="7">
        <f t="shared" si="632"/>
        <v>0</v>
      </c>
      <c r="CD108" s="56">
        <f t="shared" si="633"/>
        <v>0</v>
      </c>
      <c r="CE108" s="57">
        <f t="shared" si="634"/>
        <v>0</v>
      </c>
      <c r="CF108" s="1" t="str">
        <f t="shared" si="635"/>
        <v/>
      </c>
      <c r="CG108" s="7">
        <f t="shared" si="636"/>
        <v>0</v>
      </c>
      <c r="CH108" s="56">
        <f t="shared" si="637"/>
        <v>0</v>
      </c>
      <c r="CI108" s="57">
        <f t="shared" si="638"/>
        <v>0</v>
      </c>
      <c r="CJ108" s="1" t="str">
        <f t="shared" si="639"/>
        <v/>
      </c>
      <c r="CK108" s="7">
        <f t="shared" si="640"/>
        <v>0</v>
      </c>
      <c r="CL108" s="56">
        <f t="shared" si="641"/>
        <v>0</v>
      </c>
      <c r="CM108" s="57">
        <f t="shared" si="642"/>
        <v>0</v>
      </c>
      <c r="CN108" s="1" t="str">
        <f t="shared" si="643"/>
        <v/>
      </c>
      <c r="CO108" s="3" t="str">
        <f>CO57</f>
        <v>75QNED70A</v>
      </c>
      <c r="CP108" s="7">
        <f t="shared" si="644"/>
        <v>0</v>
      </c>
      <c r="CQ108" s="56">
        <f t="shared" si="645"/>
        <v>0</v>
      </c>
      <c r="CR108" s="57">
        <f t="shared" si="646"/>
        <v>0</v>
      </c>
      <c r="CS108" s="1" t="str">
        <f t="shared" si="647"/>
        <v/>
      </c>
      <c r="CT108" s="7">
        <f t="shared" si="648"/>
        <v>0</v>
      </c>
      <c r="CU108" s="56">
        <f t="shared" si="649"/>
        <v>0</v>
      </c>
      <c r="CV108" s="57">
        <f t="shared" si="650"/>
        <v>0</v>
      </c>
      <c r="CW108" s="1" t="str">
        <f t="shared" si="651"/>
        <v/>
      </c>
      <c r="CX108" s="7">
        <f t="shared" si="652"/>
        <v>0</v>
      </c>
      <c r="CY108" s="56">
        <f t="shared" si="653"/>
        <v>0</v>
      </c>
      <c r="CZ108" s="57">
        <f t="shared" si="654"/>
        <v>0</v>
      </c>
      <c r="DA108" s="1" t="str">
        <f t="shared" si="655"/>
        <v/>
      </c>
      <c r="DB108" s="3" t="str">
        <f>DB57</f>
        <v>75QNED70A</v>
      </c>
      <c r="DC108" s="7">
        <f t="shared" si="656"/>
        <v>0</v>
      </c>
      <c r="DD108" s="56">
        <f t="shared" si="657"/>
        <v>0</v>
      </c>
      <c r="DE108" s="57">
        <f t="shared" si="658"/>
        <v>0</v>
      </c>
      <c r="DF108" s="1" t="str">
        <f t="shared" si="659"/>
        <v/>
      </c>
      <c r="DG108" s="7">
        <f t="shared" si="660"/>
        <v>0</v>
      </c>
      <c r="DH108" s="56">
        <f t="shared" si="661"/>
        <v>0</v>
      </c>
      <c r="DI108" s="57">
        <f t="shared" si="662"/>
        <v>0</v>
      </c>
      <c r="DJ108" s="1" t="str">
        <f t="shared" si="663"/>
        <v/>
      </c>
      <c r="DK108" s="7">
        <f t="shared" si="664"/>
        <v>0</v>
      </c>
      <c r="DL108" s="56">
        <f t="shared" si="665"/>
        <v>0</v>
      </c>
      <c r="DM108" s="57">
        <f t="shared" si="666"/>
        <v>0</v>
      </c>
      <c r="DN108" s="1" t="str">
        <f t="shared" si="667"/>
        <v/>
      </c>
      <c r="DO108" s="3" t="str">
        <f>DO57</f>
        <v>75QNED70A</v>
      </c>
      <c r="DP108" s="7">
        <f t="shared" si="668"/>
        <v>0</v>
      </c>
      <c r="DQ108" s="56">
        <f t="shared" si="669"/>
        <v>0</v>
      </c>
      <c r="DR108" s="57">
        <f t="shared" si="670"/>
        <v>0</v>
      </c>
      <c r="DS108" s="1" t="str">
        <f t="shared" si="671"/>
        <v/>
      </c>
      <c r="DT108" s="7">
        <f t="shared" si="672"/>
        <v>0</v>
      </c>
      <c r="DU108" s="56">
        <f t="shared" si="673"/>
        <v>0</v>
      </c>
      <c r="DV108" s="57">
        <f t="shared" si="674"/>
        <v>0</v>
      </c>
      <c r="DW108" s="1" t="str">
        <f t="shared" si="675"/>
        <v/>
      </c>
      <c r="DX108" s="7">
        <f t="shared" si="676"/>
        <v>0</v>
      </c>
      <c r="DY108" s="56">
        <f t="shared" si="677"/>
        <v>0</v>
      </c>
      <c r="DZ108" s="57">
        <f t="shared" si="678"/>
        <v>0</v>
      </c>
      <c r="EA108" s="1" t="str">
        <f t="shared" si="679"/>
        <v/>
      </c>
      <c r="EB108" s="3" t="str">
        <f>EB57</f>
        <v>75QNED70A</v>
      </c>
      <c r="EC108" s="7">
        <f t="shared" si="680"/>
        <v>0</v>
      </c>
      <c r="ED108" s="56">
        <f t="shared" si="681"/>
        <v>0</v>
      </c>
      <c r="EE108" s="57">
        <f t="shared" si="682"/>
        <v>0</v>
      </c>
      <c r="EF108" s="1" t="str">
        <f t="shared" si="683"/>
        <v/>
      </c>
      <c r="EG108" s="7">
        <f t="shared" si="684"/>
        <v>0</v>
      </c>
      <c r="EH108" s="56">
        <f t="shared" si="685"/>
        <v>0</v>
      </c>
      <c r="EI108" s="57">
        <f t="shared" si="686"/>
        <v>0</v>
      </c>
      <c r="EJ108" s="1" t="str">
        <f t="shared" si="687"/>
        <v/>
      </c>
      <c r="EK108" s="7">
        <f t="shared" si="688"/>
        <v>0</v>
      </c>
      <c r="EL108" s="56">
        <f t="shared" si="689"/>
        <v>0</v>
      </c>
      <c r="EM108" s="57">
        <f t="shared" si="690"/>
        <v>0</v>
      </c>
      <c r="EN108" s="1" t="str">
        <f t="shared" si="691"/>
        <v/>
      </c>
    </row>
    <row r="109" spans="2:144" hidden="1" x14ac:dyDescent="0.3">
      <c r="B109" s="13" t="str">
        <f>B74</f>
        <v>75UA75</v>
      </c>
      <c r="C109" s="9">
        <f t="shared" si="560"/>
        <v>0</v>
      </c>
      <c r="D109" s="79">
        <f t="shared" si="561"/>
        <v>0</v>
      </c>
      <c r="E109" s="80">
        <f t="shared" si="562"/>
        <v>0</v>
      </c>
      <c r="F109" s="4">
        <f t="shared" si="563"/>
        <v>0</v>
      </c>
      <c r="G109" s="9">
        <f t="shared" si="564"/>
        <v>0</v>
      </c>
      <c r="H109" s="79">
        <f t="shared" si="565"/>
        <v>0</v>
      </c>
      <c r="I109" s="80">
        <f t="shared" si="566"/>
        <v>0</v>
      </c>
      <c r="J109" s="4">
        <f t="shared" si="567"/>
        <v>0</v>
      </c>
      <c r="K109" s="9">
        <f t="shared" si="568"/>
        <v>647</v>
      </c>
      <c r="L109" s="79">
        <f t="shared" si="569"/>
        <v>647</v>
      </c>
      <c r="M109" s="80">
        <f t="shared" si="570"/>
        <v>0</v>
      </c>
      <c r="N109" s="4">
        <f t="shared" si="571"/>
        <v>80.472636815920396</v>
      </c>
      <c r="O109" s="13" t="str">
        <f>O74</f>
        <v>75UA75</v>
      </c>
      <c r="P109" s="9">
        <f t="shared" si="572"/>
        <v>0</v>
      </c>
      <c r="Q109" s="79">
        <f t="shared" si="573"/>
        <v>0</v>
      </c>
      <c r="R109" s="80">
        <f t="shared" si="574"/>
        <v>0</v>
      </c>
      <c r="S109" s="4">
        <f t="shared" si="575"/>
        <v>0</v>
      </c>
      <c r="T109" s="9">
        <f t="shared" si="576"/>
        <v>0</v>
      </c>
      <c r="U109" s="79">
        <f t="shared" si="577"/>
        <v>0</v>
      </c>
      <c r="V109" s="80">
        <f t="shared" si="578"/>
        <v>0</v>
      </c>
      <c r="W109" s="4">
        <f t="shared" si="579"/>
        <v>0</v>
      </c>
      <c r="X109" s="9">
        <f t="shared" si="580"/>
        <v>699</v>
      </c>
      <c r="Y109" s="79">
        <f t="shared" si="581"/>
        <v>699</v>
      </c>
      <c r="Z109" s="80">
        <f t="shared" si="582"/>
        <v>0</v>
      </c>
      <c r="AA109" s="4">
        <f t="shared" si="583"/>
        <v>90.661478599221795</v>
      </c>
      <c r="AB109" s="13" t="str">
        <f>AB74</f>
        <v>75UA75</v>
      </c>
      <c r="AC109" s="9">
        <f t="shared" si="584"/>
        <v>0</v>
      </c>
      <c r="AD109" s="79">
        <f t="shared" si="585"/>
        <v>0</v>
      </c>
      <c r="AE109" s="80">
        <f t="shared" si="586"/>
        <v>0</v>
      </c>
      <c r="AF109" s="4" t="str">
        <f t="shared" si="587"/>
        <v/>
      </c>
      <c r="AG109" s="9">
        <f t="shared" si="588"/>
        <v>0</v>
      </c>
      <c r="AH109" s="79">
        <f t="shared" si="589"/>
        <v>0</v>
      </c>
      <c r="AI109" s="80">
        <f t="shared" si="590"/>
        <v>0</v>
      </c>
      <c r="AJ109" s="4" t="str">
        <f t="shared" si="591"/>
        <v/>
      </c>
      <c r="AK109" s="9">
        <f t="shared" si="592"/>
        <v>0</v>
      </c>
      <c r="AL109" s="79">
        <f t="shared" si="593"/>
        <v>0</v>
      </c>
      <c r="AM109" s="80">
        <f t="shared" si="594"/>
        <v>0</v>
      </c>
      <c r="AN109" s="4" t="str">
        <f t="shared" si="595"/>
        <v/>
      </c>
      <c r="AO109" s="13" t="str">
        <f>AO74</f>
        <v>75UA75</v>
      </c>
      <c r="AP109" s="9">
        <f t="shared" si="596"/>
        <v>0</v>
      </c>
      <c r="AQ109" s="79">
        <f t="shared" si="597"/>
        <v>0</v>
      </c>
      <c r="AR109" s="80">
        <f t="shared" si="598"/>
        <v>0</v>
      </c>
      <c r="AS109" s="4">
        <f t="shared" si="599"/>
        <v>0</v>
      </c>
      <c r="AT109" s="9">
        <f t="shared" si="600"/>
        <v>0</v>
      </c>
      <c r="AU109" s="79">
        <f t="shared" si="601"/>
        <v>0</v>
      </c>
      <c r="AV109" s="80">
        <f t="shared" si="602"/>
        <v>0</v>
      </c>
      <c r="AW109" s="4" t="str">
        <f t="shared" si="603"/>
        <v/>
      </c>
      <c r="AX109" s="9">
        <f t="shared" si="604"/>
        <v>0</v>
      </c>
      <c r="AY109" s="79">
        <f t="shared" si="605"/>
        <v>0</v>
      </c>
      <c r="AZ109" s="80">
        <f t="shared" si="606"/>
        <v>0</v>
      </c>
      <c r="BA109" s="4" t="str">
        <f t="shared" si="607"/>
        <v/>
      </c>
      <c r="BB109" s="13" t="str">
        <f>BB74</f>
        <v>75UA75</v>
      </c>
      <c r="BC109" s="9">
        <f t="shared" si="608"/>
        <v>0</v>
      </c>
      <c r="BD109" s="79">
        <f t="shared" si="609"/>
        <v>0</v>
      </c>
      <c r="BE109" s="80">
        <f t="shared" si="610"/>
        <v>0</v>
      </c>
      <c r="BF109" s="4">
        <f t="shared" si="611"/>
        <v>0</v>
      </c>
      <c r="BG109" s="9">
        <f t="shared" si="612"/>
        <v>0</v>
      </c>
      <c r="BH109" s="79">
        <f t="shared" si="613"/>
        <v>0</v>
      </c>
      <c r="BI109" s="80">
        <f t="shared" si="614"/>
        <v>0</v>
      </c>
      <c r="BJ109" s="4" t="str">
        <f t="shared" si="615"/>
        <v/>
      </c>
      <c r="BK109" s="9">
        <f t="shared" si="616"/>
        <v>0</v>
      </c>
      <c r="BL109" s="79">
        <f t="shared" si="617"/>
        <v>0</v>
      </c>
      <c r="BM109" s="80">
        <f t="shared" si="618"/>
        <v>0</v>
      </c>
      <c r="BN109" s="4" t="str">
        <f t="shared" si="619"/>
        <v/>
      </c>
      <c r="BO109" s="13" t="str">
        <f>BO74</f>
        <v>75UA75</v>
      </c>
      <c r="BP109" s="9">
        <f t="shared" si="620"/>
        <v>0</v>
      </c>
      <c r="BQ109" s="79">
        <f t="shared" si="621"/>
        <v>0</v>
      </c>
      <c r="BR109" s="80">
        <f t="shared" si="622"/>
        <v>0</v>
      </c>
      <c r="BS109" s="4">
        <f t="shared" si="623"/>
        <v>0</v>
      </c>
      <c r="BT109" s="9">
        <f t="shared" si="624"/>
        <v>0</v>
      </c>
      <c r="BU109" s="79">
        <f t="shared" si="625"/>
        <v>0</v>
      </c>
      <c r="BV109" s="80">
        <f t="shared" si="626"/>
        <v>0</v>
      </c>
      <c r="BW109" s="4" t="str">
        <f t="shared" si="627"/>
        <v/>
      </c>
      <c r="BX109" s="9">
        <f t="shared" si="628"/>
        <v>0</v>
      </c>
      <c r="BY109" s="79">
        <f t="shared" si="629"/>
        <v>0</v>
      </c>
      <c r="BZ109" s="80">
        <f t="shared" si="630"/>
        <v>0</v>
      </c>
      <c r="CA109" s="4" t="str">
        <f t="shared" si="631"/>
        <v/>
      </c>
      <c r="CB109" s="13" t="str">
        <f>CB74</f>
        <v>75UA75</v>
      </c>
      <c r="CC109" s="9">
        <f t="shared" si="632"/>
        <v>0</v>
      </c>
      <c r="CD109" s="79">
        <f t="shared" si="633"/>
        <v>0</v>
      </c>
      <c r="CE109" s="80">
        <f t="shared" si="634"/>
        <v>0</v>
      </c>
      <c r="CF109" s="4">
        <f t="shared" si="635"/>
        <v>0</v>
      </c>
      <c r="CG109" s="9">
        <f t="shared" si="636"/>
        <v>0</v>
      </c>
      <c r="CH109" s="79">
        <f t="shared" si="637"/>
        <v>0</v>
      </c>
      <c r="CI109" s="80">
        <f t="shared" si="638"/>
        <v>0</v>
      </c>
      <c r="CJ109" s="4" t="str">
        <f t="shared" si="639"/>
        <v/>
      </c>
      <c r="CK109" s="9">
        <f t="shared" si="640"/>
        <v>0</v>
      </c>
      <c r="CL109" s="79">
        <f t="shared" si="641"/>
        <v>0</v>
      </c>
      <c r="CM109" s="80">
        <f t="shared" si="642"/>
        <v>0</v>
      </c>
      <c r="CN109" s="4" t="str">
        <f t="shared" si="643"/>
        <v/>
      </c>
      <c r="CO109" s="13" t="str">
        <f>CO74</f>
        <v>75UA75</v>
      </c>
      <c r="CP109" s="9">
        <f t="shared" si="644"/>
        <v>0</v>
      </c>
      <c r="CQ109" s="79">
        <f t="shared" si="645"/>
        <v>0</v>
      </c>
      <c r="CR109" s="80">
        <f t="shared" si="646"/>
        <v>0</v>
      </c>
      <c r="CS109" s="4">
        <f t="shared" si="647"/>
        <v>0</v>
      </c>
      <c r="CT109" s="9">
        <f t="shared" si="648"/>
        <v>0</v>
      </c>
      <c r="CU109" s="79">
        <f t="shared" si="649"/>
        <v>0</v>
      </c>
      <c r="CV109" s="80">
        <f t="shared" si="650"/>
        <v>0</v>
      </c>
      <c r="CW109" s="4" t="str">
        <f t="shared" si="651"/>
        <v/>
      </c>
      <c r="CX109" s="9">
        <f t="shared" si="652"/>
        <v>0</v>
      </c>
      <c r="CY109" s="79">
        <f t="shared" si="653"/>
        <v>0</v>
      </c>
      <c r="CZ109" s="80">
        <f t="shared" si="654"/>
        <v>0</v>
      </c>
      <c r="DA109" s="4" t="str">
        <f t="shared" si="655"/>
        <v/>
      </c>
      <c r="DB109" s="13" t="str">
        <f>DB74</f>
        <v>75UA75</v>
      </c>
      <c r="DC109" s="9">
        <f t="shared" si="656"/>
        <v>0</v>
      </c>
      <c r="DD109" s="79">
        <f t="shared" si="657"/>
        <v>0</v>
      </c>
      <c r="DE109" s="80">
        <f t="shared" si="658"/>
        <v>0</v>
      </c>
      <c r="DF109" s="4">
        <f t="shared" si="659"/>
        <v>0</v>
      </c>
      <c r="DG109" s="9">
        <f t="shared" si="660"/>
        <v>0</v>
      </c>
      <c r="DH109" s="79">
        <f t="shared" si="661"/>
        <v>0</v>
      </c>
      <c r="DI109" s="80">
        <f t="shared" si="662"/>
        <v>0</v>
      </c>
      <c r="DJ109" s="4" t="str">
        <f t="shared" si="663"/>
        <v/>
      </c>
      <c r="DK109" s="9">
        <f t="shared" si="664"/>
        <v>0</v>
      </c>
      <c r="DL109" s="79">
        <f t="shared" si="665"/>
        <v>0</v>
      </c>
      <c r="DM109" s="80">
        <f t="shared" si="666"/>
        <v>0</v>
      </c>
      <c r="DN109" s="4" t="str">
        <f t="shared" si="667"/>
        <v/>
      </c>
      <c r="DO109" s="13" t="str">
        <f>DO74</f>
        <v>75UA75</v>
      </c>
      <c r="DP109" s="9">
        <f t="shared" si="668"/>
        <v>0</v>
      </c>
      <c r="DQ109" s="79">
        <f t="shared" si="669"/>
        <v>0</v>
      </c>
      <c r="DR109" s="80">
        <f t="shared" si="670"/>
        <v>0</v>
      </c>
      <c r="DS109" s="4">
        <f t="shared" si="671"/>
        <v>0</v>
      </c>
      <c r="DT109" s="9">
        <f t="shared" si="672"/>
        <v>0</v>
      </c>
      <c r="DU109" s="79">
        <f t="shared" si="673"/>
        <v>0</v>
      </c>
      <c r="DV109" s="80">
        <f t="shared" si="674"/>
        <v>0</v>
      </c>
      <c r="DW109" s="4" t="str">
        <f t="shared" si="675"/>
        <v/>
      </c>
      <c r="DX109" s="9">
        <f t="shared" si="676"/>
        <v>0</v>
      </c>
      <c r="DY109" s="79">
        <f t="shared" si="677"/>
        <v>0</v>
      </c>
      <c r="DZ109" s="80">
        <f t="shared" si="678"/>
        <v>0</v>
      </c>
      <c r="EA109" s="4" t="str">
        <f t="shared" si="679"/>
        <v/>
      </c>
      <c r="EB109" s="13" t="str">
        <f>EB74</f>
        <v>75UA75</v>
      </c>
      <c r="EC109" s="9">
        <f t="shared" si="680"/>
        <v>0</v>
      </c>
      <c r="ED109" s="79">
        <f t="shared" si="681"/>
        <v>0</v>
      </c>
      <c r="EE109" s="80">
        <f t="shared" si="682"/>
        <v>0</v>
      </c>
      <c r="EF109" s="4">
        <f t="shared" si="683"/>
        <v>0</v>
      </c>
      <c r="EG109" s="9">
        <f t="shared" si="684"/>
        <v>0</v>
      </c>
      <c r="EH109" s="79">
        <f t="shared" si="685"/>
        <v>0</v>
      </c>
      <c r="EI109" s="80">
        <f t="shared" si="686"/>
        <v>0</v>
      </c>
      <c r="EJ109" s="4" t="str">
        <f t="shared" si="687"/>
        <v/>
      </c>
      <c r="EK109" s="9">
        <f t="shared" si="688"/>
        <v>0</v>
      </c>
      <c r="EL109" s="79">
        <f t="shared" si="689"/>
        <v>0</v>
      </c>
      <c r="EM109" s="80">
        <f t="shared" si="690"/>
        <v>0</v>
      </c>
      <c r="EN109" s="4" t="str">
        <f t="shared" si="691"/>
        <v/>
      </c>
    </row>
    <row r="110" spans="2:144" hidden="1" x14ac:dyDescent="0.3">
      <c r="B110" s="3" t="str">
        <f>B5</f>
        <v>83G57</v>
      </c>
      <c r="C110" s="7">
        <f t="shared" si="560"/>
        <v>6499</v>
      </c>
      <c r="D110" s="56">
        <f t="shared" si="561"/>
        <v>6499</v>
      </c>
      <c r="E110" s="57">
        <f t="shared" si="562"/>
        <v>0</v>
      </c>
      <c r="F110" s="1">
        <f t="shared" si="563"/>
        <v>110.92336576207545</v>
      </c>
      <c r="G110" s="7">
        <f t="shared" si="564"/>
        <v>5999</v>
      </c>
      <c r="H110" s="56">
        <f t="shared" si="565"/>
        <v>5999</v>
      </c>
      <c r="I110" s="57">
        <f t="shared" si="566"/>
        <v>0</v>
      </c>
      <c r="J110" s="1">
        <f t="shared" si="567"/>
        <v>101.69520257670793</v>
      </c>
      <c r="K110" s="7">
        <f t="shared" si="568"/>
        <v>5958</v>
      </c>
      <c r="L110" s="56">
        <f t="shared" si="569"/>
        <v>5958</v>
      </c>
      <c r="M110" s="57">
        <f t="shared" si="570"/>
        <v>0</v>
      </c>
      <c r="N110" s="1">
        <f t="shared" si="571"/>
        <v>114.86408328513591</v>
      </c>
      <c r="O110" s="3" t="str">
        <f>O5</f>
        <v>83G57</v>
      </c>
      <c r="P110" s="7">
        <f t="shared" si="572"/>
        <v>6499</v>
      </c>
      <c r="Q110" s="56">
        <f t="shared" si="573"/>
        <v>6499</v>
      </c>
      <c r="R110" s="57">
        <f t="shared" si="574"/>
        <v>0</v>
      </c>
      <c r="S110" s="1">
        <f t="shared" si="575"/>
        <v>114.84361194557341</v>
      </c>
      <c r="T110" s="7">
        <f t="shared" si="576"/>
        <v>5999</v>
      </c>
      <c r="U110" s="56">
        <f t="shared" si="577"/>
        <v>5999</v>
      </c>
      <c r="V110" s="57">
        <f t="shared" si="578"/>
        <v>0</v>
      </c>
      <c r="W110" s="1">
        <f t="shared" si="579"/>
        <v>101.69520257670793</v>
      </c>
      <c r="X110" s="7">
        <f t="shared" si="580"/>
        <v>6000</v>
      </c>
      <c r="Y110" s="56">
        <f t="shared" si="581"/>
        <v>6000</v>
      </c>
      <c r="Z110" s="57">
        <f t="shared" si="582"/>
        <v>0</v>
      </c>
      <c r="AA110" s="1">
        <f t="shared" si="583"/>
        <v>108.5972850678733</v>
      </c>
      <c r="AB110" s="3" t="str">
        <f>AB5</f>
        <v>83G57</v>
      </c>
      <c r="AC110" s="7">
        <f t="shared" si="584"/>
        <v>6499</v>
      </c>
      <c r="AD110" s="56">
        <f t="shared" si="585"/>
        <v>6499</v>
      </c>
      <c r="AE110" s="57">
        <f t="shared" si="586"/>
        <v>0</v>
      </c>
      <c r="AF110" s="1">
        <f t="shared" si="587"/>
        <v>115.04691095769162</v>
      </c>
      <c r="AG110" s="7">
        <f t="shared" si="588"/>
        <v>5999</v>
      </c>
      <c r="AH110" s="56">
        <f t="shared" si="589"/>
        <v>5999</v>
      </c>
      <c r="AI110" s="57">
        <f t="shared" si="590"/>
        <v>0</v>
      </c>
      <c r="AJ110" s="1">
        <f t="shared" si="591"/>
        <v>101.69520257670793</v>
      </c>
      <c r="AK110" s="7">
        <f t="shared" si="592"/>
        <v>5658</v>
      </c>
      <c r="AL110" s="56">
        <f t="shared" si="593"/>
        <v>6658</v>
      </c>
      <c r="AM110" s="57">
        <f t="shared" si="594"/>
        <v>1000</v>
      </c>
      <c r="AN110" s="1">
        <f t="shared" si="595"/>
        <v>102.40723981900453</v>
      </c>
      <c r="AO110" s="3" t="str">
        <f>AO5</f>
        <v>83G57</v>
      </c>
      <c r="AP110" s="7">
        <f t="shared" si="596"/>
        <v>6499</v>
      </c>
      <c r="AQ110" s="56">
        <f t="shared" si="597"/>
        <v>6499</v>
      </c>
      <c r="AR110" s="57">
        <f t="shared" si="598"/>
        <v>0</v>
      </c>
      <c r="AS110" s="1">
        <f t="shared" si="599"/>
        <v>115.04691095769162</v>
      </c>
      <c r="AT110" s="7">
        <f t="shared" si="600"/>
        <v>5999</v>
      </c>
      <c r="AU110" s="56">
        <f t="shared" si="601"/>
        <v>5999</v>
      </c>
      <c r="AV110" s="57">
        <f t="shared" si="602"/>
        <v>0</v>
      </c>
      <c r="AW110" s="1" t="str">
        <f t="shared" si="603"/>
        <v/>
      </c>
      <c r="AX110" s="7">
        <f t="shared" si="604"/>
        <v>5658</v>
      </c>
      <c r="AY110" s="56">
        <f t="shared" si="605"/>
        <v>6658</v>
      </c>
      <c r="AZ110" s="57">
        <f t="shared" si="606"/>
        <v>1000</v>
      </c>
      <c r="BA110" s="1">
        <f t="shared" si="607"/>
        <v>104.79718466382664</v>
      </c>
      <c r="BB110" s="3" t="str">
        <f>BB5</f>
        <v>83G57</v>
      </c>
      <c r="BC110" s="7">
        <f t="shared" si="608"/>
        <v>6499</v>
      </c>
      <c r="BD110" s="56">
        <f t="shared" si="609"/>
        <v>6499</v>
      </c>
      <c r="BE110" s="57">
        <f t="shared" si="610"/>
        <v>0</v>
      </c>
      <c r="BF110" s="1">
        <f t="shared" si="611"/>
        <v>115.04691095769162</v>
      </c>
      <c r="BG110" s="7">
        <f t="shared" si="612"/>
        <v>5999</v>
      </c>
      <c r="BH110" s="56">
        <f t="shared" si="613"/>
        <v>5999</v>
      </c>
      <c r="BI110" s="57">
        <f t="shared" si="614"/>
        <v>0</v>
      </c>
      <c r="BJ110" s="1" t="str">
        <f t="shared" si="615"/>
        <v/>
      </c>
      <c r="BK110" s="7">
        <f t="shared" si="616"/>
        <v>5658</v>
      </c>
      <c r="BL110" s="56">
        <f t="shared" si="617"/>
        <v>6658</v>
      </c>
      <c r="BM110" s="57">
        <f t="shared" si="618"/>
        <v>1000</v>
      </c>
      <c r="BN110" s="1">
        <f t="shared" si="619"/>
        <v>104.79718466382664</v>
      </c>
      <c r="BO110" s="3" t="str">
        <f>BO5</f>
        <v>83G57</v>
      </c>
      <c r="BP110" s="7">
        <f t="shared" si="620"/>
        <v>6499</v>
      </c>
      <c r="BQ110" s="56">
        <f t="shared" si="621"/>
        <v>6499</v>
      </c>
      <c r="BR110" s="57">
        <f t="shared" si="622"/>
        <v>0</v>
      </c>
      <c r="BS110" s="1">
        <f t="shared" si="623"/>
        <v>115.04691095769162</v>
      </c>
      <c r="BT110" s="7">
        <f t="shared" si="624"/>
        <v>5999</v>
      </c>
      <c r="BU110" s="56">
        <f t="shared" si="625"/>
        <v>5999</v>
      </c>
      <c r="BV110" s="57">
        <f t="shared" si="626"/>
        <v>0</v>
      </c>
      <c r="BW110" s="1" t="str">
        <f t="shared" si="627"/>
        <v/>
      </c>
      <c r="BX110" s="7">
        <f t="shared" si="628"/>
        <v>5658</v>
      </c>
      <c r="BY110" s="56">
        <f t="shared" si="629"/>
        <v>6658</v>
      </c>
      <c r="BZ110" s="57">
        <f t="shared" si="630"/>
        <v>1000</v>
      </c>
      <c r="CA110" s="1">
        <f t="shared" si="631"/>
        <v>104.79718466382664</v>
      </c>
      <c r="CB110" s="3" t="str">
        <f>CB5</f>
        <v>83G57</v>
      </c>
      <c r="CC110" s="7">
        <f t="shared" si="632"/>
        <v>6499</v>
      </c>
      <c r="CD110" s="56">
        <f t="shared" si="633"/>
        <v>6499</v>
      </c>
      <c r="CE110" s="57">
        <f t="shared" si="634"/>
        <v>0</v>
      </c>
      <c r="CF110" s="1">
        <f t="shared" si="635"/>
        <v>115.04691095769162</v>
      </c>
      <c r="CG110" s="7">
        <f t="shared" si="636"/>
        <v>5999</v>
      </c>
      <c r="CH110" s="56">
        <f t="shared" si="637"/>
        <v>5999</v>
      </c>
      <c r="CI110" s="57">
        <f t="shared" si="638"/>
        <v>0</v>
      </c>
      <c r="CJ110" s="1" t="str">
        <f t="shared" si="639"/>
        <v/>
      </c>
      <c r="CK110" s="7">
        <f t="shared" si="640"/>
        <v>5658</v>
      </c>
      <c r="CL110" s="56">
        <f t="shared" si="641"/>
        <v>6658</v>
      </c>
      <c r="CM110" s="57">
        <f t="shared" si="642"/>
        <v>1000</v>
      </c>
      <c r="CN110" s="1">
        <f t="shared" si="643"/>
        <v>104.79718466382664</v>
      </c>
      <c r="CO110" s="3" t="str">
        <f>CO5</f>
        <v>83G57</v>
      </c>
      <c r="CP110" s="7">
        <f t="shared" si="644"/>
        <v>6499</v>
      </c>
      <c r="CQ110" s="56">
        <f t="shared" si="645"/>
        <v>6499</v>
      </c>
      <c r="CR110" s="57">
        <f t="shared" si="646"/>
        <v>0</v>
      </c>
      <c r="CS110" s="1">
        <f t="shared" si="647"/>
        <v>115.04691095769162</v>
      </c>
      <c r="CT110" s="7">
        <f t="shared" si="648"/>
        <v>5999</v>
      </c>
      <c r="CU110" s="56">
        <f t="shared" si="649"/>
        <v>5999</v>
      </c>
      <c r="CV110" s="57">
        <f t="shared" si="650"/>
        <v>0</v>
      </c>
      <c r="CW110" s="1" t="str">
        <f t="shared" si="651"/>
        <v/>
      </c>
      <c r="CX110" s="7">
        <f t="shared" si="652"/>
        <v>5658</v>
      </c>
      <c r="CY110" s="56">
        <f t="shared" si="653"/>
        <v>6658</v>
      </c>
      <c r="CZ110" s="57">
        <f t="shared" si="654"/>
        <v>1000</v>
      </c>
      <c r="DA110" s="1">
        <f t="shared" si="655"/>
        <v>104.79718466382664</v>
      </c>
      <c r="DB110" s="3" t="str">
        <f>DB5</f>
        <v>83G57</v>
      </c>
      <c r="DC110" s="7">
        <f t="shared" si="656"/>
        <v>6499</v>
      </c>
      <c r="DD110" s="56">
        <f t="shared" si="657"/>
        <v>6499</v>
      </c>
      <c r="DE110" s="57">
        <f t="shared" si="658"/>
        <v>0</v>
      </c>
      <c r="DF110" s="1">
        <f t="shared" si="659"/>
        <v>115.04691095769162</v>
      </c>
      <c r="DG110" s="7">
        <f t="shared" si="660"/>
        <v>5999</v>
      </c>
      <c r="DH110" s="56">
        <f t="shared" si="661"/>
        <v>5999</v>
      </c>
      <c r="DI110" s="57">
        <f t="shared" si="662"/>
        <v>0</v>
      </c>
      <c r="DJ110" s="1" t="str">
        <f t="shared" si="663"/>
        <v/>
      </c>
      <c r="DK110" s="7">
        <f t="shared" si="664"/>
        <v>5658</v>
      </c>
      <c r="DL110" s="56">
        <f t="shared" si="665"/>
        <v>6658</v>
      </c>
      <c r="DM110" s="57">
        <f t="shared" si="666"/>
        <v>1000</v>
      </c>
      <c r="DN110" s="1">
        <f t="shared" si="667"/>
        <v>104.79718466382664</v>
      </c>
      <c r="DO110" s="3" t="str">
        <f>DO5</f>
        <v>83G57</v>
      </c>
      <c r="DP110" s="7">
        <f t="shared" si="668"/>
        <v>6499</v>
      </c>
      <c r="DQ110" s="56">
        <f t="shared" si="669"/>
        <v>6499</v>
      </c>
      <c r="DR110" s="57">
        <f t="shared" si="670"/>
        <v>0</v>
      </c>
      <c r="DS110" s="1">
        <f t="shared" si="671"/>
        <v>115.04691095769162</v>
      </c>
      <c r="DT110" s="7">
        <f t="shared" si="672"/>
        <v>5999</v>
      </c>
      <c r="DU110" s="56">
        <f t="shared" si="673"/>
        <v>5999</v>
      </c>
      <c r="DV110" s="57">
        <f t="shared" si="674"/>
        <v>0</v>
      </c>
      <c r="DW110" s="1" t="str">
        <f t="shared" si="675"/>
        <v/>
      </c>
      <c r="DX110" s="7">
        <f t="shared" si="676"/>
        <v>5658</v>
      </c>
      <c r="DY110" s="56">
        <f t="shared" si="677"/>
        <v>6658</v>
      </c>
      <c r="DZ110" s="57">
        <f t="shared" si="678"/>
        <v>1000</v>
      </c>
      <c r="EA110" s="1">
        <f t="shared" si="679"/>
        <v>104.79718466382664</v>
      </c>
      <c r="EB110" s="3" t="str">
        <f>EB5</f>
        <v>83G57</v>
      </c>
      <c r="EC110" s="7">
        <f t="shared" si="680"/>
        <v>6499</v>
      </c>
      <c r="ED110" s="56">
        <f t="shared" si="681"/>
        <v>6499</v>
      </c>
      <c r="EE110" s="57">
        <f t="shared" si="682"/>
        <v>0</v>
      </c>
      <c r="EF110" s="1">
        <f t="shared" si="683"/>
        <v>115.04691095769162</v>
      </c>
      <c r="EG110" s="7">
        <f t="shared" si="684"/>
        <v>5999</v>
      </c>
      <c r="EH110" s="56">
        <f t="shared" si="685"/>
        <v>5999</v>
      </c>
      <c r="EI110" s="57">
        <f t="shared" si="686"/>
        <v>0</v>
      </c>
      <c r="EJ110" s="1" t="str">
        <f t="shared" si="687"/>
        <v/>
      </c>
      <c r="EK110" s="7">
        <f t="shared" si="688"/>
        <v>5658</v>
      </c>
      <c r="EL110" s="56">
        <f t="shared" si="689"/>
        <v>6658</v>
      </c>
      <c r="EM110" s="57">
        <f t="shared" si="690"/>
        <v>1000</v>
      </c>
      <c r="EN110" s="1">
        <f t="shared" si="691"/>
        <v>104.79718466382664</v>
      </c>
    </row>
    <row r="111" spans="2:144" hidden="1" x14ac:dyDescent="0.3">
      <c r="B111" s="3" t="str">
        <f>B11</f>
        <v>83C57</v>
      </c>
      <c r="C111" s="7">
        <f t="shared" si="560"/>
        <v>2499</v>
      </c>
      <c r="D111" s="56">
        <f t="shared" si="561"/>
        <v>2499</v>
      </c>
      <c r="E111" s="57">
        <f t="shared" si="562"/>
        <v>0</v>
      </c>
      <c r="F111" s="1">
        <f t="shared" si="563"/>
        <v>98.813760379596687</v>
      </c>
      <c r="G111" s="7">
        <f t="shared" si="564"/>
        <v>2499</v>
      </c>
      <c r="H111" s="56">
        <f t="shared" si="565"/>
        <v>2499</v>
      </c>
      <c r="I111" s="57">
        <f t="shared" si="566"/>
        <v>0</v>
      </c>
      <c r="J111" s="1">
        <f t="shared" si="567"/>
        <v>89.281886387995712</v>
      </c>
      <c r="K111" s="7">
        <f t="shared" si="568"/>
        <v>2499</v>
      </c>
      <c r="L111" s="56">
        <f t="shared" si="569"/>
        <v>2499</v>
      </c>
      <c r="M111" s="57">
        <f t="shared" si="570"/>
        <v>0</v>
      </c>
      <c r="N111" s="1">
        <f t="shared" si="571"/>
        <v>104.16840350145895</v>
      </c>
      <c r="O111" s="3" t="str">
        <f>O11</f>
        <v>83C57</v>
      </c>
      <c r="P111" s="7">
        <f t="shared" si="572"/>
        <v>2499</v>
      </c>
      <c r="Q111" s="56">
        <f t="shared" si="573"/>
        <v>2499</v>
      </c>
      <c r="R111" s="57">
        <f t="shared" si="574"/>
        <v>0</v>
      </c>
      <c r="S111" s="1">
        <f t="shared" si="575"/>
        <v>98.813760379596687</v>
      </c>
      <c r="T111" s="7">
        <f t="shared" si="576"/>
        <v>2499</v>
      </c>
      <c r="U111" s="56">
        <f t="shared" si="577"/>
        <v>2499</v>
      </c>
      <c r="V111" s="57">
        <f t="shared" si="578"/>
        <v>0</v>
      </c>
      <c r="W111" s="1" t="str">
        <f t="shared" si="579"/>
        <v/>
      </c>
      <c r="X111" s="7">
        <f t="shared" si="580"/>
        <v>2499</v>
      </c>
      <c r="Y111" s="56">
        <f t="shared" si="581"/>
        <v>2499</v>
      </c>
      <c r="Z111" s="57">
        <f t="shared" si="582"/>
        <v>0</v>
      </c>
      <c r="AA111" s="1">
        <f t="shared" si="583"/>
        <v>104.16840350145895</v>
      </c>
      <c r="AB111" s="3" t="str">
        <f>AB11</f>
        <v>83C57</v>
      </c>
      <c r="AC111" s="7">
        <f t="shared" si="584"/>
        <v>2399</v>
      </c>
      <c r="AD111" s="56">
        <f t="shared" si="585"/>
        <v>2399</v>
      </c>
      <c r="AE111" s="57">
        <f t="shared" si="586"/>
        <v>0</v>
      </c>
      <c r="AF111" s="1">
        <f t="shared" si="587"/>
        <v>95.9983993597439</v>
      </c>
      <c r="AG111" s="7">
        <f t="shared" si="588"/>
        <v>2399</v>
      </c>
      <c r="AH111" s="56">
        <f t="shared" si="589"/>
        <v>2399</v>
      </c>
      <c r="AI111" s="57">
        <f t="shared" si="590"/>
        <v>0</v>
      </c>
      <c r="AJ111" s="1" t="str">
        <f t="shared" si="591"/>
        <v/>
      </c>
      <c r="AK111" s="7">
        <f t="shared" si="592"/>
        <v>2299</v>
      </c>
      <c r="AL111" s="56">
        <f t="shared" si="593"/>
        <v>2299</v>
      </c>
      <c r="AM111" s="57">
        <f t="shared" si="594"/>
        <v>0</v>
      </c>
      <c r="AN111" s="1">
        <f t="shared" si="595"/>
        <v>95.83159649854106</v>
      </c>
      <c r="AO111" s="3" t="str">
        <f>AO11</f>
        <v>83C57</v>
      </c>
      <c r="AP111" s="7">
        <f t="shared" si="596"/>
        <v>2399</v>
      </c>
      <c r="AQ111" s="56">
        <f t="shared" si="597"/>
        <v>2399</v>
      </c>
      <c r="AR111" s="57">
        <f t="shared" si="598"/>
        <v>0</v>
      </c>
      <c r="AS111" s="1">
        <f t="shared" si="599"/>
        <v>95.9983993597439</v>
      </c>
      <c r="AT111" s="7">
        <f t="shared" si="600"/>
        <v>2399</v>
      </c>
      <c r="AU111" s="56">
        <f t="shared" si="601"/>
        <v>2399</v>
      </c>
      <c r="AV111" s="57">
        <f t="shared" si="602"/>
        <v>0</v>
      </c>
      <c r="AW111" s="1">
        <f t="shared" si="603"/>
        <v>100</v>
      </c>
      <c r="AX111" s="7">
        <f t="shared" si="604"/>
        <v>2299</v>
      </c>
      <c r="AY111" s="56">
        <f t="shared" si="605"/>
        <v>2299</v>
      </c>
      <c r="AZ111" s="57">
        <f t="shared" si="606"/>
        <v>0</v>
      </c>
      <c r="BA111" s="1">
        <f t="shared" si="607"/>
        <v>95.83159649854106</v>
      </c>
      <c r="BB111" s="3" t="str">
        <f>BB11</f>
        <v>83C57</v>
      </c>
      <c r="BC111" s="7">
        <f t="shared" si="608"/>
        <v>2399</v>
      </c>
      <c r="BD111" s="56">
        <f t="shared" si="609"/>
        <v>2399</v>
      </c>
      <c r="BE111" s="57">
        <f t="shared" si="610"/>
        <v>0</v>
      </c>
      <c r="BF111" s="1">
        <f t="shared" si="611"/>
        <v>95.9983993597439</v>
      </c>
      <c r="BG111" s="7">
        <f t="shared" si="612"/>
        <v>2399</v>
      </c>
      <c r="BH111" s="56">
        <f t="shared" si="613"/>
        <v>2399</v>
      </c>
      <c r="BI111" s="57">
        <f t="shared" si="614"/>
        <v>0</v>
      </c>
      <c r="BJ111" s="1">
        <f t="shared" si="615"/>
        <v>100</v>
      </c>
      <c r="BK111" s="7">
        <f t="shared" si="616"/>
        <v>2299</v>
      </c>
      <c r="BL111" s="56">
        <f t="shared" si="617"/>
        <v>2299</v>
      </c>
      <c r="BM111" s="57">
        <f t="shared" si="618"/>
        <v>0</v>
      </c>
      <c r="BN111" s="1">
        <f t="shared" si="619"/>
        <v>95.83159649854106</v>
      </c>
      <c r="BO111" s="3" t="str">
        <f>BO11</f>
        <v>83C57</v>
      </c>
      <c r="BP111" s="7">
        <f t="shared" si="620"/>
        <v>2399</v>
      </c>
      <c r="BQ111" s="56">
        <f t="shared" si="621"/>
        <v>2399</v>
      </c>
      <c r="BR111" s="57">
        <f t="shared" si="622"/>
        <v>0</v>
      </c>
      <c r="BS111" s="1">
        <f t="shared" si="623"/>
        <v>95.9983993597439</v>
      </c>
      <c r="BT111" s="7">
        <f t="shared" si="624"/>
        <v>2399</v>
      </c>
      <c r="BU111" s="56">
        <f t="shared" si="625"/>
        <v>2399</v>
      </c>
      <c r="BV111" s="57">
        <f t="shared" si="626"/>
        <v>0</v>
      </c>
      <c r="BW111" s="1">
        <f t="shared" si="627"/>
        <v>100</v>
      </c>
      <c r="BX111" s="7">
        <f t="shared" si="628"/>
        <v>2299</v>
      </c>
      <c r="BY111" s="56">
        <f t="shared" si="629"/>
        <v>2299</v>
      </c>
      <c r="BZ111" s="57">
        <f t="shared" si="630"/>
        <v>0</v>
      </c>
      <c r="CA111" s="1">
        <f t="shared" si="631"/>
        <v>95.83159649854106</v>
      </c>
      <c r="CB111" s="3" t="str">
        <f>CB11</f>
        <v>83C57</v>
      </c>
      <c r="CC111" s="7">
        <f t="shared" si="632"/>
        <v>2399</v>
      </c>
      <c r="CD111" s="56">
        <f t="shared" si="633"/>
        <v>2399</v>
      </c>
      <c r="CE111" s="57">
        <f t="shared" si="634"/>
        <v>0</v>
      </c>
      <c r="CF111" s="1">
        <f t="shared" si="635"/>
        <v>95.9983993597439</v>
      </c>
      <c r="CG111" s="7">
        <f t="shared" si="636"/>
        <v>2399</v>
      </c>
      <c r="CH111" s="56">
        <f t="shared" si="637"/>
        <v>2399</v>
      </c>
      <c r="CI111" s="57">
        <f t="shared" si="638"/>
        <v>0</v>
      </c>
      <c r="CJ111" s="1">
        <f t="shared" si="639"/>
        <v>100</v>
      </c>
      <c r="CK111" s="7">
        <f t="shared" si="640"/>
        <v>2299</v>
      </c>
      <c r="CL111" s="56">
        <f t="shared" si="641"/>
        <v>2299</v>
      </c>
      <c r="CM111" s="57">
        <f t="shared" si="642"/>
        <v>0</v>
      </c>
      <c r="CN111" s="1">
        <f t="shared" si="643"/>
        <v>95.83159649854106</v>
      </c>
      <c r="CO111" s="3" t="str">
        <f>CO11</f>
        <v>83C57</v>
      </c>
      <c r="CP111" s="7">
        <f t="shared" si="644"/>
        <v>2399</v>
      </c>
      <c r="CQ111" s="56">
        <f t="shared" si="645"/>
        <v>2399</v>
      </c>
      <c r="CR111" s="57">
        <f t="shared" si="646"/>
        <v>0</v>
      </c>
      <c r="CS111" s="1">
        <f t="shared" si="647"/>
        <v>95.9983993597439</v>
      </c>
      <c r="CT111" s="7">
        <f t="shared" si="648"/>
        <v>2399</v>
      </c>
      <c r="CU111" s="56">
        <f t="shared" si="649"/>
        <v>2399</v>
      </c>
      <c r="CV111" s="57">
        <f t="shared" si="650"/>
        <v>0</v>
      </c>
      <c r="CW111" s="1">
        <f t="shared" si="651"/>
        <v>100</v>
      </c>
      <c r="CX111" s="7">
        <f t="shared" si="652"/>
        <v>2299</v>
      </c>
      <c r="CY111" s="56">
        <f t="shared" si="653"/>
        <v>2299</v>
      </c>
      <c r="CZ111" s="57">
        <f t="shared" si="654"/>
        <v>0</v>
      </c>
      <c r="DA111" s="1">
        <f t="shared" si="655"/>
        <v>95.83159649854106</v>
      </c>
      <c r="DB111" s="3" t="str">
        <f>DB11</f>
        <v>83C57</v>
      </c>
      <c r="DC111" s="7">
        <f t="shared" si="656"/>
        <v>2399</v>
      </c>
      <c r="DD111" s="56">
        <f t="shared" si="657"/>
        <v>2399</v>
      </c>
      <c r="DE111" s="57">
        <f t="shared" si="658"/>
        <v>0</v>
      </c>
      <c r="DF111" s="1">
        <f t="shared" si="659"/>
        <v>95.9983993597439</v>
      </c>
      <c r="DG111" s="7">
        <f t="shared" si="660"/>
        <v>2399</v>
      </c>
      <c r="DH111" s="56">
        <f t="shared" si="661"/>
        <v>2399</v>
      </c>
      <c r="DI111" s="57">
        <f t="shared" si="662"/>
        <v>0</v>
      </c>
      <c r="DJ111" s="1">
        <f t="shared" si="663"/>
        <v>100</v>
      </c>
      <c r="DK111" s="7">
        <f t="shared" si="664"/>
        <v>2299</v>
      </c>
      <c r="DL111" s="56">
        <f t="shared" si="665"/>
        <v>2299</v>
      </c>
      <c r="DM111" s="57">
        <f t="shared" si="666"/>
        <v>0</v>
      </c>
      <c r="DN111" s="1">
        <f t="shared" si="667"/>
        <v>95.83159649854106</v>
      </c>
      <c r="DO111" s="3" t="str">
        <f>DO11</f>
        <v>83C57</v>
      </c>
      <c r="DP111" s="7">
        <f t="shared" si="668"/>
        <v>2399</v>
      </c>
      <c r="DQ111" s="56">
        <f t="shared" si="669"/>
        <v>2399</v>
      </c>
      <c r="DR111" s="57">
        <f t="shared" si="670"/>
        <v>0</v>
      </c>
      <c r="DS111" s="1">
        <f t="shared" si="671"/>
        <v>95.9983993597439</v>
      </c>
      <c r="DT111" s="7">
        <f t="shared" si="672"/>
        <v>2399</v>
      </c>
      <c r="DU111" s="56">
        <f t="shared" si="673"/>
        <v>2399</v>
      </c>
      <c r="DV111" s="57">
        <f t="shared" si="674"/>
        <v>0</v>
      </c>
      <c r="DW111" s="1">
        <f t="shared" si="675"/>
        <v>100</v>
      </c>
      <c r="DX111" s="7">
        <f t="shared" si="676"/>
        <v>2299</v>
      </c>
      <c r="DY111" s="56">
        <f t="shared" si="677"/>
        <v>2299</v>
      </c>
      <c r="DZ111" s="57">
        <f t="shared" si="678"/>
        <v>0</v>
      </c>
      <c r="EA111" s="1">
        <f t="shared" si="679"/>
        <v>95.83159649854106</v>
      </c>
      <c r="EB111" s="3" t="str">
        <f>EB11</f>
        <v>83C57</v>
      </c>
      <c r="EC111" s="7">
        <f t="shared" si="680"/>
        <v>2399</v>
      </c>
      <c r="ED111" s="56">
        <f t="shared" si="681"/>
        <v>2399</v>
      </c>
      <c r="EE111" s="57">
        <f t="shared" si="682"/>
        <v>0</v>
      </c>
      <c r="EF111" s="1">
        <f t="shared" si="683"/>
        <v>95.9983993597439</v>
      </c>
      <c r="EG111" s="7">
        <f t="shared" si="684"/>
        <v>2399</v>
      </c>
      <c r="EH111" s="56">
        <f t="shared" si="685"/>
        <v>2399</v>
      </c>
      <c r="EI111" s="57">
        <f t="shared" si="686"/>
        <v>0</v>
      </c>
      <c r="EJ111" s="1">
        <f t="shared" si="687"/>
        <v>100</v>
      </c>
      <c r="EK111" s="7">
        <f t="shared" si="688"/>
        <v>2299</v>
      </c>
      <c r="EL111" s="56">
        <f t="shared" si="689"/>
        <v>2299</v>
      </c>
      <c r="EM111" s="57">
        <f t="shared" si="690"/>
        <v>0</v>
      </c>
      <c r="EN111" s="1">
        <f t="shared" si="691"/>
        <v>95.83159649854106</v>
      </c>
    </row>
    <row r="112" spans="2:144" hidden="1" x14ac:dyDescent="0.3">
      <c r="B112" s="3" t="str">
        <f>B18</f>
        <v>83B59</v>
      </c>
      <c r="C112" s="7">
        <f t="shared" si="560"/>
        <v>2109</v>
      </c>
      <c r="D112" s="56">
        <f t="shared" si="561"/>
        <v>2109</v>
      </c>
      <c r="E112" s="57">
        <f t="shared" si="562"/>
        <v>0</v>
      </c>
      <c r="F112" s="1">
        <f t="shared" si="563"/>
        <v>63.219424460431654</v>
      </c>
      <c r="G112" s="7">
        <f t="shared" si="564"/>
        <v>2199</v>
      </c>
      <c r="H112" s="56">
        <f t="shared" si="565"/>
        <v>2199</v>
      </c>
      <c r="I112" s="57">
        <f t="shared" si="566"/>
        <v>0</v>
      </c>
      <c r="J112" s="1">
        <f t="shared" si="567"/>
        <v>81.474620229714716</v>
      </c>
      <c r="K112" s="7">
        <f t="shared" si="568"/>
        <v>1999</v>
      </c>
      <c r="L112" s="56">
        <f t="shared" si="569"/>
        <v>1999</v>
      </c>
      <c r="M112" s="57">
        <f t="shared" si="570"/>
        <v>0</v>
      </c>
      <c r="N112" s="1">
        <f t="shared" si="571"/>
        <v>57.841435185185183</v>
      </c>
      <c r="O112" s="3" t="str">
        <f>O18</f>
        <v>83B59</v>
      </c>
      <c r="P112" s="7">
        <f t="shared" si="572"/>
        <v>2109</v>
      </c>
      <c r="Q112" s="56">
        <f t="shared" si="573"/>
        <v>2109</v>
      </c>
      <c r="R112" s="57">
        <f t="shared" si="574"/>
        <v>0</v>
      </c>
      <c r="S112" s="1">
        <f t="shared" si="575"/>
        <v>63.219424460431654</v>
      </c>
      <c r="T112" s="7">
        <f t="shared" si="576"/>
        <v>2199</v>
      </c>
      <c r="U112" s="56">
        <f t="shared" si="577"/>
        <v>2199</v>
      </c>
      <c r="V112" s="57">
        <f t="shared" si="578"/>
        <v>0</v>
      </c>
      <c r="W112" s="1" t="str">
        <f t="shared" si="579"/>
        <v/>
      </c>
      <c r="X112" s="7">
        <f t="shared" si="580"/>
        <v>2186</v>
      </c>
      <c r="Y112" s="56">
        <f t="shared" si="581"/>
        <v>2186</v>
      </c>
      <c r="Z112" s="57">
        <f t="shared" si="582"/>
        <v>0</v>
      </c>
      <c r="AA112" s="1">
        <f t="shared" si="583"/>
        <v>87.44</v>
      </c>
      <c r="AB112" s="3" t="str">
        <f>AB18</f>
        <v>83B59</v>
      </c>
      <c r="AC112" s="7">
        <f t="shared" si="584"/>
        <v>1969</v>
      </c>
      <c r="AD112" s="56">
        <f t="shared" si="585"/>
        <v>1969</v>
      </c>
      <c r="AE112" s="57">
        <f t="shared" si="586"/>
        <v>0</v>
      </c>
      <c r="AF112" s="1">
        <f t="shared" si="587"/>
        <v>62.527786598920287</v>
      </c>
      <c r="AG112" s="7">
        <f t="shared" si="588"/>
        <v>0</v>
      </c>
      <c r="AH112" s="56">
        <f t="shared" si="589"/>
        <v>0</v>
      </c>
      <c r="AI112" s="57">
        <f t="shared" si="590"/>
        <v>0</v>
      </c>
      <c r="AJ112" s="1">
        <f t="shared" si="591"/>
        <v>0</v>
      </c>
      <c r="AK112" s="7">
        <f t="shared" si="592"/>
        <v>2206</v>
      </c>
      <c r="AL112" s="56">
        <f t="shared" si="593"/>
        <v>2206</v>
      </c>
      <c r="AM112" s="57">
        <f t="shared" si="594"/>
        <v>0</v>
      </c>
      <c r="AN112" s="1" t="str">
        <f t="shared" si="595"/>
        <v/>
      </c>
      <c r="AO112" s="3" t="str">
        <f>AO18</f>
        <v>83B59</v>
      </c>
      <c r="AP112" s="7">
        <f t="shared" si="596"/>
        <v>1969</v>
      </c>
      <c r="AQ112" s="56">
        <f t="shared" si="597"/>
        <v>1969</v>
      </c>
      <c r="AR112" s="57">
        <f t="shared" si="598"/>
        <v>0</v>
      </c>
      <c r="AS112" s="1">
        <f t="shared" si="599"/>
        <v>62.527786598920287</v>
      </c>
      <c r="AT112" s="7">
        <f t="shared" si="600"/>
        <v>0</v>
      </c>
      <c r="AU112" s="56">
        <f t="shared" si="601"/>
        <v>0</v>
      </c>
      <c r="AV112" s="57">
        <f t="shared" si="602"/>
        <v>0</v>
      </c>
      <c r="AW112" s="1">
        <f t="shared" si="603"/>
        <v>0</v>
      </c>
      <c r="AX112" s="7">
        <f t="shared" si="604"/>
        <v>1919</v>
      </c>
      <c r="AY112" s="56">
        <f t="shared" si="605"/>
        <v>1919</v>
      </c>
      <c r="AZ112" s="57">
        <f t="shared" si="606"/>
        <v>0</v>
      </c>
      <c r="BA112" s="1">
        <f t="shared" si="607"/>
        <v>101.10642781875659</v>
      </c>
      <c r="BB112" s="3" t="str">
        <f>BB18</f>
        <v>83B59</v>
      </c>
      <c r="BC112" s="7">
        <f t="shared" si="608"/>
        <v>1969</v>
      </c>
      <c r="BD112" s="56">
        <f t="shared" si="609"/>
        <v>1969</v>
      </c>
      <c r="BE112" s="57">
        <f t="shared" si="610"/>
        <v>0</v>
      </c>
      <c r="BF112" s="1">
        <f t="shared" si="611"/>
        <v>62.527786598920287</v>
      </c>
      <c r="BG112" s="7">
        <f t="shared" si="612"/>
        <v>0</v>
      </c>
      <c r="BH112" s="56">
        <f t="shared" si="613"/>
        <v>0</v>
      </c>
      <c r="BI112" s="57">
        <f t="shared" si="614"/>
        <v>0</v>
      </c>
      <c r="BJ112" s="1">
        <f t="shared" si="615"/>
        <v>0</v>
      </c>
      <c r="BK112" s="7">
        <f t="shared" si="616"/>
        <v>1919</v>
      </c>
      <c r="BL112" s="56">
        <f t="shared" si="617"/>
        <v>1919</v>
      </c>
      <c r="BM112" s="57">
        <f t="shared" si="618"/>
        <v>0</v>
      </c>
      <c r="BN112" s="1">
        <f t="shared" si="619"/>
        <v>101.10642781875659</v>
      </c>
      <c r="BO112" s="3" t="str">
        <f>BO18</f>
        <v>83B59</v>
      </c>
      <c r="BP112" s="7">
        <f t="shared" si="620"/>
        <v>1969</v>
      </c>
      <c r="BQ112" s="56">
        <f t="shared" si="621"/>
        <v>1969</v>
      </c>
      <c r="BR112" s="57">
        <f t="shared" si="622"/>
        <v>0</v>
      </c>
      <c r="BS112" s="1">
        <f t="shared" si="623"/>
        <v>62.527786598920287</v>
      </c>
      <c r="BT112" s="7">
        <f t="shared" si="624"/>
        <v>0</v>
      </c>
      <c r="BU112" s="56">
        <f t="shared" si="625"/>
        <v>0</v>
      </c>
      <c r="BV112" s="57">
        <f t="shared" si="626"/>
        <v>0</v>
      </c>
      <c r="BW112" s="1">
        <f t="shared" si="627"/>
        <v>0</v>
      </c>
      <c r="BX112" s="7">
        <f t="shared" si="628"/>
        <v>1919</v>
      </c>
      <c r="BY112" s="56">
        <f t="shared" si="629"/>
        <v>1919</v>
      </c>
      <c r="BZ112" s="57">
        <f t="shared" si="630"/>
        <v>0</v>
      </c>
      <c r="CA112" s="1">
        <f t="shared" si="631"/>
        <v>101.10642781875659</v>
      </c>
      <c r="CB112" s="3" t="str">
        <f>CB18</f>
        <v>83B59</v>
      </c>
      <c r="CC112" s="7">
        <f t="shared" si="632"/>
        <v>1969</v>
      </c>
      <c r="CD112" s="56">
        <f t="shared" si="633"/>
        <v>1969</v>
      </c>
      <c r="CE112" s="57">
        <f t="shared" si="634"/>
        <v>0</v>
      </c>
      <c r="CF112" s="1">
        <f t="shared" si="635"/>
        <v>62.527786598920287</v>
      </c>
      <c r="CG112" s="7">
        <f t="shared" si="636"/>
        <v>0</v>
      </c>
      <c r="CH112" s="56">
        <f t="shared" si="637"/>
        <v>0</v>
      </c>
      <c r="CI112" s="57">
        <f t="shared" si="638"/>
        <v>0</v>
      </c>
      <c r="CJ112" s="1">
        <f t="shared" si="639"/>
        <v>0</v>
      </c>
      <c r="CK112" s="7">
        <f t="shared" si="640"/>
        <v>1919</v>
      </c>
      <c r="CL112" s="56">
        <f t="shared" si="641"/>
        <v>1919</v>
      </c>
      <c r="CM112" s="57">
        <f t="shared" si="642"/>
        <v>0</v>
      </c>
      <c r="CN112" s="1">
        <f t="shared" si="643"/>
        <v>101.10642781875659</v>
      </c>
      <c r="CO112" s="3" t="str">
        <f>CO18</f>
        <v>83B59</v>
      </c>
      <c r="CP112" s="7">
        <f t="shared" si="644"/>
        <v>1969</v>
      </c>
      <c r="CQ112" s="56">
        <f t="shared" si="645"/>
        <v>1969</v>
      </c>
      <c r="CR112" s="57">
        <f t="shared" si="646"/>
        <v>0</v>
      </c>
      <c r="CS112" s="1">
        <f t="shared" si="647"/>
        <v>62.527786598920287</v>
      </c>
      <c r="CT112" s="7">
        <f t="shared" si="648"/>
        <v>0</v>
      </c>
      <c r="CU112" s="56">
        <f t="shared" si="649"/>
        <v>0</v>
      </c>
      <c r="CV112" s="57">
        <f t="shared" si="650"/>
        <v>0</v>
      </c>
      <c r="CW112" s="1">
        <f t="shared" si="651"/>
        <v>0</v>
      </c>
      <c r="CX112" s="7">
        <f t="shared" si="652"/>
        <v>1919</v>
      </c>
      <c r="CY112" s="56">
        <f t="shared" si="653"/>
        <v>1919</v>
      </c>
      <c r="CZ112" s="57">
        <f t="shared" si="654"/>
        <v>0</v>
      </c>
      <c r="DA112" s="1">
        <f t="shared" si="655"/>
        <v>101.10642781875659</v>
      </c>
      <c r="DB112" s="3" t="str">
        <f>DB18</f>
        <v>83B59</v>
      </c>
      <c r="DC112" s="7">
        <f t="shared" si="656"/>
        <v>1969</v>
      </c>
      <c r="DD112" s="56">
        <f t="shared" si="657"/>
        <v>1969</v>
      </c>
      <c r="DE112" s="57">
        <f t="shared" si="658"/>
        <v>0</v>
      </c>
      <c r="DF112" s="1">
        <f t="shared" si="659"/>
        <v>62.527786598920287</v>
      </c>
      <c r="DG112" s="7">
        <f t="shared" si="660"/>
        <v>0</v>
      </c>
      <c r="DH112" s="56">
        <f t="shared" si="661"/>
        <v>0</v>
      </c>
      <c r="DI112" s="57">
        <f t="shared" si="662"/>
        <v>0</v>
      </c>
      <c r="DJ112" s="1">
        <f t="shared" si="663"/>
        <v>0</v>
      </c>
      <c r="DK112" s="7">
        <f t="shared" si="664"/>
        <v>1919</v>
      </c>
      <c r="DL112" s="56">
        <f t="shared" si="665"/>
        <v>1919</v>
      </c>
      <c r="DM112" s="57">
        <f t="shared" si="666"/>
        <v>0</v>
      </c>
      <c r="DN112" s="1">
        <f t="shared" si="667"/>
        <v>101.10642781875659</v>
      </c>
      <c r="DO112" s="3" t="str">
        <f>DO18</f>
        <v>83B59</v>
      </c>
      <c r="DP112" s="7">
        <f t="shared" si="668"/>
        <v>1969</v>
      </c>
      <c r="DQ112" s="56">
        <f t="shared" si="669"/>
        <v>1969</v>
      </c>
      <c r="DR112" s="57">
        <f t="shared" si="670"/>
        <v>0</v>
      </c>
      <c r="DS112" s="1">
        <f t="shared" si="671"/>
        <v>62.527786598920287</v>
      </c>
      <c r="DT112" s="7">
        <f t="shared" si="672"/>
        <v>0</v>
      </c>
      <c r="DU112" s="56">
        <f t="shared" si="673"/>
        <v>0</v>
      </c>
      <c r="DV112" s="57">
        <f t="shared" si="674"/>
        <v>0</v>
      </c>
      <c r="DW112" s="1">
        <f t="shared" si="675"/>
        <v>0</v>
      </c>
      <c r="DX112" s="7">
        <f t="shared" si="676"/>
        <v>1919</v>
      </c>
      <c r="DY112" s="56">
        <f t="shared" si="677"/>
        <v>1919</v>
      </c>
      <c r="DZ112" s="57">
        <f t="shared" si="678"/>
        <v>0</v>
      </c>
      <c r="EA112" s="1">
        <f t="shared" si="679"/>
        <v>101.10642781875659</v>
      </c>
      <c r="EB112" s="3" t="str">
        <f>EB18</f>
        <v>83B59</v>
      </c>
      <c r="EC112" s="7">
        <f t="shared" si="680"/>
        <v>1969</v>
      </c>
      <c r="ED112" s="56">
        <f t="shared" si="681"/>
        <v>1969</v>
      </c>
      <c r="EE112" s="57">
        <f t="shared" si="682"/>
        <v>0</v>
      </c>
      <c r="EF112" s="1">
        <f t="shared" si="683"/>
        <v>62.527786598920287</v>
      </c>
      <c r="EG112" s="7">
        <f t="shared" si="684"/>
        <v>0</v>
      </c>
      <c r="EH112" s="56">
        <f t="shared" si="685"/>
        <v>0</v>
      </c>
      <c r="EI112" s="57">
        <f t="shared" si="686"/>
        <v>0</v>
      </c>
      <c r="EJ112" s="1">
        <f t="shared" si="687"/>
        <v>0</v>
      </c>
      <c r="EK112" s="7">
        <f t="shared" si="688"/>
        <v>1919</v>
      </c>
      <c r="EL112" s="56">
        <f t="shared" si="689"/>
        <v>1919</v>
      </c>
      <c r="EM112" s="57">
        <f t="shared" si="690"/>
        <v>0</v>
      </c>
      <c r="EN112" s="1">
        <f t="shared" si="691"/>
        <v>101.10642781875659</v>
      </c>
    </row>
    <row r="113" spans="2:144" hidden="1" x14ac:dyDescent="0.3">
      <c r="B113" s="3" t="str">
        <f>B49</f>
        <v>86QNED86A</v>
      </c>
      <c r="C113" s="7">
        <f t="shared" si="560"/>
        <v>1890</v>
      </c>
      <c r="D113" s="56">
        <f t="shared" si="561"/>
        <v>1890</v>
      </c>
      <c r="E113" s="57">
        <f t="shared" si="562"/>
        <v>0</v>
      </c>
      <c r="F113" s="1" t="str">
        <f t="shared" si="563"/>
        <v/>
      </c>
      <c r="G113" s="7">
        <f t="shared" si="564"/>
        <v>1399</v>
      </c>
      <c r="H113" s="56">
        <f t="shared" si="565"/>
        <v>1399</v>
      </c>
      <c r="I113" s="57">
        <f t="shared" si="566"/>
        <v>0</v>
      </c>
      <c r="J113" s="1">
        <f t="shared" si="567"/>
        <v>77.765425236242365</v>
      </c>
      <c r="K113" s="7">
        <f t="shared" si="568"/>
        <v>1399</v>
      </c>
      <c r="L113" s="56">
        <f t="shared" si="569"/>
        <v>1399</v>
      </c>
      <c r="M113" s="57">
        <f t="shared" si="570"/>
        <v>0</v>
      </c>
      <c r="N113" s="1">
        <f t="shared" si="571"/>
        <v>84.839296543359609</v>
      </c>
      <c r="O113" s="3" t="str">
        <f>O49</f>
        <v>86QNED86A</v>
      </c>
      <c r="P113" s="7">
        <f t="shared" si="572"/>
        <v>1890</v>
      </c>
      <c r="Q113" s="56">
        <f t="shared" si="573"/>
        <v>1890</v>
      </c>
      <c r="R113" s="57">
        <f t="shared" si="574"/>
        <v>0</v>
      </c>
      <c r="S113" s="1" t="str">
        <f t="shared" si="575"/>
        <v/>
      </c>
      <c r="T113" s="7">
        <f t="shared" si="576"/>
        <v>1399</v>
      </c>
      <c r="U113" s="56">
        <f t="shared" si="577"/>
        <v>1399</v>
      </c>
      <c r="V113" s="57">
        <f t="shared" si="578"/>
        <v>0</v>
      </c>
      <c r="W113" s="1">
        <f t="shared" si="579"/>
        <v>87.492182614133824</v>
      </c>
      <c r="X113" s="7">
        <f t="shared" si="580"/>
        <v>1399</v>
      </c>
      <c r="Y113" s="56">
        <f t="shared" si="581"/>
        <v>1399</v>
      </c>
      <c r="Z113" s="57">
        <f t="shared" si="582"/>
        <v>0</v>
      </c>
      <c r="AA113" s="1">
        <f t="shared" si="583"/>
        <v>87.492182614133824</v>
      </c>
      <c r="AB113" s="3" t="str">
        <f>AB49</f>
        <v>86QNED86A</v>
      </c>
      <c r="AC113" s="7">
        <f t="shared" si="584"/>
        <v>0</v>
      </c>
      <c r="AD113" s="56">
        <f t="shared" si="585"/>
        <v>0</v>
      </c>
      <c r="AE113" s="57">
        <f t="shared" si="586"/>
        <v>0</v>
      </c>
      <c r="AF113" s="1" t="str">
        <f t="shared" si="587"/>
        <v/>
      </c>
      <c r="AG113" s="7">
        <f t="shared" si="588"/>
        <v>0</v>
      </c>
      <c r="AH113" s="56">
        <f t="shared" si="589"/>
        <v>0</v>
      </c>
      <c r="AI113" s="57">
        <f t="shared" si="590"/>
        <v>0</v>
      </c>
      <c r="AJ113" s="1" t="str">
        <f t="shared" si="591"/>
        <v/>
      </c>
      <c r="AK113" s="7">
        <f t="shared" si="592"/>
        <v>0</v>
      </c>
      <c r="AL113" s="56">
        <f t="shared" si="593"/>
        <v>0</v>
      </c>
      <c r="AM113" s="57">
        <f t="shared" si="594"/>
        <v>0</v>
      </c>
      <c r="AN113" s="1" t="str">
        <f t="shared" si="595"/>
        <v/>
      </c>
      <c r="AO113" s="3" t="str">
        <f>AO49</f>
        <v>86QNED86A</v>
      </c>
      <c r="AP113" s="7">
        <f t="shared" si="596"/>
        <v>1499</v>
      </c>
      <c r="AQ113" s="56">
        <f t="shared" si="597"/>
        <v>1499</v>
      </c>
      <c r="AR113" s="57">
        <f t="shared" si="598"/>
        <v>0</v>
      </c>
      <c r="AS113" s="1">
        <f t="shared" si="599"/>
        <v>78.113600833767578</v>
      </c>
      <c r="AT113" s="7">
        <f t="shared" si="600"/>
        <v>1399</v>
      </c>
      <c r="AU113" s="56">
        <f t="shared" si="601"/>
        <v>1399</v>
      </c>
      <c r="AV113" s="57">
        <f t="shared" si="602"/>
        <v>0</v>
      </c>
      <c r="AW113" s="1">
        <f t="shared" si="603"/>
        <v>87.492182614133824</v>
      </c>
      <c r="AX113" s="7">
        <f t="shared" si="604"/>
        <v>0</v>
      </c>
      <c r="AY113" s="56">
        <f t="shared" si="605"/>
        <v>0</v>
      </c>
      <c r="AZ113" s="57">
        <f t="shared" si="606"/>
        <v>0</v>
      </c>
      <c r="BA113" s="1" t="str">
        <f t="shared" si="607"/>
        <v/>
      </c>
      <c r="BB113" s="3" t="str">
        <f>BB49</f>
        <v>86QNED86A</v>
      </c>
      <c r="BC113" s="7">
        <f t="shared" si="608"/>
        <v>1499</v>
      </c>
      <c r="BD113" s="56">
        <f t="shared" si="609"/>
        <v>1499</v>
      </c>
      <c r="BE113" s="57">
        <f t="shared" si="610"/>
        <v>0</v>
      </c>
      <c r="BF113" s="1">
        <f t="shared" si="611"/>
        <v>78.113600833767578</v>
      </c>
      <c r="BG113" s="7">
        <f t="shared" si="612"/>
        <v>1399</v>
      </c>
      <c r="BH113" s="56">
        <f t="shared" si="613"/>
        <v>1399</v>
      </c>
      <c r="BI113" s="57">
        <f t="shared" si="614"/>
        <v>0</v>
      </c>
      <c r="BJ113" s="1">
        <f t="shared" si="615"/>
        <v>87.492182614133824</v>
      </c>
      <c r="BK113" s="7">
        <f t="shared" si="616"/>
        <v>0</v>
      </c>
      <c r="BL113" s="56">
        <f t="shared" si="617"/>
        <v>0</v>
      </c>
      <c r="BM113" s="57">
        <f t="shared" si="618"/>
        <v>0</v>
      </c>
      <c r="BN113" s="1" t="str">
        <f t="shared" si="619"/>
        <v/>
      </c>
      <c r="BO113" s="3" t="str">
        <f>BO49</f>
        <v>86QNED86A</v>
      </c>
      <c r="BP113" s="7">
        <f t="shared" si="620"/>
        <v>1499</v>
      </c>
      <c r="BQ113" s="56">
        <f t="shared" si="621"/>
        <v>1499</v>
      </c>
      <c r="BR113" s="57">
        <f t="shared" si="622"/>
        <v>0</v>
      </c>
      <c r="BS113" s="1">
        <f t="shared" si="623"/>
        <v>78.113600833767578</v>
      </c>
      <c r="BT113" s="7">
        <f t="shared" si="624"/>
        <v>1399</v>
      </c>
      <c r="BU113" s="56">
        <f t="shared" si="625"/>
        <v>1399</v>
      </c>
      <c r="BV113" s="57">
        <f t="shared" si="626"/>
        <v>0</v>
      </c>
      <c r="BW113" s="1">
        <f t="shared" si="627"/>
        <v>87.492182614133824</v>
      </c>
      <c r="BX113" s="7">
        <f t="shared" si="628"/>
        <v>0</v>
      </c>
      <c r="BY113" s="56">
        <f t="shared" si="629"/>
        <v>0</v>
      </c>
      <c r="BZ113" s="57">
        <f t="shared" si="630"/>
        <v>0</v>
      </c>
      <c r="CA113" s="1" t="str">
        <f t="shared" si="631"/>
        <v/>
      </c>
      <c r="CB113" s="3" t="str">
        <f>CB49</f>
        <v>86QNED86A</v>
      </c>
      <c r="CC113" s="7">
        <f t="shared" si="632"/>
        <v>1499</v>
      </c>
      <c r="CD113" s="56">
        <f t="shared" si="633"/>
        <v>1499</v>
      </c>
      <c r="CE113" s="57">
        <f t="shared" si="634"/>
        <v>0</v>
      </c>
      <c r="CF113" s="1">
        <f t="shared" si="635"/>
        <v>78.113600833767578</v>
      </c>
      <c r="CG113" s="7">
        <f t="shared" si="636"/>
        <v>1399</v>
      </c>
      <c r="CH113" s="56">
        <f t="shared" si="637"/>
        <v>1399</v>
      </c>
      <c r="CI113" s="57">
        <f t="shared" si="638"/>
        <v>0</v>
      </c>
      <c r="CJ113" s="1">
        <f t="shared" si="639"/>
        <v>87.492182614133824</v>
      </c>
      <c r="CK113" s="7">
        <f t="shared" si="640"/>
        <v>0</v>
      </c>
      <c r="CL113" s="56">
        <f t="shared" si="641"/>
        <v>0</v>
      </c>
      <c r="CM113" s="57">
        <f t="shared" si="642"/>
        <v>0</v>
      </c>
      <c r="CN113" s="1" t="str">
        <f t="shared" si="643"/>
        <v/>
      </c>
      <c r="CO113" s="3" t="str">
        <f>CO49</f>
        <v>86QNED86A</v>
      </c>
      <c r="CP113" s="7">
        <f t="shared" si="644"/>
        <v>1499</v>
      </c>
      <c r="CQ113" s="56">
        <f t="shared" si="645"/>
        <v>1499</v>
      </c>
      <c r="CR113" s="57">
        <f t="shared" si="646"/>
        <v>0</v>
      </c>
      <c r="CS113" s="1">
        <f t="shared" si="647"/>
        <v>78.113600833767578</v>
      </c>
      <c r="CT113" s="7">
        <f t="shared" si="648"/>
        <v>1399</v>
      </c>
      <c r="CU113" s="56">
        <f t="shared" si="649"/>
        <v>1399</v>
      </c>
      <c r="CV113" s="57">
        <f t="shared" si="650"/>
        <v>0</v>
      </c>
      <c r="CW113" s="1">
        <f t="shared" si="651"/>
        <v>87.492182614133824</v>
      </c>
      <c r="CX113" s="7">
        <f t="shared" si="652"/>
        <v>0</v>
      </c>
      <c r="CY113" s="56">
        <f t="shared" si="653"/>
        <v>0</v>
      </c>
      <c r="CZ113" s="57">
        <f t="shared" si="654"/>
        <v>0</v>
      </c>
      <c r="DA113" s="1" t="str">
        <f t="shared" si="655"/>
        <v/>
      </c>
      <c r="DB113" s="3" t="str">
        <f>DB49</f>
        <v>86QNED86A</v>
      </c>
      <c r="DC113" s="7">
        <f t="shared" si="656"/>
        <v>1499</v>
      </c>
      <c r="DD113" s="56">
        <f t="shared" si="657"/>
        <v>1499</v>
      </c>
      <c r="DE113" s="57">
        <f t="shared" si="658"/>
        <v>0</v>
      </c>
      <c r="DF113" s="1">
        <f t="shared" si="659"/>
        <v>78.113600833767578</v>
      </c>
      <c r="DG113" s="7">
        <f t="shared" si="660"/>
        <v>1399</v>
      </c>
      <c r="DH113" s="56">
        <f t="shared" si="661"/>
        <v>1399</v>
      </c>
      <c r="DI113" s="57">
        <f t="shared" si="662"/>
        <v>0</v>
      </c>
      <c r="DJ113" s="1">
        <f t="shared" si="663"/>
        <v>87.492182614133824</v>
      </c>
      <c r="DK113" s="7">
        <f t="shared" si="664"/>
        <v>0</v>
      </c>
      <c r="DL113" s="56">
        <f t="shared" si="665"/>
        <v>0</v>
      </c>
      <c r="DM113" s="57">
        <f t="shared" si="666"/>
        <v>0</v>
      </c>
      <c r="DN113" s="1" t="str">
        <f t="shared" si="667"/>
        <v/>
      </c>
      <c r="DO113" s="3" t="str">
        <f>DO49</f>
        <v>86QNED86A</v>
      </c>
      <c r="DP113" s="7">
        <f t="shared" si="668"/>
        <v>1499</v>
      </c>
      <c r="DQ113" s="56">
        <f t="shared" si="669"/>
        <v>1499</v>
      </c>
      <c r="DR113" s="57">
        <f t="shared" si="670"/>
        <v>0</v>
      </c>
      <c r="DS113" s="1">
        <f t="shared" si="671"/>
        <v>78.113600833767578</v>
      </c>
      <c r="DT113" s="7">
        <f t="shared" si="672"/>
        <v>1399</v>
      </c>
      <c r="DU113" s="56">
        <f t="shared" si="673"/>
        <v>1399</v>
      </c>
      <c r="DV113" s="57">
        <f t="shared" si="674"/>
        <v>0</v>
      </c>
      <c r="DW113" s="1">
        <f t="shared" si="675"/>
        <v>87.492182614133824</v>
      </c>
      <c r="DX113" s="7">
        <f t="shared" si="676"/>
        <v>0</v>
      </c>
      <c r="DY113" s="56">
        <f t="shared" si="677"/>
        <v>0</v>
      </c>
      <c r="DZ113" s="57">
        <f t="shared" si="678"/>
        <v>0</v>
      </c>
      <c r="EA113" s="1" t="str">
        <f t="shared" si="679"/>
        <v/>
      </c>
      <c r="EB113" s="3" t="str">
        <f>EB49</f>
        <v>86QNED86A</v>
      </c>
      <c r="EC113" s="7">
        <f t="shared" si="680"/>
        <v>1499</v>
      </c>
      <c r="ED113" s="56">
        <f t="shared" si="681"/>
        <v>1499</v>
      </c>
      <c r="EE113" s="57">
        <f t="shared" si="682"/>
        <v>0</v>
      </c>
      <c r="EF113" s="1">
        <f t="shared" si="683"/>
        <v>78.113600833767578</v>
      </c>
      <c r="EG113" s="7">
        <f t="shared" si="684"/>
        <v>1399</v>
      </c>
      <c r="EH113" s="56">
        <f t="shared" si="685"/>
        <v>1399</v>
      </c>
      <c r="EI113" s="57">
        <f t="shared" si="686"/>
        <v>0</v>
      </c>
      <c r="EJ113" s="1">
        <f t="shared" si="687"/>
        <v>87.492182614133824</v>
      </c>
      <c r="EK113" s="7">
        <f t="shared" si="688"/>
        <v>0</v>
      </c>
      <c r="EL113" s="56">
        <f t="shared" si="689"/>
        <v>0</v>
      </c>
      <c r="EM113" s="57">
        <f t="shared" si="690"/>
        <v>0</v>
      </c>
      <c r="EN113" s="1" t="str">
        <f t="shared" si="691"/>
        <v/>
      </c>
    </row>
    <row r="114" spans="2:144" hidden="1" x14ac:dyDescent="0.3">
      <c r="B114" s="3" t="str">
        <f>B41</f>
        <v>86QNED80A</v>
      </c>
      <c r="C114" s="7">
        <f t="shared" si="560"/>
        <v>0</v>
      </c>
      <c r="D114" s="56">
        <f t="shared" si="561"/>
        <v>0</v>
      </c>
      <c r="E114" s="57">
        <f t="shared" si="562"/>
        <v>0</v>
      </c>
      <c r="F114" s="1">
        <f t="shared" si="563"/>
        <v>0</v>
      </c>
      <c r="G114" s="7">
        <f t="shared" si="564"/>
        <v>1299</v>
      </c>
      <c r="H114" s="56">
        <f t="shared" si="565"/>
        <v>1299</v>
      </c>
      <c r="I114" s="57">
        <f t="shared" si="566"/>
        <v>0</v>
      </c>
      <c r="J114" s="1">
        <f t="shared" si="567"/>
        <v>72.773109243697476</v>
      </c>
      <c r="K114" s="7">
        <f t="shared" si="568"/>
        <v>1299</v>
      </c>
      <c r="L114" s="56">
        <f t="shared" si="569"/>
        <v>1299</v>
      </c>
      <c r="M114" s="57">
        <f t="shared" si="570"/>
        <v>0</v>
      </c>
      <c r="N114" s="1">
        <f t="shared" si="571"/>
        <v>100</v>
      </c>
      <c r="O114" s="3" t="str">
        <f>O41</f>
        <v>86QNED80A</v>
      </c>
      <c r="P114" s="7">
        <f t="shared" si="572"/>
        <v>1633</v>
      </c>
      <c r="Q114" s="56">
        <f t="shared" si="573"/>
        <v>1633</v>
      </c>
      <c r="R114" s="57">
        <f t="shared" si="574"/>
        <v>0</v>
      </c>
      <c r="S114" s="1">
        <f t="shared" si="575"/>
        <v>92.83683911313247</v>
      </c>
      <c r="T114" s="7">
        <f t="shared" si="576"/>
        <v>1299</v>
      </c>
      <c r="U114" s="56">
        <f t="shared" si="577"/>
        <v>1299</v>
      </c>
      <c r="V114" s="57">
        <f t="shared" si="578"/>
        <v>0</v>
      </c>
      <c r="W114" s="1" t="str">
        <f t="shared" si="579"/>
        <v/>
      </c>
      <c r="X114" s="7">
        <f t="shared" si="580"/>
        <v>1300</v>
      </c>
      <c r="Y114" s="56">
        <f t="shared" si="581"/>
        <v>1300</v>
      </c>
      <c r="Z114" s="57">
        <f t="shared" si="582"/>
        <v>0</v>
      </c>
      <c r="AA114" s="1">
        <f t="shared" si="583"/>
        <v>100.07698229407237</v>
      </c>
      <c r="AB114" s="3" t="str">
        <f>AB41</f>
        <v>86QNED80A</v>
      </c>
      <c r="AC114" s="7">
        <f t="shared" si="584"/>
        <v>0</v>
      </c>
      <c r="AD114" s="56">
        <f t="shared" si="585"/>
        <v>0</v>
      </c>
      <c r="AE114" s="57">
        <f t="shared" si="586"/>
        <v>0</v>
      </c>
      <c r="AF114" s="1" t="str">
        <f t="shared" si="587"/>
        <v/>
      </c>
      <c r="AG114" s="7">
        <f t="shared" si="588"/>
        <v>0</v>
      </c>
      <c r="AH114" s="56">
        <f t="shared" si="589"/>
        <v>0</v>
      </c>
      <c r="AI114" s="57">
        <f t="shared" si="590"/>
        <v>0</v>
      </c>
      <c r="AJ114" s="1" t="str">
        <f t="shared" si="591"/>
        <v/>
      </c>
      <c r="AK114" s="7">
        <f t="shared" si="592"/>
        <v>0</v>
      </c>
      <c r="AL114" s="56">
        <f t="shared" si="593"/>
        <v>0</v>
      </c>
      <c r="AM114" s="57">
        <f t="shared" si="594"/>
        <v>0</v>
      </c>
      <c r="AN114" s="1" t="str">
        <f t="shared" si="595"/>
        <v/>
      </c>
      <c r="AO114" s="3" t="str">
        <f>AO41</f>
        <v>86QNED80A</v>
      </c>
      <c r="AP114" s="7">
        <f t="shared" si="596"/>
        <v>0</v>
      </c>
      <c r="AQ114" s="56">
        <f t="shared" si="597"/>
        <v>0</v>
      </c>
      <c r="AR114" s="57">
        <f t="shared" si="598"/>
        <v>0</v>
      </c>
      <c r="AS114" s="1">
        <f t="shared" si="599"/>
        <v>0</v>
      </c>
      <c r="AT114" s="7">
        <f t="shared" si="600"/>
        <v>1279</v>
      </c>
      <c r="AU114" s="56">
        <f t="shared" si="601"/>
        <v>1279</v>
      </c>
      <c r="AV114" s="57">
        <f t="shared" si="602"/>
        <v>0</v>
      </c>
      <c r="AW114" s="1">
        <f t="shared" si="603"/>
        <v>98.460354118552729</v>
      </c>
      <c r="AX114" s="7">
        <f t="shared" si="604"/>
        <v>0</v>
      </c>
      <c r="AY114" s="56">
        <f t="shared" si="605"/>
        <v>0</v>
      </c>
      <c r="AZ114" s="57">
        <f t="shared" si="606"/>
        <v>0</v>
      </c>
      <c r="BA114" s="1" t="str">
        <f t="shared" si="607"/>
        <v/>
      </c>
      <c r="BB114" s="3" t="str">
        <f>BB41</f>
        <v>86QNED80A</v>
      </c>
      <c r="BC114" s="7">
        <f t="shared" si="608"/>
        <v>0</v>
      </c>
      <c r="BD114" s="56">
        <f t="shared" si="609"/>
        <v>0</v>
      </c>
      <c r="BE114" s="57">
        <f t="shared" si="610"/>
        <v>0</v>
      </c>
      <c r="BF114" s="1">
        <f t="shared" si="611"/>
        <v>0</v>
      </c>
      <c r="BG114" s="7">
        <f t="shared" si="612"/>
        <v>1279</v>
      </c>
      <c r="BH114" s="56">
        <f t="shared" si="613"/>
        <v>1279</v>
      </c>
      <c r="BI114" s="57">
        <f t="shared" si="614"/>
        <v>0</v>
      </c>
      <c r="BJ114" s="1">
        <f t="shared" si="615"/>
        <v>98.460354118552729</v>
      </c>
      <c r="BK114" s="7">
        <f t="shared" si="616"/>
        <v>0</v>
      </c>
      <c r="BL114" s="56">
        <f t="shared" si="617"/>
        <v>0</v>
      </c>
      <c r="BM114" s="57">
        <f t="shared" si="618"/>
        <v>0</v>
      </c>
      <c r="BN114" s="1" t="str">
        <f t="shared" si="619"/>
        <v/>
      </c>
      <c r="BO114" s="3" t="str">
        <f>BO41</f>
        <v>86QNED80A</v>
      </c>
      <c r="BP114" s="7">
        <f t="shared" si="620"/>
        <v>0</v>
      </c>
      <c r="BQ114" s="56">
        <f t="shared" si="621"/>
        <v>0</v>
      </c>
      <c r="BR114" s="57">
        <f t="shared" si="622"/>
        <v>0</v>
      </c>
      <c r="BS114" s="1">
        <f t="shared" si="623"/>
        <v>0</v>
      </c>
      <c r="BT114" s="7">
        <f t="shared" si="624"/>
        <v>1279</v>
      </c>
      <c r="BU114" s="56">
        <f t="shared" si="625"/>
        <v>1279</v>
      </c>
      <c r="BV114" s="57">
        <f t="shared" si="626"/>
        <v>0</v>
      </c>
      <c r="BW114" s="1">
        <f t="shared" si="627"/>
        <v>98.460354118552729</v>
      </c>
      <c r="BX114" s="7">
        <f t="shared" si="628"/>
        <v>0</v>
      </c>
      <c r="BY114" s="56">
        <f t="shared" si="629"/>
        <v>0</v>
      </c>
      <c r="BZ114" s="57">
        <f t="shared" si="630"/>
        <v>0</v>
      </c>
      <c r="CA114" s="1" t="str">
        <f t="shared" si="631"/>
        <v/>
      </c>
      <c r="CB114" s="3" t="str">
        <f>CB41</f>
        <v>86QNED80A</v>
      </c>
      <c r="CC114" s="7">
        <f t="shared" si="632"/>
        <v>0</v>
      </c>
      <c r="CD114" s="56">
        <f t="shared" si="633"/>
        <v>0</v>
      </c>
      <c r="CE114" s="57">
        <f t="shared" si="634"/>
        <v>0</v>
      </c>
      <c r="CF114" s="1">
        <f t="shared" si="635"/>
        <v>0</v>
      </c>
      <c r="CG114" s="7">
        <f t="shared" si="636"/>
        <v>1279</v>
      </c>
      <c r="CH114" s="56">
        <f t="shared" si="637"/>
        <v>1279</v>
      </c>
      <c r="CI114" s="57">
        <f t="shared" si="638"/>
        <v>0</v>
      </c>
      <c r="CJ114" s="1">
        <f t="shared" si="639"/>
        <v>98.460354118552729</v>
      </c>
      <c r="CK114" s="7">
        <f t="shared" si="640"/>
        <v>0</v>
      </c>
      <c r="CL114" s="56">
        <f t="shared" si="641"/>
        <v>0</v>
      </c>
      <c r="CM114" s="57">
        <f t="shared" si="642"/>
        <v>0</v>
      </c>
      <c r="CN114" s="1" t="str">
        <f t="shared" si="643"/>
        <v/>
      </c>
      <c r="CO114" s="3" t="str">
        <f>CO41</f>
        <v>86QNED80A</v>
      </c>
      <c r="CP114" s="7">
        <f t="shared" si="644"/>
        <v>0</v>
      </c>
      <c r="CQ114" s="56">
        <f t="shared" si="645"/>
        <v>0</v>
      </c>
      <c r="CR114" s="57">
        <f t="shared" si="646"/>
        <v>0</v>
      </c>
      <c r="CS114" s="1">
        <f t="shared" si="647"/>
        <v>0</v>
      </c>
      <c r="CT114" s="7">
        <f t="shared" si="648"/>
        <v>1279</v>
      </c>
      <c r="CU114" s="56">
        <f t="shared" si="649"/>
        <v>1279</v>
      </c>
      <c r="CV114" s="57">
        <f t="shared" si="650"/>
        <v>0</v>
      </c>
      <c r="CW114" s="1">
        <f t="shared" si="651"/>
        <v>98.460354118552729</v>
      </c>
      <c r="CX114" s="7">
        <f t="shared" si="652"/>
        <v>0</v>
      </c>
      <c r="CY114" s="56">
        <f t="shared" si="653"/>
        <v>0</v>
      </c>
      <c r="CZ114" s="57">
        <f t="shared" si="654"/>
        <v>0</v>
      </c>
      <c r="DA114" s="1" t="str">
        <f t="shared" si="655"/>
        <v/>
      </c>
      <c r="DB114" s="3" t="str">
        <f>DB41</f>
        <v>86QNED80A</v>
      </c>
      <c r="DC114" s="7">
        <f t="shared" si="656"/>
        <v>0</v>
      </c>
      <c r="DD114" s="56">
        <f t="shared" si="657"/>
        <v>0</v>
      </c>
      <c r="DE114" s="57">
        <f t="shared" si="658"/>
        <v>0</v>
      </c>
      <c r="DF114" s="1">
        <f t="shared" si="659"/>
        <v>0</v>
      </c>
      <c r="DG114" s="7">
        <f t="shared" si="660"/>
        <v>1279</v>
      </c>
      <c r="DH114" s="56">
        <f t="shared" si="661"/>
        <v>1279</v>
      </c>
      <c r="DI114" s="57">
        <f t="shared" si="662"/>
        <v>0</v>
      </c>
      <c r="DJ114" s="1">
        <f t="shared" si="663"/>
        <v>98.460354118552729</v>
      </c>
      <c r="DK114" s="7">
        <f t="shared" si="664"/>
        <v>0</v>
      </c>
      <c r="DL114" s="56">
        <f t="shared" si="665"/>
        <v>0</v>
      </c>
      <c r="DM114" s="57">
        <f t="shared" si="666"/>
        <v>0</v>
      </c>
      <c r="DN114" s="1" t="str">
        <f t="shared" si="667"/>
        <v/>
      </c>
      <c r="DO114" s="3" t="str">
        <f>DO41</f>
        <v>86QNED80A</v>
      </c>
      <c r="DP114" s="7">
        <f t="shared" si="668"/>
        <v>0</v>
      </c>
      <c r="DQ114" s="56">
        <f t="shared" si="669"/>
        <v>0</v>
      </c>
      <c r="DR114" s="57">
        <f t="shared" si="670"/>
        <v>0</v>
      </c>
      <c r="DS114" s="1">
        <f t="shared" si="671"/>
        <v>0</v>
      </c>
      <c r="DT114" s="7">
        <f t="shared" si="672"/>
        <v>1279</v>
      </c>
      <c r="DU114" s="56">
        <f t="shared" si="673"/>
        <v>1279</v>
      </c>
      <c r="DV114" s="57">
        <f t="shared" si="674"/>
        <v>0</v>
      </c>
      <c r="DW114" s="1">
        <f t="shared" si="675"/>
        <v>98.460354118552729</v>
      </c>
      <c r="DX114" s="7">
        <f t="shared" si="676"/>
        <v>0</v>
      </c>
      <c r="DY114" s="56">
        <f t="shared" si="677"/>
        <v>0</v>
      </c>
      <c r="DZ114" s="57">
        <f t="shared" si="678"/>
        <v>0</v>
      </c>
      <c r="EA114" s="1" t="str">
        <f t="shared" si="679"/>
        <v/>
      </c>
      <c r="EB114" s="3" t="str">
        <f>EB41</f>
        <v>86QNED80A</v>
      </c>
      <c r="EC114" s="7">
        <f t="shared" si="680"/>
        <v>0</v>
      </c>
      <c r="ED114" s="56">
        <f t="shared" si="681"/>
        <v>0</v>
      </c>
      <c r="EE114" s="57">
        <f t="shared" si="682"/>
        <v>0</v>
      </c>
      <c r="EF114" s="1">
        <f t="shared" si="683"/>
        <v>0</v>
      </c>
      <c r="EG114" s="7">
        <f t="shared" si="684"/>
        <v>1279</v>
      </c>
      <c r="EH114" s="56">
        <f t="shared" si="685"/>
        <v>1279</v>
      </c>
      <c r="EI114" s="57">
        <f t="shared" si="686"/>
        <v>0</v>
      </c>
      <c r="EJ114" s="1">
        <f t="shared" si="687"/>
        <v>98.460354118552729</v>
      </c>
      <c r="EK114" s="7">
        <f t="shared" si="688"/>
        <v>0</v>
      </c>
      <c r="EL114" s="56">
        <f t="shared" si="689"/>
        <v>0</v>
      </c>
      <c r="EM114" s="57">
        <f t="shared" si="690"/>
        <v>0</v>
      </c>
      <c r="EN114" s="1" t="str">
        <f t="shared" si="691"/>
        <v/>
      </c>
    </row>
    <row r="115" spans="2:144" hidden="1" x14ac:dyDescent="0.3">
      <c r="B115" s="3" t="str">
        <f>B56</f>
        <v>85QNED70A</v>
      </c>
      <c r="C115" s="7">
        <f t="shared" si="560"/>
        <v>0</v>
      </c>
      <c r="D115" s="56">
        <f t="shared" si="561"/>
        <v>0</v>
      </c>
      <c r="E115" s="57">
        <f t="shared" si="562"/>
        <v>0</v>
      </c>
      <c r="F115" s="1" t="str">
        <f t="shared" si="563"/>
        <v/>
      </c>
      <c r="G115" s="7">
        <f t="shared" si="564"/>
        <v>0</v>
      </c>
      <c r="H115" s="56">
        <f t="shared" si="565"/>
        <v>0</v>
      </c>
      <c r="I115" s="57">
        <f t="shared" si="566"/>
        <v>0</v>
      </c>
      <c r="J115" s="1" t="str">
        <f t="shared" si="567"/>
        <v/>
      </c>
      <c r="K115" s="7">
        <f t="shared" si="568"/>
        <v>0</v>
      </c>
      <c r="L115" s="56">
        <f t="shared" si="569"/>
        <v>0</v>
      </c>
      <c r="M115" s="57">
        <f t="shared" si="570"/>
        <v>0</v>
      </c>
      <c r="N115" s="1">
        <f t="shared" si="571"/>
        <v>0</v>
      </c>
      <c r="O115" s="3" t="str">
        <f>O56</f>
        <v>85QNED70A</v>
      </c>
      <c r="P115" s="7">
        <f t="shared" si="572"/>
        <v>0</v>
      </c>
      <c r="Q115" s="56">
        <f t="shared" si="573"/>
        <v>0</v>
      </c>
      <c r="R115" s="57">
        <f t="shared" si="574"/>
        <v>0</v>
      </c>
      <c r="S115" s="1" t="str">
        <f t="shared" si="575"/>
        <v/>
      </c>
      <c r="T115" s="7">
        <f t="shared" si="576"/>
        <v>0</v>
      </c>
      <c r="U115" s="56">
        <f t="shared" si="577"/>
        <v>0</v>
      </c>
      <c r="V115" s="57">
        <f t="shared" si="578"/>
        <v>0</v>
      </c>
      <c r="W115" s="1" t="str">
        <f t="shared" si="579"/>
        <v/>
      </c>
      <c r="X115" s="7">
        <f t="shared" si="580"/>
        <v>0</v>
      </c>
      <c r="Y115" s="56">
        <f t="shared" si="581"/>
        <v>0</v>
      </c>
      <c r="Z115" s="57">
        <f t="shared" si="582"/>
        <v>0</v>
      </c>
      <c r="AA115" s="1">
        <f t="shared" si="583"/>
        <v>0</v>
      </c>
      <c r="AB115" s="3" t="str">
        <f>AB56</f>
        <v>85QNED70A</v>
      </c>
      <c r="AC115" s="7">
        <f t="shared" si="584"/>
        <v>0</v>
      </c>
      <c r="AD115" s="56">
        <f t="shared" si="585"/>
        <v>0</v>
      </c>
      <c r="AE115" s="57">
        <f t="shared" si="586"/>
        <v>0</v>
      </c>
      <c r="AF115" s="1" t="str">
        <f t="shared" si="587"/>
        <v/>
      </c>
      <c r="AG115" s="7">
        <f t="shared" si="588"/>
        <v>0</v>
      </c>
      <c r="AH115" s="56">
        <f t="shared" si="589"/>
        <v>0</v>
      </c>
      <c r="AI115" s="57">
        <f t="shared" si="590"/>
        <v>0</v>
      </c>
      <c r="AJ115" s="1" t="str">
        <f t="shared" si="591"/>
        <v/>
      </c>
      <c r="AK115" s="7">
        <f t="shared" si="592"/>
        <v>0</v>
      </c>
      <c r="AL115" s="56">
        <f t="shared" si="593"/>
        <v>0</v>
      </c>
      <c r="AM115" s="57">
        <f t="shared" si="594"/>
        <v>0</v>
      </c>
      <c r="AN115" s="1">
        <f t="shared" si="595"/>
        <v>0</v>
      </c>
      <c r="AO115" s="3" t="str">
        <f>AO56</f>
        <v>85QNED70A</v>
      </c>
      <c r="AP115" s="7">
        <f t="shared" si="596"/>
        <v>0</v>
      </c>
      <c r="AQ115" s="56">
        <f t="shared" si="597"/>
        <v>0</v>
      </c>
      <c r="AR115" s="57">
        <f t="shared" si="598"/>
        <v>0</v>
      </c>
      <c r="AS115" s="1" t="str">
        <f t="shared" si="599"/>
        <v/>
      </c>
      <c r="AT115" s="7">
        <f t="shared" si="600"/>
        <v>0</v>
      </c>
      <c r="AU115" s="56">
        <f t="shared" si="601"/>
        <v>0</v>
      </c>
      <c r="AV115" s="57">
        <f t="shared" si="602"/>
        <v>0</v>
      </c>
      <c r="AW115" s="1" t="str">
        <f t="shared" si="603"/>
        <v/>
      </c>
      <c r="AX115" s="7">
        <f t="shared" si="604"/>
        <v>0</v>
      </c>
      <c r="AY115" s="56">
        <f t="shared" si="605"/>
        <v>0</v>
      </c>
      <c r="AZ115" s="57">
        <f t="shared" si="606"/>
        <v>0</v>
      </c>
      <c r="BA115" s="1">
        <f t="shared" si="607"/>
        <v>0</v>
      </c>
      <c r="BB115" s="3" t="str">
        <f>BB56</f>
        <v>85QNED70A</v>
      </c>
      <c r="BC115" s="7">
        <f t="shared" si="608"/>
        <v>0</v>
      </c>
      <c r="BD115" s="56">
        <f t="shared" si="609"/>
        <v>0</v>
      </c>
      <c r="BE115" s="57">
        <f t="shared" si="610"/>
        <v>0</v>
      </c>
      <c r="BF115" s="1" t="str">
        <f t="shared" si="611"/>
        <v/>
      </c>
      <c r="BG115" s="7">
        <f t="shared" si="612"/>
        <v>0</v>
      </c>
      <c r="BH115" s="56">
        <f t="shared" si="613"/>
        <v>0</v>
      </c>
      <c r="BI115" s="57">
        <f t="shared" si="614"/>
        <v>0</v>
      </c>
      <c r="BJ115" s="1" t="str">
        <f t="shared" si="615"/>
        <v/>
      </c>
      <c r="BK115" s="7">
        <f t="shared" si="616"/>
        <v>0</v>
      </c>
      <c r="BL115" s="56">
        <f t="shared" si="617"/>
        <v>0</v>
      </c>
      <c r="BM115" s="57">
        <f t="shared" si="618"/>
        <v>0</v>
      </c>
      <c r="BN115" s="1">
        <f t="shared" si="619"/>
        <v>0</v>
      </c>
      <c r="BO115" s="3" t="str">
        <f>BO56</f>
        <v>85QNED70A</v>
      </c>
      <c r="BP115" s="7">
        <f t="shared" si="620"/>
        <v>0</v>
      </c>
      <c r="BQ115" s="56">
        <f t="shared" si="621"/>
        <v>0</v>
      </c>
      <c r="BR115" s="57">
        <f t="shared" si="622"/>
        <v>0</v>
      </c>
      <c r="BS115" s="1" t="str">
        <f t="shared" si="623"/>
        <v/>
      </c>
      <c r="BT115" s="7">
        <f t="shared" si="624"/>
        <v>0</v>
      </c>
      <c r="BU115" s="56">
        <f t="shared" si="625"/>
        <v>0</v>
      </c>
      <c r="BV115" s="57">
        <f t="shared" si="626"/>
        <v>0</v>
      </c>
      <c r="BW115" s="1" t="str">
        <f t="shared" si="627"/>
        <v/>
      </c>
      <c r="BX115" s="7">
        <f t="shared" si="628"/>
        <v>0</v>
      </c>
      <c r="BY115" s="56">
        <f t="shared" si="629"/>
        <v>0</v>
      </c>
      <c r="BZ115" s="57">
        <f t="shared" si="630"/>
        <v>0</v>
      </c>
      <c r="CA115" s="1">
        <f t="shared" si="631"/>
        <v>0</v>
      </c>
      <c r="CB115" s="3" t="str">
        <f>CB56</f>
        <v>85QNED70A</v>
      </c>
      <c r="CC115" s="7">
        <f t="shared" si="632"/>
        <v>0</v>
      </c>
      <c r="CD115" s="56">
        <f t="shared" si="633"/>
        <v>0</v>
      </c>
      <c r="CE115" s="57">
        <f t="shared" si="634"/>
        <v>0</v>
      </c>
      <c r="CF115" s="1" t="str">
        <f t="shared" si="635"/>
        <v/>
      </c>
      <c r="CG115" s="7">
        <f t="shared" si="636"/>
        <v>0</v>
      </c>
      <c r="CH115" s="56">
        <f t="shared" si="637"/>
        <v>0</v>
      </c>
      <c r="CI115" s="57">
        <f t="shared" si="638"/>
        <v>0</v>
      </c>
      <c r="CJ115" s="1" t="str">
        <f t="shared" si="639"/>
        <v/>
      </c>
      <c r="CK115" s="7">
        <f t="shared" si="640"/>
        <v>0</v>
      </c>
      <c r="CL115" s="56">
        <f t="shared" si="641"/>
        <v>0</v>
      </c>
      <c r="CM115" s="57">
        <f t="shared" si="642"/>
        <v>0</v>
      </c>
      <c r="CN115" s="1">
        <f t="shared" si="643"/>
        <v>0</v>
      </c>
      <c r="CO115" s="3" t="str">
        <f>CO56</f>
        <v>85QNED70A</v>
      </c>
      <c r="CP115" s="7">
        <f t="shared" si="644"/>
        <v>0</v>
      </c>
      <c r="CQ115" s="56">
        <f t="shared" si="645"/>
        <v>0</v>
      </c>
      <c r="CR115" s="57">
        <f t="shared" si="646"/>
        <v>0</v>
      </c>
      <c r="CS115" s="1" t="str">
        <f t="shared" si="647"/>
        <v/>
      </c>
      <c r="CT115" s="7">
        <f t="shared" si="648"/>
        <v>0</v>
      </c>
      <c r="CU115" s="56">
        <f t="shared" si="649"/>
        <v>0</v>
      </c>
      <c r="CV115" s="57">
        <f t="shared" si="650"/>
        <v>0</v>
      </c>
      <c r="CW115" s="1" t="str">
        <f t="shared" si="651"/>
        <v/>
      </c>
      <c r="CX115" s="7">
        <f t="shared" si="652"/>
        <v>0</v>
      </c>
      <c r="CY115" s="56">
        <f t="shared" si="653"/>
        <v>0</v>
      </c>
      <c r="CZ115" s="57">
        <f t="shared" si="654"/>
        <v>0</v>
      </c>
      <c r="DA115" s="1">
        <f t="shared" si="655"/>
        <v>0</v>
      </c>
      <c r="DB115" s="3" t="str">
        <f>DB56</f>
        <v>85QNED70A</v>
      </c>
      <c r="DC115" s="7">
        <f t="shared" si="656"/>
        <v>0</v>
      </c>
      <c r="DD115" s="56">
        <f t="shared" si="657"/>
        <v>0</v>
      </c>
      <c r="DE115" s="57">
        <f t="shared" si="658"/>
        <v>0</v>
      </c>
      <c r="DF115" s="1" t="str">
        <f t="shared" si="659"/>
        <v/>
      </c>
      <c r="DG115" s="7">
        <f t="shared" si="660"/>
        <v>0</v>
      </c>
      <c r="DH115" s="56">
        <f t="shared" si="661"/>
        <v>0</v>
      </c>
      <c r="DI115" s="57">
        <f t="shared" si="662"/>
        <v>0</v>
      </c>
      <c r="DJ115" s="1" t="str">
        <f t="shared" si="663"/>
        <v/>
      </c>
      <c r="DK115" s="7">
        <f t="shared" si="664"/>
        <v>0</v>
      </c>
      <c r="DL115" s="56">
        <f t="shared" si="665"/>
        <v>0</v>
      </c>
      <c r="DM115" s="57">
        <f t="shared" si="666"/>
        <v>0</v>
      </c>
      <c r="DN115" s="1">
        <f t="shared" si="667"/>
        <v>0</v>
      </c>
      <c r="DO115" s="3" t="str">
        <f>DO56</f>
        <v>85QNED70A</v>
      </c>
      <c r="DP115" s="7">
        <f t="shared" si="668"/>
        <v>0</v>
      </c>
      <c r="DQ115" s="56">
        <f t="shared" si="669"/>
        <v>0</v>
      </c>
      <c r="DR115" s="57">
        <f t="shared" si="670"/>
        <v>0</v>
      </c>
      <c r="DS115" s="1" t="str">
        <f t="shared" si="671"/>
        <v/>
      </c>
      <c r="DT115" s="7">
        <f t="shared" si="672"/>
        <v>0</v>
      </c>
      <c r="DU115" s="56">
        <f t="shared" si="673"/>
        <v>0</v>
      </c>
      <c r="DV115" s="57">
        <f t="shared" si="674"/>
        <v>0</v>
      </c>
      <c r="DW115" s="1" t="str">
        <f t="shared" si="675"/>
        <v/>
      </c>
      <c r="DX115" s="7">
        <f t="shared" si="676"/>
        <v>0</v>
      </c>
      <c r="DY115" s="56">
        <f t="shared" si="677"/>
        <v>0</v>
      </c>
      <c r="DZ115" s="57">
        <f t="shared" si="678"/>
        <v>0</v>
      </c>
      <c r="EA115" s="1">
        <f t="shared" si="679"/>
        <v>0</v>
      </c>
      <c r="EB115" s="3" t="str">
        <f>EB56</f>
        <v>85QNED70A</v>
      </c>
      <c r="EC115" s="7">
        <f t="shared" si="680"/>
        <v>0</v>
      </c>
      <c r="ED115" s="56">
        <f t="shared" si="681"/>
        <v>0</v>
      </c>
      <c r="EE115" s="57">
        <f t="shared" si="682"/>
        <v>0</v>
      </c>
      <c r="EF115" s="1" t="str">
        <f t="shared" si="683"/>
        <v/>
      </c>
      <c r="EG115" s="7">
        <f t="shared" si="684"/>
        <v>0</v>
      </c>
      <c r="EH115" s="56">
        <f t="shared" si="685"/>
        <v>0</v>
      </c>
      <c r="EI115" s="57">
        <f t="shared" si="686"/>
        <v>0</v>
      </c>
      <c r="EJ115" s="1" t="str">
        <f t="shared" si="687"/>
        <v/>
      </c>
      <c r="EK115" s="7">
        <f t="shared" si="688"/>
        <v>0</v>
      </c>
      <c r="EL115" s="56">
        <f t="shared" si="689"/>
        <v>0</v>
      </c>
      <c r="EM115" s="57">
        <f t="shared" si="690"/>
        <v>0</v>
      </c>
      <c r="EN115" s="1">
        <f t="shared" si="691"/>
        <v>0</v>
      </c>
    </row>
    <row r="116" spans="2:144" hidden="1" x14ac:dyDescent="0.3">
      <c r="B116" s="13" t="str">
        <f>B73</f>
        <v>86UA75</v>
      </c>
      <c r="C116" s="9">
        <f t="shared" si="560"/>
        <v>0</v>
      </c>
      <c r="D116" s="79">
        <f t="shared" si="561"/>
        <v>0</v>
      </c>
      <c r="E116" s="80">
        <f t="shared" si="562"/>
        <v>0</v>
      </c>
      <c r="F116" s="4" t="str">
        <f t="shared" si="563"/>
        <v/>
      </c>
      <c r="G116" s="9">
        <f t="shared" si="564"/>
        <v>999</v>
      </c>
      <c r="H116" s="79">
        <f t="shared" si="565"/>
        <v>999</v>
      </c>
      <c r="I116" s="80">
        <f t="shared" si="566"/>
        <v>0</v>
      </c>
      <c r="J116" s="4">
        <f t="shared" si="567"/>
        <v>80.629539951573847</v>
      </c>
      <c r="K116" s="9">
        <f t="shared" si="568"/>
        <v>1045</v>
      </c>
      <c r="L116" s="79">
        <f t="shared" si="569"/>
        <v>1045</v>
      </c>
      <c r="M116" s="80">
        <f t="shared" si="570"/>
        <v>0</v>
      </c>
      <c r="N116" s="4">
        <f t="shared" si="571"/>
        <v>99.618684461391808</v>
      </c>
      <c r="O116" s="13" t="str">
        <f>O73</f>
        <v>86UA75</v>
      </c>
      <c r="P116" s="9">
        <f t="shared" si="572"/>
        <v>0</v>
      </c>
      <c r="Q116" s="79">
        <f t="shared" si="573"/>
        <v>0</v>
      </c>
      <c r="R116" s="80">
        <f t="shared" si="574"/>
        <v>0</v>
      </c>
      <c r="S116" s="4">
        <f t="shared" si="575"/>
        <v>0</v>
      </c>
      <c r="T116" s="9">
        <f t="shared" si="576"/>
        <v>999</v>
      </c>
      <c r="U116" s="79">
        <f t="shared" si="577"/>
        <v>999</v>
      </c>
      <c r="V116" s="80">
        <f t="shared" si="578"/>
        <v>0</v>
      </c>
      <c r="W116" s="4" t="str">
        <f t="shared" si="579"/>
        <v/>
      </c>
      <c r="X116" s="9">
        <f t="shared" si="580"/>
        <v>1087</v>
      </c>
      <c r="Y116" s="79">
        <f t="shared" si="581"/>
        <v>1087</v>
      </c>
      <c r="Z116" s="80">
        <f t="shared" si="582"/>
        <v>0</v>
      </c>
      <c r="AA116" s="4">
        <f t="shared" si="583"/>
        <v>92.431972789115648</v>
      </c>
      <c r="AB116" s="13" t="str">
        <f>AB73</f>
        <v>86UA75</v>
      </c>
      <c r="AC116" s="9">
        <f t="shared" si="584"/>
        <v>0</v>
      </c>
      <c r="AD116" s="79">
        <f t="shared" si="585"/>
        <v>0</v>
      </c>
      <c r="AE116" s="80">
        <f t="shared" si="586"/>
        <v>0</v>
      </c>
      <c r="AF116" s="4" t="str">
        <f t="shared" si="587"/>
        <v/>
      </c>
      <c r="AG116" s="9">
        <f t="shared" si="588"/>
        <v>0</v>
      </c>
      <c r="AH116" s="79">
        <f t="shared" si="589"/>
        <v>0</v>
      </c>
      <c r="AI116" s="80">
        <f t="shared" si="590"/>
        <v>0</v>
      </c>
      <c r="AJ116" s="4" t="str">
        <f t="shared" si="591"/>
        <v/>
      </c>
      <c r="AK116" s="9">
        <f t="shared" si="592"/>
        <v>0</v>
      </c>
      <c r="AL116" s="79">
        <f t="shared" si="593"/>
        <v>0</v>
      </c>
      <c r="AM116" s="80">
        <f t="shared" si="594"/>
        <v>0</v>
      </c>
      <c r="AN116" s="4" t="str">
        <f t="shared" si="595"/>
        <v/>
      </c>
      <c r="AO116" s="13" t="str">
        <f>AO73</f>
        <v>86UA75</v>
      </c>
      <c r="AP116" s="9">
        <f t="shared" si="596"/>
        <v>0</v>
      </c>
      <c r="AQ116" s="79">
        <f t="shared" si="597"/>
        <v>0</v>
      </c>
      <c r="AR116" s="80">
        <f t="shared" si="598"/>
        <v>0</v>
      </c>
      <c r="AS116" s="4">
        <f t="shared" si="599"/>
        <v>0</v>
      </c>
      <c r="AT116" s="9">
        <f t="shared" si="600"/>
        <v>0</v>
      </c>
      <c r="AU116" s="79">
        <f t="shared" si="601"/>
        <v>0</v>
      </c>
      <c r="AV116" s="80">
        <f t="shared" si="602"/>
        <v>0</v>
      </c>
      <c r="AW116" s="4" t="str">
        <f t="shared" si="603"/>
        <v/>
      </c>
      <c r="AX116" s="9">
        <f t="shared" si="604"/>
        <v>0</v>
      </c>
      <c r="AY116" s="79">
        <f t="shared" si="605"/>
        <v>0</v>
      </c>
      <c r="AZ116" s="80">
        <f t="shared" si="606"/>
        <v>0</v>
      </c>
      <c r="BA116" s="4" t="str">
        <f t="shared" si="607"/>
        <v/>
      </c>
      <c r="BB116" s="13" t="str">
        <f>BB73</f>
        <v>86UA75</v>
      </c>
      <c r="BC116" s="9">
        <f t="shared" si="608"/>
        <v>0</v>
      </c>
      <c r="BD116" s="79">
        <f t="shared" si="609"/>
        <v>0</v>
      </c>
      <c r="BE116" s="80">
        <f t="shared" si="610"/>
        <v>0</v>
      </c>
      <c r="BF116" s="4">
        <f t="shared" si="611"/>
        <v>0</v>
      </c>
      <c r="BG116" s="9">
        <f t="shared" si="612"/>
        <v>0</v>
      </c>
      <c r="BH116" s="79">
        <f t="shared" si="613"/>
        <v>0</v>
      </c>
      <c r="BI116" s="80">
        <f t="shared" si="614"/>
        <v>0</v>
      </c>
      <c r="BJ116" s="4" t="str">
        <f t="shared" si="615"/>
        <v/>
      </c>
      <c r="BK116" s="9">
        <f t="shared" si="616"/>
        <v>0</v>
      </c>
      <c r="BL116" s="79">
        <f t="shared" si="617"/>
        <v>0</v>
      </c>
      <c r="BM116" s="80">
        <f t="shared" si="618"/>
        <v>0</v>
      </c>
      <c r="BN116" s="4" t="str">
        <f t="shared" si="619"/>
        <v/>
      </c>
      <c r="BO116" s="13" t="str">
        <f>BO73</f>
        <v>86UA75</v>
      </c>
      <c r="BP116" s="9">
        <f t="shared" si="620"/>
        <v>0</v>
      </c>
      <c r="BQ116" s="79">
        <f t="shared" si="621"/>
        <v>0</v>
      </c>
      <c r="BR116" s="80">
        <f t="shared" si="622"/>
        <v>0</v>
      </c>
      <c r="BS116" s="4">
        <f t="shared" si="623"/>
        <v>0</v>
      </c>
      <c r="BT116" s="9">
        <f t="shared" si="624"/>
        <v>0</v>
      </c>
      <c r="BU116" s="79">
        <f t="shared" si="625"/>
        <v>0</v>
      </c>
      <c r="BV116" s="80">
        <f t="shared" si="626"/>
        <v>0</v>
      </c>
      <c r="BW116" s="4" t="str">
        <f t="shared" si="627"/>
        <v/>
      </c>
      <c r="BX116" s="9">
        <f t="shared" si="628"/>
        <v>0</v>
      </c>
      <c r="BY116" s="79">
        <f t="shared" si="629"/>
        <v>0</v>
      </c>
      <c r="BZ116" s="80">
        <f t="shared" si="630"/>
        <v>0</v>
      </c>
      <c r="CA116" s="4" t="str">
        <f t="shared" si="631"/>
        <v/>
      </c>
      <c r="CB116" s="13" t="str">
        <f>CB73</f>
        <v>86UA75</v>
      </c>
      <c r="CC116" s="9">
        <f t="shared" si="632"/>
        <v>0</v>
      </c>
      <c r="CD116" s="79">
        <f t="shared" si="633"/>
        <v>0</v>
      </c>
      <c r="CE116" s="80">
        <f t="shared" si="634"/>
        <v>0</v>
      </c>
      <c r="CF116" s="4">
        <f t="shared" si="635"/>
        <v>0</v>
      </c>
      <c r="CG116" s="9">
        <f t="shared" si="636"/>
        <v>0</v>
      </c>
      <c r="CH116" s="79">
        <f t="shared" si="637"/>
        <v>0</v>
      </c>
      <c r="CI116" s="80">
        <f t="shared" si="638"/>
        <v>0</v>
      </c>
      <c r="CJ116" s="4" t="str">
        <f t="shared" si="639"/>
        <v/>
      </c>
      <c r="CK116" s="9">
        <f t="shared" si="640"/>
        <v>0</v>
      </c>
      <c r="CL116" s="79">
        <f t="shared" si="641"/>
        <v>0</v>
      </c>
      <c r="CM116" s="80">
        <f t="shared" si="642"/>
        <v>0</v>
      </c>
      <c r="CN116" s="4" t="str">
        <f t="shared" si="643"/>
        <v/>
      </c>
      <c r="CO116" s="13" t="str">
        <f>CO73</f>
        <v>86UA75</v>
      </c>
      <c r="CP116" s="9">
        <f t="shared" si="644"/>
        <v>0</v>
      </c>
      <c r="CQ116" s="79">
        <f t="shared" si="645"/>
        <v>0</v>
      </c>
      <c r="CR116" s="80">
        <f t="shared" si="646"/>
        <v>0</v>
      </c>
      <c r="CS116" s="4">
        <f t="shared" si="647"/>
        <v>0</v>
      </c>
      <c r="CT116" s="9">
        <f t="shared" si="648"/>
        <v>0</v>
      </c>
      <c r="CU116" s="79">
        <f t="shared" si="649"/>
        <v>0</v>
      </c>
      <c r="CV116" s="80">
        <f t="shared" si="650"/>
        <v>0</v>
      </c>
      <c r="CW116" s="4" t="str">
        <f t="shared" si="651"/>
        <v/>
      </c>
      <c r="CX116" s="9">
        <f t="shared" si="652"/>
        <v>0</v>
      </c>
      <c r="CY116" s="79">
        <f t="shared" si="653"/>
        <v>0</v>
      </c>
      <c r="CZ116" s="80">
        <f t="shared" si="654"/>
        <v>0</v>
      </c>
      <c r="DA116" s="4" t="str">
        <f t="shared" si="655"/>
        <v/>
      </c>
      <c r="DB116" s="13" t="str">
        <f>DB73</f>
        <v>86UA75</v>
      </c>
      <c r="DC116" s="9">
        <f t="shared" si="656"/>
        <v>0</v>
      </c>
      <c r="DD116" s="79">
        <f t="shared" si="657"/>
        <v>0</v>
      </c>
      <c r="DE116" s="80">
        <f t="shared" si="658"/>
        <v>0</v>
      </c>
      <c r="DF116" s="4">
        <f t="shared" si="659"/>
        <v>0</v>
      </c>
      <c r="DG116" s="9">
        <f t="shared" si="660"/>
        <v>0</v>
      </c>
      <c r="DH116" s="79">
        <f t="shared" si="661"/>
        <v>0</v>
      </c>
      <c r="DI116" s="80">
        <f t="shared" si="662"/>
        <v>0</v>
      </c>
      <c r="DJ116" s="4" t="str">
        <f t="shared" si="663"/>
        <v/>
      </c>
      <c r="DK116" s="9">
        <f t="shared" si="664"/>
        <v>0</v>
      </c>
      <c r="DL116" s="79">
        <f t="shared" si="665"/>
        <v>0</v>
      </c>
      <c r="DM116" s="80">
        <f t="shared" si="666"/>
        <v>0</v>
      </c>
      <c r="DN116" s="4" t="str">
        <f t="shared" si="667"/>
        <v/>
      </c>
      <c r="DO116" s="13" t="str">
        <f>DO73</f>
        <v>86UA75</v>
      </c>
      <c r="DP116" s="9">
        <f t="shared" si="668"/>
        <v>0</v>
      </c>
      <c r="DQ116" s="79">
        <f t="shared" si="669"/>
        <v>0</v>
      </c>
      <c r="DR116" s="80">
        <f t="shared" si="670"/>
        <v>0</v>
      </c>
      <c r="DS116" s="4">
        <f t="shared" si="671"/>
        <v>0</v>
      </c>
      <c r="DT116" s="9">
        <f t="shared" si="672"/>
        <v>0</v>
      </c>
      <c r="DU116" s="79">
        <f t="shared" si="673"/>
        <v>0</v>
      </c>
      <c r="DV116" s="80">
        <f t="shared" si="674"/>
        <v>0</v>
      </c>
      <c r="DW116" s="4" t="str">
        <f t="shared" si="675"/>
        <v/>
      </c>
      <c r="DX116" s="9">
        <f t="shared" si="676"/>
        <v>0</v>
      </c>
      <c r="DY116" s="79">
        <f t="shared" si="677"/>
        <v>0</v>
      </c>
      <c r="DZ116" s="80">
        <f t="shared" si="678"/>
        <v>0</v>
      </c>
      <c r="EA116" s="4" t="str">
        <f t="shared" si="679"/>
        <v/>
      </c>
      <c r="EB116" s="13" t="str">
        <f>EB73</f>
        <v>86UA75</v>
      </c>
      <c r="EC116" s="9">
        <f t="shared" si="680"/>
        <v>0</v>
      </c>
      <c r="ED116" s="79">
        <f t="shared" si="681"/>
        <v>0</v>
      </c>
      <c r="EE116" s="80">
        <f t="shared" si="682"/>
        <v>0</v>
      </c>
      <c r="EF116" s="4">
        <f t="shared" si="683"/>
        <v>0</v>
      </c>
      <c r="EG116" s="9">
        <f t="shared" si="684"/>
        <v>0</v>
      </c>
      <c r="EH116" s="79">
        <f t="shared" si="685"/>
        <v>0</v>
      </c>
      <c r="EI116" s="80">
        <f t="shared" si="686"/>
        <v>0</v>
      </c>
      <c r="EJ116" s="4" t="str">
        <f t="shared" si="687"/>
        <v/>
      </c>
      <c r="EK116" s="9">
        <f t="shared" si="688"/>
        <v>0</v>
      </c>
      <c r="EL116" s="79">
        <f t="shared" si="689"/>
        <v>0</v>
      </c>
      <c r="EM116" s="80">
        <f t="shared" si="690"/>
        <v>0</v>
      </c>
      <c r="EN116" s="4" t="str">
        <f t="shared" si="691"/>
        <v/>
      </c>
    </row>
  </sheetData>
  <mergeCells count="99">
    <mergeCell ref="EB87:EN87"/>
    <mergeCell ref="EC88:EF88"/>
    <mergeCell ref="EG88:EJ88"/>
    <mergeCell ref="EK88:EN88"/>
    <mergeCell ref="EB2:EN2"/>
    <mergeCell ref="EB3:EB4"/>
    <mergeCell ref="EC3:EF3"/>
    <mergeCell ref="EG3:EJ3"/>
    <mergeCell ref="EK3:EN3"/>
    <mergeCell ref="CB87:CN87"/>
    <mergeCell ref="CC88:CF88"/>
    <mergeCell ref="CG88:CJ88"/>
    <mergeCell ref="CK88:CN88"/>
    <mergeCell ref="CB2:CN2"/>
    <mergeCell ref="CB3:CB4"/>
    <mergeCell ref="CC3:CF3"/>
    <mergeCell ref="CG3:CJ3"/>
    <mergeCell ref="CK3:CN3"/>
    <mergeCell ref="AO2:BA2"/>
    <mergeCell ref="AX88:BA88"/>
    <mergeCell ref="AT88:AW88"/>
    <mergeCell ref="AP88:AS88"/>
    <mergeCell ref="AO87:BA87"/>
    <mergeCell ref="AX3:BA3"/>
    <mergeCell ref="AT3:AW3"/>
    <mergeCell ref="AP3:AS3"/>
    <mergeCell ref="AO3:AO4"/>
    <mergeCell ref="B87:N87"/>
    <mergeCell ref="C88:F88"/>
    <mergeCell ref="G88:J88"/>
    <mergeCell ref="K88:N88"/>
    <mergeCell ref="B2:N2"/>
    <mergeCell ref="B3:B4"/>
    <mergeCell ref="C3:F3"/>
    <mergeCell ref="G3:J3"/>
    <mergeCell ref="K3:N3"/>
    <mergeCell ref="O87:AA87"/>
    <mergeCell ref="P88:S88"/>
    <mergeCell ref="T88:W88"/>
    <mergeCell ref="X88:AA88"/>
    <mergeCell ref="O2:AA2"/>
    <mergeCell ref="O3:O4"/>
    <mergeCell ref="P3:S3"/>
    <mergeCell ref="T3:W3"/>
    <mergeCell ref="X3:AA3"/>
    <mergeCell ref="AB87:AN87"/>
    <mergeCell ref="AC88:AF88"/>
    <mergeCell ref="AG88:AJ88"/>
    <mergeCell ref="AK88:AN88"/>
    <mergeCell ref="AB2:AN2"/>
    <mergeCell ref="AB3:AB4"/>
    <mergeCell ref="AC3:AF3"/>
    <mergeCell ref="AG3:AJ3"/>
    <mergeCell ref="AK3:AN3"/>
    <mergeCell ref="BB87:BN87"/>
    <mergeCell ref="BC88:BF88"/>
    <mergeCell ref="BG88:BJ88"/>
    <mergeCell ref="BK88:BN88"/>
    <mergeCell ref="BB2:BN2"/>
    <mergeCell ref="BB3:BB4"/>
    <mergeCell ref="BC3:BF3"/>
    <mergeCell ref="BG3:BJ3"/>
    <mergeCell ref="BK3:BN3"/>
    <mergeCell ref="BO87:CA87"/>
    <mergeCell ref="BP88:BS88"/>
    <mergeCell ref="BT88:BW88"/>
    <mergeCell ref="BX88:CA88"/>
    <mergeCell ref="BO2:CA2"/>
    <mergeCell ref="BO3:BO4"/>
    <mergeCell ref="BP3:BS3"/>
    <mergeCell ref="BT3:BW3"/>
    <mergeCell ref="BX3:CA3"/>
    <mergeCell ref="CO87:DA87"/>
    <mergeCell ref="CP88:CS88"/>
    <mergeCell ref="CT88:CW88"/>
    <mergeCell ref="CX88:DA88"/>
    <mergeCell ref="CO2:DA2"/>
    <mergeCell ref="CO3:CO4"/>
    <mergeCell ref="CP3:CS3"/>
    <mergeCell ref="CT3:CW3"/>
    <mergeCell ref="CX3:DA3"/>
    <mergeCell ref="DB87:DN87"/>
    <mergeCell ref="DC88:DF88"/>
    <mergeCell ref="DG88:DJ88"/>
    <mergeCell ref="DK88:DN88"/>
    <mergeCell ref="DB2:DN2"/>
    <mergeCell ref="DB3:DB4"/>
    <mergeCell ref="DC3:DF3"/>
    <mergeCell ref="DG3:DJ3"/>
    <mergeCell ref="DK3:DN3"/>
    <mergeCell ref="DO87:EA87"/>
    <mergeCell ref="DP88:DS88"/>
    <mergeCell ref="DT88:DW88"/>
    <mergeCell ref="DX88:EA88"/>
    <mergeCell ref="DO2:EA2"/>
    <mergeCell ref="DO3:DO4"/>
    <mergeCell ref="DP3:DS3"/>
    <mergeCell ref="DT3:DW3"/>
    <mergeCell ref="DX3:EA3"/>
  </mergeCells>
  <phoneticPr fontId="2" type="noConversion"/>
  <conditionalFormatting sqref="F5:F116">
    <cfRule type="cellIs" dxfId="65" priority="461" operator="lessThan">
      <formula>95</formula>
    </cfRule>
    <cfRule type="cellIs" dxfId="64" priority="462" operator="greaterThanOrEqual">
      <formula>95</formula>
    </cfRule>
  </conditionalFormatting>
  <conditionalFormatting sqref="J5:J116">
    <cfRule type="cellIs" dxfId="63" priority="463" operator="lessThan">
      <formula>95</formula>
    </cfRule>
    <cfRule type="cellIs" dxfId="62" priority="464" operator="greaterThanOrEqual">
      <formula>95</formula>
    </cfRule>
  </conditionalFormatting>
  <conditionalFormatting sqref="N5:N116">
    <cfRule type="cellIs" dxfId="61" priority="465" operator="lessThan">
      <formula>95</formula>
    </cfRule>
    <cfRule type="cellIs" dxfId="60" priority="466" operator="greaterThanOrEqual">
      <formula>95</formula>
    </cfRule>
  </conditionalFormatting>
  <conditionalFormatting sqref="S5:S116">
    <cfRule type="cellIs" dxfId="59" priority="467" operator="lessThan">
      <formula>95</formula>
    </cfRule>
    <cfRule type="cellIs" dxfId="58" priority="468" operator="greaterThanOrEqual">
      <formula>95</formula>
    </cfRule>
  </conditionalFormatting>
  <conditionalFormatting sqref="W5:W116">
    <cfRule type="cellIs" dxfId="57" priority="469" operator="lessThan">
      <formula>95</formula>
    </cfRule>
    <cfRule type="cellIs" dxfId="56" priority="470" operator="greaterThanOrEqual">
      <formula>95</formula>
    </cfRule>
  </conditionalFormatting>
  <conditionalFormatting sqref="AA5:AA116">
    <cfRule type="cellIs" dxfId="55" priority="471" operator="lessThan">
      <formula>95</formula>
    </cfRule>
    <cfRule type="cellIs" dxfId="54" priority="472" operator="greaterThanOrEqual">
      <formula>95</formula>
    </cfRule>
  </conditionalFormatting>
  <conditionalFormatting sqref="AF5:AF116">
    <cfRule type="cellIs" dxfId="53" priority="473" operator="lessThan">
      <formula>95</formula>
    </cfRule>
    <cfRule type="cellIs" dxfId="52" priority="474" operator="greaterThanOrEqual">
      <formula>95</formula>
    </cfRule>
  </conditionalFormatting>
  <conditionalFormatting sqref="AJ5:AJ116">
    <cfRule type="cellIs" dxfId="51" priority="475" operator="lessThan">
      <formula>95</formula>
    </cfRule>
    <cfRule type="cellIs" dxfId="50" priority="476" operator="greaterThanOrEqual">
      <formula>95</formula>
    </cfRule>
  </conditionalFormatting>
  <conditionalFormatting sqref="AN5:AN116">
    <cfRule type="cellIs" dxfId="49" priority="477" operator="lessThan">
      <formula>95</formula>
    </cfRule>
    <cfRule type="cellIs" dxfId="48" priority="478" operator="greaterThanOrEqual">
      <formula>95</formula>
    </cfRule>
  </conditionalFormatting>
  <conditionalFormatting sqref="AS5:AS116">
    <cfRule type="cellIs" dxfId="47" priority="479" operator="lessThan">
      <formula>95</formula>
    </cfRule>
    <cfRule type="cellIs" dxfId="46" priority="480" operator="greaterThanOrEqual">
      <formula>95</formula>
    </cfRule>
  </conditionalFormatting>
  <conditionalFormatting sqref="AW5:AW116">
    <cfRule type="cellIs" dxfId="45" priority="481" operator="lessThan">
      <formula>95</formula>
    </cfRule>
    <cfRule type="cellIs" dxfId="44" priority="482" operator="greaterThanOrEqual">
      <formula>95</formula>
    </cfRule>
  </conditionalFormatting>
  <conditionalFormatting sqref="BA5:BA116">
    <cfRule type="cellIs" dxfId="43" priority="483" operator="lessThan">
      <formula>95</formula>
    </cfRule>
    <cfRule type="cellIs" dxfId="42" priority="484" operator="greaterThanOrEqual">
      <formula>95</formula>
    </cfRule>
  </conditionalFormatting>
  <conditionalFormatting sqref="BF5:BF116">
    <cfRule type="cellIs" dxfId="41" priority="485" operator="lessThan">
      <formula>95</formula>
    </cfRule>
    <cfRule type="cellIs" dxfId="40" priority="486" operator="greaterThanOrEqual">
      <formula>95</formula>
    </cfRule>
  </conditionalFormatting>
  <conditionalFormatting sqref="BJ5:BJ116">
    <cfRule type="cellIs" dxfId="39" priority="487" operator="lessThan">
      <formula>95</formula>
    </cfRule>
    <cfRule type="cellIs" dxfId="38" priority="488" operator="greaterThanOrEqual">
      <formula>95</formula>
    </cfRule>
  </conditionalFormatting>
  <conditionalFormatting sqref="BN5:BN116">
    <cfRule type="cellIs" dxfId="37" priority="489" operator="lessThan">
      <formula>95</formula>
    </cfRule>
    <cfRule type="cellIs" dxfId="36" priority="490" operator="greaterThanOrEqual">
      <formula>95</formula>
    </cfRule>
  </conditionalFormatting>
  <conditionalFormatting sqref="BS5:BS116">
    <cfRule type="cellIs" dxfId="35" priority="491" operator="lessThan">
      <formula>95</formula>
    </cfRule>
    <cfRule type="cellIs" dxfId="34" priority="492" operator="greaterThanOrEqual">
      <formula>95</formula>
    </cfRule>
  </conditionalFormatting>
  <conditionalFormatting sqref="BW5:BW116">
    <cfRule type="cellIs" dxfId="33" priority="493" operator="lessThan">
      <formula>95</formula>
    </cfRule>
    <cfRule type="cellIs" dxfId="32" priority="494" operator="greaterThanOrEqual">
      <formula>95</formula>
    </cfRule>
  </conditionalFormatting>
  <conditionalFormatting sqref="CA5:CA116">
    <cfRule type="cellIs" dxfId="31" priority="495" operator="lessThan">
      <formula>95</formula>
    </cfRule>
    <cfRule type="cellIs" dxfId="30" priority="496" operator="greaterThanOrEqual">
      <formula>95</formula>
    </cfRule>
  </conditionalFormatting>
  <conditionalFormatting sqref="CF5:CF116">
    <cfRule type="cellIs" dxfId="29" priority="497" operator="lessThan">
      <formula>95</formula>
    </cfRule>
    <cfRule type="cellIs" dxfId="28" priority="498" operator="greaterThanOrEqual">
      <formula>95</formula>
    </cfRule>
  </conditionalFormatting>
  <conditionalFormatting sqref="CJ5:CJ116">
    <cfRule type="cellIs" dxfId="27" priority="499" operator="lessThan">
      <formula>95</formula>
    </cfRule>
    <cfRule type="cellIs" dxfId="26" priority="500" operator="greaterThanOrEqual">
      <formula>95</formula>
    </cfRule>
  </conditionalFormatting>
  <conditionalFormatting sqref="CN5:CN116">
    <cfRule type="cellIs" dxfId="25" priority="502" operator="greaterThanOrEqual">
      <formula>95</formula>
    </cfRule>
    <cfRule type="cellIs" dxfId="24" priority="501" operator="lessThan">
      <formula>95</formula>
    </cfRule>
  </conditionalFormatting>
  <conditionalFormatting sqref="CS5:CS116">
    <cfRule type="cellIs" dxfId="23" priority="504" operator="greaterThanOrEqual">
      <formula>95</formula>
    </cfRule>
    <cfRule type="cellIs" dxfId="22" priority="503" operator="lessThan">
      <formula>95</formula>
    </cfRule>
  </conditionalFormatting>
  <conditionalFormatting sqref="CW5:CW116">
    <cfRule type="cellIs" dxfId="21" priority="506" operator="greaterThanOrEqual">
      <formula>95</formula>
    </cfRule>
    <cfRule type="cellIs" dxfId="20" priority="505" operator="lessThan">
      <formula>95</formula>
    </cfRule>
  </conditionalFormatting>
  <conditionalFormatting sqref="DA5:DA116">
    <cfRule type="cellIs" dxfId="19" priority="507" operator="lessThan">
      <formula>95</formula>
    </cfRule>
    <cfRule type="cellIs" dxfId="18" priority="508" operator="greaterThanOrEqual">
      <formula>95</formula>
    </cfRule>
  </conditionalFormatting>
  <conditionalFormatting sqref="DF5:DF116">
    <cfRule type="cellIs" dxfId="17" priority="509" operator="lessThan">
      <formula>95</formula>
    </cfRule>
    <cfRule type="cellIs" dxfId="16" priority="510" operator="greaterThanOrEqual">
      <formula>95</formula>
    </cfRule>
  </conditionalFormatting>
  <conditionalFormatting sqref="DJ5:DJ116">
    <cfRule type="cellIs" dxfId="15" priority="511" operator="lessThan">
      <formula>95</formula>
    </cfRule>
    <cfRule type="cellIs" dxfId="14" priority="512" operator="greaterThanOrEqual">
      <formula>95</formula>
    </cfRule>
  </conditionalFormatting>
  <conditionalFormatting sqref="DN5:DN116">
    <cfRule type="cellIs" dxfId="13" priority="513" operator="lessThan">
      <formula>95</formula>
    </cfRule>
    <cfRule type="cellIs" dxfId="12" priority="514" operator="greaterThanOrEqual">
      <formula>95</formula>
    </cfRule>
  </conditionalFormatting>
  <conditionalFormatting sqref="DS5:DS116">
    <cfRule type="cellIs" dxfId="11" priority="515" operator="lessThan">
      <formula>95</formula>
    </cfRule>
    <cfRule type="cellIs" dxfId="10" priority="516" operator="greaterThanOrEqual">
      <formula>95</formula>
    </cfRule>
  </conditionalFormatting>
  <conditionalFormatting sqref="DW5:DW116">
    <cfRule type="cellIs" dxfId="9" priority="517" operator="lessThan">
      <formula>95</formula>
    </cfRule>
    <cfRule type="cellIs" dxfId="8" priority="518" operator="greaterThanOrEqual">
      <formula>95</formula>
    </cfRule>
  </conditionalFormatting>
  <conditionalFormatting sqref="EA5:EA116">
    <cfRule type="cellIs" dxfId="7" priority="520" operator="greaterThanOrEqual">
      <formula>95</formula>
    </cfRule>
    <cfRule type="cellIs" dxfId="6" priority="519" operator="lessThan">
      <formula>95</formula>
    </cfRule>
  </conditionalFormatting>
  <conditionalFormatting sqref="EF5:EF116">
    <cfRule type="cellIs" dxfId="5" priority="1" operator="lessThan">
      <formula>95</formula>
    </cfRule>
    <cfRule type="cellIs" dxfId="4" priority="2" operator="greaterThanOrEqual">
      <formula>95</formula>
    </cfRule>
  </conditionalFormatting>
  <conditionalFormatting sqref="EJ5:EJ116">
    <cfRule type="cellIs" dxfId="3" priority="4" operator="greaterThanOrEqual">
      <formula>95</formula>
    </cfRule>
    <cfRule type="cellIs" dxfId="2" priority="3" operator="lessThan">
      <formula>95</formula>
    </cfRule>
  </conditionalFormatting>
  <conditionalFormatting sqref="EN5:EN116">
    <cfRule type="cellIs" dxfId="1" priority="5" operator="lessThan">
      <formula>95</formula>
    </cfRule>
    <cfRule type="cellIs" dxfId="0" priority="6" operator="greaterThanOrEqual">
      <formula>95</formula>
    </cfRule>
  </conditionalFormatting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  <customProperties>
    <customPr name="_pios_id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Swiss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박대호/책임/TV유럽영업2팀</dc:creator>
  <cp:lastModifiedBy>박대호/책임/TV유럽영업2팀</cp:lastModifiedBy>
  <dcterms:created xsi:type="dcterms:W3CDTF">2025-08-18T23:21:52Z</dcterms:created>
  <dcterms:modified xsi:type="dcterms:W3CDTF">2026-07-03T01:02:40Z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2025-08-18T23:33:59Z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64318f3f-1c4e-4647-b75d-211c3b7a3270</vt:lpwstr>
  </property>
  <property fmtid="{D5CDD505-2E9C-101B-9397-08002B2CF9AE}" pid="8" name="MSIP_Label_cc6ed9fc-fefc-4a0c-a6d6-10cf236c0d4f_ContentBits">
    <vt:lpwstr>1</vt:lpwstr>
  </property>
</Properties>
</file>