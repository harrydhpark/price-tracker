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1B3A4B"/>
      <sz val="10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DCDB"/>
        <bgColor rgb="00F2DCD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2">
    <border>
      <left/>
      <right/>
      <top/>
      <bottom/>
      <diagonal/>
    </border>
    <border>
      <bottom style="medium">
        <color rgb="00000000"/>
      </bottom>
    </border>
    <border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/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/>
      <bottom style="medium">
        <color rgb="00000000"/>
      </bottom>
      <diagonal/>
    </border>
    <border>
      <right/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/>
    </xf>
    <xf numFmtId="3" fontId="2" fillId="0" borderId="3" applyAlignment="1" pivotButton="0" quotePrefix="0" xfId="0">
      <alignment horizontal="right" vertical="center"/>
    </xf>
    <xf numFmtId="3" fontId="3" fillId="0" borderId="3" applyAlignment="1" pivotButton="0" quotePrefix="0" xfId="0">
      <alignment horizontal="right" vertical="center"/>
    </xf>
    <xf numFmtId="9" fontId="3" fillId="0" borderId="3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9" pivotButton="0" quotePrefix="0" xfId="0"/>
    <xf numFmtId="0" fontId="1" fillId="2" borderId="10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3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0" fontId="6" fillId="0" borderId="2" pivotButton="0" quotePrefix="0" xfId="0"/>
    <xf numFmtId="9" fontId="0" fillId="0" borderId="2" pivotButton="0" quotePrefix="0" xfId="0"/>
    <xf numFmtId="0" fontId="7" fillId="0" borderId="2" pivotButton="0" quotePrefix="0" xfId="0"/>
    <xf numFmtId="0" fontId="8" fillId="0" borderId="2" pivotButton="0" quotePrefix="0" xfId="0"/>
    <xf numFmtId="0" fontId="6" fillId="2" borderId="10" applyAlignment="1" pivotButton="0" quotePrefix="0" xfId="0">
      <alignment horizontal="center"/>
    </xf>
    <xf numFmtId="0" fontId="9" fillId="2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1" fillId="7" borderId="11" applyAlignment="1" pivotButton="0" quotePrefix="0" xfId="0">
      <alignment horizontal="center" vertical="center"/>
    </xf>
    <xf numFmtId="0" fontId="12" fillId="7" borderId="11" applyAlignment="1" pivotButton="0" quotePrefix="0" xfId="0">
      <alignment horizontal="center" vertical="center"/>
    </xf>
    <xf numFmtId="3" fontId="12" fillId="7" borderId="11" applyAlignment="1" pivotButton="0" quotePrefix="0" xfId="0">
      <alignment horizontal="right" vertical="center"/>
    </xf>
    <xf numFmtId="9" fontId="12" fillId="7" borderId="11" applyAlignment="1" pivotButton="0" quotePrefix="0" xfId="0">
      <alignment horizontal="right" vertical="center"/>
    </xf>
    <xf numFmtId="0" fontId="0" fillId="8" borderId="11" pivotButton="0" quotePrefix="0" xfId="0"/>
    <xf numFmtId="0" fontId="4" fillId="8" borderId="11" applyAlignment="1" pivotButton="0" quotePrefix="0" xfId="0">
      <alignment horizontal="center" vertical="center"/>
    </xf>
    <xf numFmtId="0" fontId="5" fillId="8" borderId="11" applyAlignment="1" pivotButton="0" quotePrefix="0" xfId="0">
      <alignment horizontal="center" vertical="center"/>
    </xf>
    <xf numFmtId="3" fontId="5" fillId="8" borderId="11" applyAlignment="1" pivotButton="0" quotePrefix="0" xfId="0">
      <alignment horizontal="right" vertical="center"/>
    </xf>
    <xf numFmtId="9" fontId="5" fillId="8" borderId="11" applyAlignment="1" pivotButton="0" quotePrefix="0" xfId="0">
      <alignment horizontal="right" vertical="center"/>
    </xf>
    <xf numFmtId="0" fontId="13" fillId="9" borderId="11" applyAlignment="1" pivotButton="0" quotePrefix="0" xfId="0">
      <alignment horizontal="center" vertical="center"/>
    </xf>
    <xf numFmtId="0" fontId="12" fillId="7" borderId="11" pivotButton="0" quotePrefix="0" xfId="0"/>
    <xf numFmtId="0" fontId="12" fillId="7" borderId="11" applyAlignment="1" pivotButton="0" quotePrefix="0" xfId="0">
      <alignment horizontal="right" vertical="center"/>
    </xf>
    <xf numFmtId="0" fontId="5" fillId="8" borderId="11" pivotButton="0" quotePrefix="0" xfId="0"/>
    <xf numFmtId="0" fontId="5" fillId="8" borderId="1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C1" s="32" t="inlineStr">
        <is>
          <t>July(3rd)</t>
        </is>
      </c>
    </row>
    <row r="2">
      <c r="C2" s="2" t="inlineStr">
        <is>
          <t>MSH</t>
        </is>
      </c>
      <c r="H2" s="3" t="inlineStr">
        <is>
          <t>Interdiscount</t>
        </is>
      </c>
      <c r="M2" s="4" t="inlineStr">
        <is>
          <t>Digitec</t>
        </is>
      </c>
    </row>
    <row r="3" ht="25" customHeight="1">
      <c r="A3" s="33" t="inlineStr">
        <is>
          <t>Display</t>
        </is>
      </c>
      <c r="B3" s="33" t="inlineStr">
        <is>
          <t>Series</t>
        </is>
      </c>
      <c r="C3" s="33" t="inlineStr">
        <is>
          <t>Model</t>
        </is>
      </c>
      <c r="D3" s="33" t="inlineStr">
        <is>
          <t>Net Value</t>
        </is>
      </c>
      <c r="E3" s="33" t="inlineStr">
        <is>
          <t>판촉가</t>
        </is>
      </c>
      <c r="F3" s="33" t="inlineStr">
        <is>
          <t>Cashback</t>
        </is>
      </c>
      <c r="G3" s="33" t="inlineStr">
        <is>
          <t>ATA</t>
        </is>
      </c>
      <c r="H3" s="33" t="inlineStr">
        <is>
          <t>Model</t>
        </is>
      </c>
      <c r="I3" s="33" t="inlineStr">
        <is>
          <t>Net Value</t>
        </is>
      </c>
      <c r="J3" s="33" t="inlineStr">
        <is>
          <t>판촉가</t>
        </is>
      </c>
      <c r="K3" s="33" t="inlineStr">
        <is>
          <t>Cashback</t>
        </is>
      </c>
      <c r="L3" s="33" t="inlineStr">
        <is>
          <t>ATA</t>
        </is>
      </c>
      <c r="M3" s="33" t="inlineStr">
        <is>
          <t>Model</t>
        </is>
      </c>
      <c r="N3" s="33" t="inlineStr">
        <is>
          <t>Net Value</t>
        </is>
      </c>
      <c r="O3" s="33" t="inlineStr">
        <is>
          <t>판촉가</t>
        </is>
      </c>
      <c r="P3" s="33" t="inlineStr">
        <is>
          <t>Cashback</t>
        </is>
      </c>
      <c r="Q3" s="33" t="inlineStr">
        <is>
          <t>ATA</t>
        </is>
      </c>
    </row>
    <row r="4" ht="20" customHeight="1">
      <c r="A4" s="34" t="inlineStr">
        <is>
          <t>OLED</t>
        </is>
      </c>
      <c r="B4" s="34" t="inlineStr">
        <is>
          <t>83G5</t>
        </is>
      </c>
      <c r="C4" s="35" t="inlineStr">
        <is>
          <t>OLED83G57LW</t>
        </is>
      </c>
      <c r="D4" s="36">
        <f>E4-F4</f>
        <v/>
      </c>
      <c r="E4" s="36" t="n">
        <v>3899.95</v>
      </c>
      <c r="F4" s="36" t="n">
        <v>0</v>
      </c>
      <c r="G4" s="37">
        <f>IFERROR(E4/E4,"")</f>
        <v/>
      </c>
      <c r="H4" s="35" t="inlineStr"/>
      <c r="I4" s="36">
        <f>J4-K4</f>
        <v/>
      </c>
      <c r="J4" s="36" t="inlineStr"/>
      <c r="K4" s="36" t="inlineStr"/>
      <c r="L4" s="37">
        <f>IFERROR(J4/J4,"")</f>
        <v/>
      </c>
      <c r="M4" s="35" t="inlineStr">
        <is>
          <t>OLED83G58LW</t>
        </is>
      </c>
      <c r="N4" s="36">
        <f>O4-P4</f>
        <v/>
      </c>
      <c r="O4" s="36" t="n">
        <v>3699</v>
      </c>
      <c r="P4" s="36" t="n">
        <v>0</v>
      </c>
      <c r="Q4" s="37">
        <f>IFERROR(O4/O4,"")</f>
        <v/>
      </c>
    </row>
    <row r="5" ht="20" customHeight="1">
      <c r="A5" s="34" t="inlineStr">
        <is>
          <t>OLED</t>
        </is>
      </c>
      <c r="B5" s="34" t="inlineStr">
        <is>
          <t>77G5</t>
        </is>
      </c>
      <c r="C5" s="35" t="inlineStr">
        <is>
          <t>OLED77G57LW</t>
        </is>
      </c>
      <c r="D5" s="36">
        <f>E5-F5</f>
        <v/>
      </c>
      <c r="E5" s="36" t="n">
        <v>2699.95</v>
      </c>
      <c r="F5" s="36" t="n">
        <v>0</v>
      </c>
      <c r="G5" s="37">
        <f>IFERROR(E5/E5,"")</f>
        <v/>
      </c>
      <c r="H5" s="35" t="inlineStr">
        <is>
          <t>OLED77G57LW</t>
        </is>
      </c>
      <c r="I5" s="36">
        <f>J5-K5</f>
        <v/>
      </c>
      <c r="J5" s="36" t="n">
        <v>2699.95</v>
      </c>
      <c r="K5" s="36" t="n">
        <v>0</v>
      </c>
      <c r="L5" s="37">
        <f>IFERROR(J5/J5,"")</f>
        <v/>
      </c>
      <c r="M5" s="35" t="inlineStr"/>
      <c r="N5" s="36">
        <f>O5-P5</f>
        <v/>
      </c>
      <c r="O5" s="36" t="inlineStr"/>
      <c r="P5" s="36" t="inlineStr"/>
      <c r="Q5" s="37">
        <f>IFERROR(O5/O5,"")</f>
        <v/>
      </c>
    </row>
    <row r="6" ht="20" customHeight="1">
      <c r="A6" s="34" t="inlineStr">
        <is>
          <t>OLED</t>
        </is>
      </c>
      <c r="B6" s="34" t="inlineStr">
        <is>
          <t>65G5</t>
        </is>
      </c>
      <c r="C6" s="35" t="inlineStr">
        <is>
          <t>OLED65G59LS</t>
        </is>
      </c>
      <c r="D6" s="36">
        <f>E6-F6</f>
        <v/>
      </c>
      <c r="E6" s="36" t="n">
        <v>1869.95</v>
      </c>
      <c r="F6" s="36" t="n">
        <v>0</v>
      </c>
      <c r="G6" s="37">
        <f>IFERROR(E6/E6,"")</f>
        <v/>
      </c>
      <c r="H6" s="35" t="inlineStr">
        <is>
          <t>OLED65G57LW</t>
        </is>
      </c>
      <c r="I6" s="36">
        <f>J6-K6</f>
        <v/>
      </c>
      <c r="J6" s="36" t="n">
        <v>1799.95</v>
      </c>
      <c r="K6" s="36" t="n">
        <v>0</v>
      </c>
      <c r="L6" s="37">
        <f>IFERROR(J6/J6,"")</f>
        <v/>
      </c>
      <c r="M6" s="35" t="inlineStr">
        <is>
          <t>OLED65G59LS</t>
        </is>
      </c>
      <c r="N6" s="36">
        <f>O6-P6</f>
        <v/>
      </c>
      <c r="O6" s="36" t="n">
        <v>1799</v>
      </c>
      <c r="P6" s="36" t="n">
        <v>0</v>
      </c>
      <c r="Q6" s="37">
        <f>IFERROR(O6/O6,"")</f>
        <v/>
      </c>
    </row>
    <row r="7" ht="20" customHeight="1">
      <c r="A7" s="34" t="inlineStr">
        <is>
          <t>OLED</t>
        </is>
      </c>
      <c r="B7" s="34" t="inlineStr">
        <is>
          <t>55G5</t>
        </is>
      </c>
      <c r="C7" s="35" t="inlineStr">
        <is>
          <t>OLED55G57LW</t>
        </is>
      </c>
      <c r="D7" s="36">
        <f>E7-F7</f>
        <v/>
      </c>
      <c r="E7" s="36" t="n">
        <v>1499.95</v>
      </c>
      <c r="F7" s="36" t="n">
        <v>0</v>
      </c>
      <c r="G7" s="37">
        <f>IFERROR(E7/E7,"")</f>
        <v/>
      </c>
      <c r="H7" s="35" t="inlineStr">
        <is>
          <t>OLED55G57LW</t>
        </is>
      </c>
      <c r="I7" s="36">
        <f>J7-K7</f>
        <v/>
      </c>
      <c r="J7" s="36" t="n">
        <v>1449.95</v>
      </c>
      <c r="K7" s="36" t="n">
        <v>0</v>
      </c>
      <c r="L7" s="37">
        <f>IFERROR(J7/J7,"")</f>
        <v/>
      </c>
      <c r="M7" s="35" t="inlineStr"/>
      <c r="N7" s="36">
        <f>O7-P7</f>
        <v/>
      </c>
      <c r="O7" s="36" t="inlineStr"/>
      <c r="P7" s="36" t="inlineStr"/>
      <c r="Q7" s="37">
        <f>IFERROR(O7/O7,"")</f>
        <v/>
      </c>
    </row>
    <row r="8">
      <c r="A8" s="38" t="n"/>
      <c r="B8" s="38" t="n"/>
      <c r="C8" s="38" t="inlineStr"/>
      <c r="D8" s="38" t="n"/>
      <c r="E8" s="38" t="inlineStr"/>
      <c r="F8" s="38" t="inlineStr"/>
      <c r="G8" s="38" t="inlineStr"/>
      <c r="H8" s="38" t="inlineStr"/>
      <c r="I8" s="38" t="n"/>
      <c r="J8" s="38" t="inlineStr"/>
      <c r="K8" s="38" t="inlineStr"/>
      <c r="L8" s="38" t="inlineStr"/>
      <c r="M8" s="38" t="inlineStr"/>
      <c r="N8" s="38" t="n"/>
      <c r="O8" s="38" t="inlineStr"/>
      <c r="P8" s="38" t="inlineStr"/>
      <c r="Q8" s="38" t="inlineStr"/>
    </row>
    <row r="9" ht="20" customHeight="1">
      <c r="A9" s="34" t="inlineStr">
        <is>
          <t>OLED</t>
        </is>
      </c>
      <c r="B9" s="34" t="inlineStr">
        <is>
          <t>83C5</t>
        </is>
      </c>
      <c r="C9" s="35" t="inlineStr">
        <is>
          <t>OLED83C57LA</t>
        </is>
      </c>
      <c r="D9" s="36">
        <f>E9-F9</f>
        <v/>
      </c>
      <c r="E9" s="36" t="n">
        <v>2239</v>
      </c>
      <c r="F9" s="36" t="n">
        <v>0</v>
      </c>
      <c r="G9" s="37">
        <f>IFERROR(E9/E4,"")</f>
        <v/>
      </c>
      <c r="H9" s="35" t="inlineStr">
        <is>
          <t>OLED83C57LA</t>
        </is>
      </c>
      <c r="I9" s="36">
        <f>J9-K9</f>
        <v/>
      </c>
      <c r="J9" s="36" t="n">
        <v>2499.95</v>
      </c>
      <c r="K9" s="36" t="n">
        <v>0</v>
      </c>
      <c r="L9" s="37">
        <f>IFERROR(J9/J4,"")</f>
        <v/>
      </c>
      <c r="M9" s="35" t="inlineStr">
        <is>
          <t>OLED83C57LA</t>
        </is>
      </c>
      <c r="N9" s="36">
        <f>O9-P9</f>
        <v/>
      </c>
      <c r="O9" s="36" t="n">
        <v>2199</v>
      </c>
      <c r="P9" s="36" t="n">
        <v>0</v>
      </c>
      <c r="Q9" s="37">
        <f>IFERROR(O9/O4,"")</f>
        <v/>
      </c>
    </row>
    <row r="10" ht="20" customHeight="1">
      <c r="A10" s="34" t="inlineStr">
        <is>
          <t>OLED</t>
        </is>
      </c>
      <c r="B10" s="34" t="inlineStr">
        <is>
          <t>77C5</t>
        </is>
      </c>
      <c r="C10" s="35" t="inlineStr">
        <is>
          <t>OLED77C57LA</t>
        </is>
      </c>
      <c r="D10" s="36">
        <f>E10-F10</f>
        <v/>
      </c>
      <c r="E10" s="36" t="n">
        <v>1779</v>
      </c>
      <c r="F10" s="36" t="n">
        <v>0</v>
      </c>
      <c r="G10" s="37">
        <f>IFERROR(E10/E5,"")</f>
        <v/>
      </c>
      <c r="H10" s="35" t="inlineStr">
        <is>
          <t>OLED77C58LA</t>
        </is>
      </c>
      <c r="I10" s="36">
        <f>J10-K10</f>
        <v/>
      </c>
      <c r="J10" s="36" t="n">
        <v>1879.95</v>
      </c>
      <c r="K10" s="36" t="n">
        <v>0</v>
      </c>
      <c r="L10" s="37">
        <f>IFERROR(J10/J5,"")</f>
        <v/>
      </c>
      <c r="M10" s="35" t="inlineStr">
        <is>
          <t>OLED77C57LA</t>
        </is>
      </c>
      <c r="N10" s="36">
        <f>O10-P10</f>
        <v/>
      </c>
      <c r="O10" s="36" t="n">
        <v>1799</v>
      </c>
      <c r="P10" s="36" t="n">
        <v>0</v>
      </c>
      <c r="Q10" s="37">
        <f>IFERROR(O10/O5,"")</f>
        <v/>
      </c>
    </row>
    <row r="11" ht="20" customHeight="1">
      <c r="A11" s="34" t="inlineStr">
        <is>
          <t>OLED</t>
        </is>
      </c>
      <c r="B11" s="34" t="inlineStr">
        <is>
          <t>65C5</t>
        </is>
      </c>
      <c r="C11" s="35" t="inlineStr">
        <is>
          <t>OLED65C57LA</t>
        </is>
      </c>
      <c r="D11" s="36">
        <f>E11-F11</f>
        <v/>
      </c>
      <c r="E11" s="36" t="n">
        <v>1239</v>
      </c>
      <c r="F11" s="36" t="n">
        <v>0</v>
      </c>
      <c r="G11" s="37">
        <f>IFERROR(E11/E6,"")</f>
        <v/>
      </c>
      <c r="H11" s="35" t="inlineStr">
        <is>
          <t>OLED65C58LA</t>
        </is>
      </c>
      <c r="I11" s="36">
        <f>J11-K11</f>
        <v/>
      </c>
      <c r="J11" s="36" t="n">
        <v>1239.95</v>
      </c>
      <c r="K11" s="36" t="n">
        <v>0</v>
      </c>
      <c r="L11" s="37">
        <f>IFERROR(J11/J6,"")</f>
        <v/>
      </c>
      <c r="M11" s="35" t="inlineStr">
        <is>
          <t>OLED65C57LA</t>
        </is>
      </c>
      <c r="N11" s="36">
        <f>O11-P11</f>
        <v/>
      </c>
      <c r="O11" s="36" t="n">
        <v>1249</v>
      </c>
      <c r="P11" s="36" t="n">
        <v>0</v>
      </c>
      <c r="Q11" s="37">
        <f>IFERROR(O11/O6,"")</f>
        <v/>
      </c>
    </row>
    <row r="12" ht="20" customHeight="1">
      <c r="A12" s="34" t="inlineStr">
        <is>
          <t>OLED</t>
        </is>
      </c>
      <c r="B12" s="34" t="inlineStr">
        <is>
          <t>55C5</t>
        </is>
      </c>
      <c r="C12" s="35" t="inlineStr">
        <is>
          <t>OLED55C57LA</t>
        </is>
      </c>
      <c r="D12" s="36">
        <f>E12-F12</f>
        <v/>
      </c>
      <c r="E12" s="36" t="n">
        <v>949</v>
      </c>
      <c r="F12" s="36" t="n">
        <v>0</v>
      </c>
      <c r="G12" s="37">
        <f>IFERROR(E12/E7,"")</f>
        <v/>
      </c>
      <c r="H12" s="35" t="inlineStr">
        <is>
          <t>OLED55C58LA</t>
        </is>
      </c>
      <c r="I12" s="36">
        <f>J12-K12</f>
        <v/>
      </c>
      <c r="J12" s="36" t="n">
        <v>979.95</v>
      </c>
      <c r="K12" s="36" t="n">
        <v>0</v>
      </c>
      <c r="L12" s="37">
        <f>IFERROR(J12/J7,"")</f>
        <v/>
      </c>
      <c r="M12" s="35" t="inlineStr">
        <is>
          <t>OLED55C57LA</t>
        </is>
      </c>
      <c r="N12" s="36">
        <f>O12-P12</f>
        <v/>
      </c>
      <c r="O12" s="36" t="n">
        <v>979</v>
      </c>
      <c r="P12" s="36" t="n">
        <v>0</v>
      </c>
      <c r="Q12" s="37">
        <f>IFERROR(O12/O7,"")</f>
        <v/>
      </c>
    </row>
    <row r="13" ht="20" customHeight="1">
      <c r="A13" s="34" t="inlineStr">
        <is>
          <t>OLED</t>
        </is>
      </c>
      <c r="B13" s="34" t="inlineStr">
        <is>
          <t>48C5</t>
        </is>
      </c>
      <c r="C13" s="35" t="inlineStr">
        <is>
          <t>OLED48C57LA</t>
        </is>
      </c>
      <c r="D13" s="36">
        <f>E13-F13</f>
        <v/>
      </c>
      <c r="E13" s="36" t="n">
        <v>819</v>
      </c>
      <c r="F13" s="36" t="n">
        <v>0</v>
      </c>
      <c r="G13" s="37">
        <f>IFERROR(E13/E7,"")</f>
        <v/>
      </c>
      <c r="H13" s="35" t="inlineStr">
        <is>
          <t>OLED48C58</t>
        </is>
      </c>
      <c r="I13" s="36">
        <f>J13-K13</f>
        <v/>
      </c>
      <c r="J13" s="36" t="n">
        <v>849.95</v>
      </c>
      <c r="K13" s="36" t="n">
        <v>0</v>
      </c>
      <c r="L13" s="37">
        <f>IFERROR(J13/J7,"")</f>
        <v/>
      </c>
      <c r="M13" s="35" t="inlineStr">
        <is>
          <t>OLED48C57LA</t>
        </is>
      </c>
      <c r="N13" s="36">
        <f>O13-P13</f>
        <v/>
      </c>
      <c r="O13" s="36" t="n">
        <v>839</v>
      </c>
      <c r="P13" s="36" t="n">
        <v>0</v>
      </c>
      <c r="Q13" s="37">
        <f>IFERROR(O13/O7,"")</f>
        <v/>
      </c>
    </row>
    <row r="14" ht="20" customHeight="1">
      <c r="A14" s="34" t="inlineStr">
        <is>
          <t>OLED</t>
        </is>
      </c>
      <c r="B14" s="34" t="inlineStr">
        <is>
          <t>42C5</t>
        </is>
      </c>
      <c r="C14" s="35" t="inlineStr">
        <is>
          <t>OLED42C57LA</t>
        </is>
      </c>
      <c r="D14" s="36">
        <f>E14-F14</f>
        <v/>
      </c>
      <c r="E14" s="36" t="n">
        <v>709</v>
      </c>
      <c r="F14" s="36" t="n">
        <v>0</v>
      </c>
      <c r="G14" s="37">
        <f>IFERROR(E14/E7,"")</f>
        <v/>
      </c>
      <c r="H14" s="35" t="inlineStr">
        <is>
          <t>OLED42C57LA</t>
        </is>
      </c>
      <c r="I14" s="36">
        <f>J14-K14</f>
        <v/>
      </c>
      <c r="J14" s="36" t="n">
        <v>739.95</v>
      </c>
      <c r="K14" s="36" t="n">
        <v>0</v>
      </c>
      <c r="L14" s="37">
        <f>IFERROR(J14/J7,"")</f>
        <v/>
      </c>
      <c r="M14" s="35" t="inlineStr">
        <is>
          <t>OLED42C57LA</t>
        </is>
      </c>
      <c r="N14" s="36">
        <f>O14-P14</f>
        <v/>
      </c>
      <c r="O14" s="36" t="n">
        <v>729</v>
      </c>
      <c r="P14" s="36" t="n">
        <v>0</v>
      </c>
      <c r="Q14" s="37">
        <f>IFERROR(O14/O7,"")</f>
        <v/>
      </c>
    </row>
    <row r="15">
      <c r="A15" s="38" t="n"/>
      <c r="B15" s="38" t="n"/>
      <c r="C15" s="38" t="inlineStr"/>
      <c r="D15" s="38" t="n"/>
      <c r="E15" s="38" t="inlineStr"/>
      <c r="F15" s="38" t="inlineStr"/>
      <c r="G15" s="38" t="inlineStr"/>
      <c r="H15" s="38" t="inlineStr"/>
      <c r="I15" s="38" t="n"/>
      <c r="J15" s="38" t="inlineStr"/>
      <c r="K15" s="38" t="inlineStr"/>
      <c r="L15" s="38" t="inlineStr"/>
      <c r="M15" s="38" t="inlineStr"/>
      <c r="N15" s="38" t="n"/>
      <c r="O15" s="38" t="inlineStr"/>
      <c r="P15" s="38" t="inlineStr"/>
      <c r="Q15" s="38" t="inlineStr"/>
    </row>
    <row r="16" ht="20" customHeight="1">
      <c r="A16" s="34" t="inlineStr">
        <is>
          <t>OLED</t>
        </is>
      </c>
      <c r="B16" s="34" t="inlineStr">
        <is>
          <t>83B5</t>
        </is>
      </c>
      <c r="C16" s="35" t="inlineStr">
        <is>
          <t>OLED83B59LA</t>
        </is>
      </c>
      <c r="D16" s="36">
        <f>E16-F16</f>
        <v/>
      </c>
      <c r="E16" s="36" t="n">
        <v>1849.95</v>
      </c>
      <c r="F16" s="36" t="n">
        <v>0</v>
      </c>
      <c r="G16" s="37">
        <f>IFERROR(E16/E4,"")</f>
        <v/>
      </c>
      <c r="H16" s="35" t="inlineStr"/>
      <c r="I16" s="36">
        <f>J16-K16</f>
        <v/>
      </c>
      <c r="J16" s="36" t="inlineStr"/>
      <c r="K16" s="36" t="inlineStr"/>
      <c r="L16" s="37">
        <f>IFERROR(J16/J4,"")</f>
        <v/>
      </c>
      <c r="M16" s="35" t="inlineStr">
        <is>
          <t>OLED83B59LA</t>
        </is>
      </c>
      <c r="N16" s="36">
        <f>O16-P16</f>
        <v/>
      </c>
      <c r="O16" s="36" t="n">
        <v>1818</v>
      </c>
      <c r="P16" s="36" t="n">
        <v>0</v>
      </c>
      <c r="Q16" s="37">
        <f>IFERROR(O16/O4,"")</f>
        <v/>
      </c>
    </row>
    <row r="17" ht="20" customHeight="1">
      <c r="A17" s="34" t="inlineStr">
        <is>
          <t>OLED</t>
        </is>
      </c>
      <c r="B17" s="34" t="inlineStr">
        <is>
          <t>77B5</t>
        </is>
      </c>
      <c r="C17" s="35" t="inlineStr"/>
      <c r="D17" s="36">
        <f>E17-F17</f>
        <v/>
      </c>
      <c r="E17" s="36" t="inlineStr"/>
      <c r="F17" s="36" t="inlineStr"/>
      <c r="G17" s="37">
        <f>IFERROR(E17/E5,"")</f>
        <v/>
      </c>
      <c r="H17" s="35" t="inlineStr"/>
      <c r="I17" s="36">
        <f>J17-K17</f>
        <v/>
      </c>
      <c r="J17" s="36" t="inlineStr"/>
      <c r="K17" s="36" t="inlineStr"/>
      <c r="L17" s="37">
        <f>IFERROR(J17/J5,"")</f>
        <v/>
      </c>
      <c r="M17" s="35" t="inlineStr">
        <is>
          <t>OLED77B56LA</t>
        </is>
      </c>
      <c r="N17" s="36">
        <f>O17-P17</f>
        <v/>
      </c>
      <c r="O17" s="36" t="n">
        <v>1494</v>
      </c>
      <c r="P17" s="36" t="n">
        <v>0</v>
      </c>
      <c r="Q17" s="37">
        <f>IFERROR(O17/O5,"")</f>
        <v/>
      </c>
    </row>
    <row r="18" ht="20" customHeight="1">
      <c r="A18" s="34" t="inlineStr">
        <is>
          <t>OLED</t>
        </is>
      </c>
      <c r="B18" s="34" t="inlineStr">
        <is>
          <t>65B5</t>
        </is>
      </c>
      <c r="C18" s="35" t="inlineStr">
        <is>
          <t>OLED65B59LA</t>
        </is>
      </c>
      <c r="D18" s="36">
        <f>E18-F18</f>
        <v/>
      </c>
      <c r="E18" s="36" t="n">
        <v>1079.95</v>
      </c>
      <c r="F18" s="36" t="n">
        <v>0</v>
      </c>
      <c r="G18" s="37">
        <f>IFERROR(E18/E6,"")</f>
        <v/>
      </c>
      <c r="H18" s="35" t="inlineStr"/>
      <c r="I18" s="36">
        <f>J18-K18</f>
        <v/>
      </c>
      <c r="J18" s="36" t="inlineStr"/>
      <c r="K18" s="36" t="inlineStr"/>
      <c r="L18" s="37">
        <f>IFERROR(J18/J6,"")</f>
        <v/>
      </c>
      <c r="M18" s="35" t="inlineStr">
        <is>
          <t>OLED65B59LA</t>
        </is>
      </c>
      <c r="N18" s="36">
        <f>O18-P18</f>
        <v/>
      </c>
      <c r="O18" s="36" t="n">
        <v>1035</v>
      </c>
      <c r="P18" s="36" t="n">
        <v>0</v>
      </c>
      <c r="Q18" s="37">
        <f>IFERROR(O18/O6,"")</f>
        <v/>
      </c>
    </row>
    <row r="19" ht="20" customHeight="1">
      <c r="A19" s="34" t="inlineStr">
        <is>
          <t>OLED</t>
        </is>
      </c>
      <c r="B19" s="34" t="inlineStr">
        <is>
          <t>55B5</t>
        </is>
      </c>
      <c r="C19" s="35" t="inlineStr">
        <is>
          <t>OLED55B59LA</t>
        </is>
      </c>
      <c r="D19" s="36">
        <f>E19-F19</f>
        <v/>
      </c>
      <c r="E19" s="36" t="n">
        <v>789</v>
      </c>
      <c r="F19" s="36" t="n">
        <v>0</v>
      </c>
      <c r="G19" s="37">
        <f>IFERROR(E19/E7,"")</f>
        <v/>
      </c>
      <c r="H19" s="35" t="inlineStr"/>
      <c r="I19" s="36">
        <f>J19-K19</f>
        <v/>
      </c>
      <c r="J19" s="36" t="inlineStr"/>
      <c r="K19" s="36" t="inlineStr"/>
      <c r="L19" s="37">
        <f>IFERROR(J19/J7,"")</f>
        <v/>
      </c>
      <c r="M19" s="35" t="inlineStr">
        <is>
          <t>OLED55B59LA</t>
        </is>
      </c>
      <c r="N19" s="36">
        <f>O19-P19</f>
        <v/>
      </c>
      <c r="O19" s="36" t="n">
        <v>799</v>
      </c>
      <c r="P19" s="36" t="n">
        <v>0</v>
      </c>
      <c r="Q19" s="37">
        <f>IFERROR(O19/O7,"")</f>
        <v/>
      </c>
    </row>
    <row r="20" ht="20" customHeight="1">
      <c r="A20" s="34" t="inlineStr">
        <is>
          <t>OLED</t>
        </is>
      </c>
      <c r="B20" s="34" t="inlineStr">
        <is>
          <t>48B5</t>
        </is>
      </c>
      <c r="C20" s="35" t="inlineStr">
        <is>
          <t>OLED48B59LA</t>
        </is>
      </c>
      <c r="D20" s="36">
        <f>E20-F20</f>
        <v/>
      </c>
      <c r="E20" s="36" t="n">
        <v>649</v>
      </c>
      <c r="F20" s="36" t="n">
        <v>0</v>
      </c>
      <c r="G20" s="37">
        <f>IFERROR(E20/E7,"")</f>
        <v/>
      </c>
      <c r="H20" s="35" t="inlineStr"/>
      <c r="I20" s="36">
        <f>J20-K20</f>
        <v/>
      </c>
      <c r="J20" s="36" t="inlineStr"/>
      <c r="K20" s="36" t="inlineStr"/>
      <c r="L20" s="37">
        <f>IFERROR(J20/J7,"")</f>
        <v/>
      </c>
      <c r="M20" s="35" t="inlineStr">
        <is>
          <t>OLED48B59LA</t>
        </is>
      </c>
      <c r="N20" s="36">
        <f>O20-P20</f>
        <v/>
      </c>
      <c r="O20" s="36" t="n">
        <v>699</v>
      </c>
      <c r="P20" s="36" t="n">
        <v>0</v>
      </c>
      <c r="Q20" s="37">
        <f>IFERROR(O20/O7,"")</f>
        <v/>
      </c>
    </row>
    <row r="21">
      <c r="A21" s="38" t="n"/>
      <c r="B21" s="38" t="n"/>
      <c r="C21" s="38" t="inlineStr"/>
      <c r="D21" s="38" t="n"/>
      <c r="E21" s="38" t="inlineStr"/>
      <c r="F21" s="38" t="inlineStr"/>
      <c r="G21" s="38" t="inlineStr"/>
      <c r="H21" s="38" t="inlineStr"/>
      <c r="I21" s="38" t="n"/>
      <c r="J21" s="38" t="inlineStr"/>
      <c r="K21" s="38" t="inlineStr"/>
      <c r="L21" s="38" t="inlineStr"/>
      <c r="M21" s="38" t="inlineStr"/>
      <c r="N21" s="38" t="n"/>
      <c r="O21" s="38" t="inlineStr"/>
      <c r="P21" s="38" t="inlineStr"/>
      <c r="Q21" s="38" t="inlineStr"/>
    </row>
    <row r="22" ht="20" customHeight="1">
      <c r="A22" s="39" t="inlineStr">
        <is>
          <t>OLED</t>
        </is>
      </c>
      <c r="B22" s="39" t="inlineStr">
        <is>
          <t>83S95F</t>
        </is>
      </c>
      <c r="C22" s="40" t="inlineStr">
        <is>
          <t>QE83S95FAE</t>
        </is>
      </c>
      <c r="D22" s="41">
        <f>E22-F22</f>
        <v/>
      </c>
      <c r="E22" s="41" t="n">
        <v>5199.95</v>
      </c>
      <c r="F22" s="41" t="n">
        <v>0</v>
      </c>
      <c r="G22" s="42" t="inlineStr"/>
      <c r="H22" s="40" t="inlineStr">
        <is>
          <t>QE83S95F</t>
        </is>
      </c>
      <c r="I22" s="41">
        <f>J22-K22</f>
        <v/>
      </c>
      <c r="J22" s="41" t="n">
        <v>4499.95</v>
      </c>
      <c r="K22" s="41" t="n">
        <v>0</v>
      </c>
      <c r="L22" s="42" t="inlineStr"/>
      <c r="M22" s="40" t="inlineStr"/>
      <c r="N22" s="41">
        <f>O22-P22</f>
        <v/>
      </c>
      <c r="O22" s="41" t="inlineStr"/>
      <c r="P22" s="41" t="inlineStr"/>
      <c r="Q22" s="42" t="inlineStr"/>
    </row>
    <row r="23" ht="20" customHeight="1">
      <c r="A23" s="39" t="inlineStr">
        <is>
          <t>OLED</t>
        </is>
      </c>
      <c r="B23" s="39" t="inlineStr">
        <is>
          <t>77S95F</t>
        </is>
      </c>
      <c r="C23" s="40" t="inlineStr">
        <is>
          <t>QE77S95FAT</t>
        </is>
      </c>
      <c r="D23" s="41">
        <f>E23-F23</f>
        <v/>
      </c>
      <c r="E23" s="41" t="n">
        <v>4149.95</v>
      </c>
      <c r="F23" s="41" t="n">
        <v>0</v>
      </c>
      <c r="G23" s="42" t="inlineStr"/>
      <c r="H23" s="40" t="inlineStr">
        <is>
          <t>QE77S95F</t>
        </is>
      </c>
      <c r="I23" s="41">
        <f>J23-K23</f>
        <v/>
      </c>
      <c r="J23" s="41" t="n">
        <v>3499.95</v>
      </c>
      <c r="K23" s="41" t="n">
        <v>0</v>
      </c>
      <c r="L23" s="42" t="inlineStr"/>
      <c r="M23" s="40" t="inlineStr"/>
      <c r="N23" s="41">
        <f>O23-P23</f>
        <v/>
      </c>
      <c r="O23" s="41" t="inlineStr"/>
      <c r="P23" s="41" t="inlineStr"/>
      <c r="Q23" s="42" t="inlineStr"/>
    </row>
    <row r="24" ht="20" customHeight="1">
      <c r="A24" s="39" t="inlineStr">
        <is>
          <t>OLED</t>
        </is>
      </c>
      <c r="B24" s="39" t="inlineStr">
        <is>
          <t>65S95F</t>
        </is>
      </c>
      <c r="C24" s="40" t="inlineStr">
        <is>
          <t>QE65S95FAT</t>
        </is>
      </c>
      <c r="D24" s="41">
        <f>E24-F24</f>
        <v/>
      </c>
      <c r="E24" s="41" t="n">
        <v>3049.95</v>
      </c>
      <c r="F24" s="41" t="n">
        <v>0</v>
      </c>
      <c r="G24" s="42" t="inlineStr"/>
      <c r="H24" s="40" t="inlineStr">
        <is>
          <t>QE65S95F</t>
        </is>
      </c>
      <c r="I24" s="41">
        <f>J24-K24</f>
        <v/>
      </c>
      <c r="J24" s="41" t="n">
        <v>2999.95</v>
      </c>
      <c r="K24" s="41" t="n">
        <v>0</v>
      </c>
      <c r="L24" s="42" t="inlineStr"/>
      <c r="M24" s="40" t="inlineStr"/>
      <c r="N24" s="41">
        <f>O24-P24</f>
        <v/>
      </c>
      <c r="O24" s="41" t="inlineStr"/>
      <c r="P24" s="41" t="inlineStr"/>
      <c r="Q24" s="42" t="inlineStr"/>
    </row>
    <row r="25" ht="20" customHeight="1">
      <c r="A25" s="39" t="inlineStr">
        <is>
          <t>OLED</t>
        </is>
      </c>
      <c r="B25" s="39" t="inlineStr">
        <is>
          <t>55S95F</t>
        </is>
      </c>
      <c r="C25" s="40" t="inlineStr">
        <is>
          <t>QE55S95FAT</t>
        </is>
      </c>
      <c r="D25" s="41">
        <f>E25-F25</f>
        <v/>
      </c>
      <c r="E25" s="41" t="n">
        <v>2529.95</v>
      </c>
      <c r="F25" s="41" t="n">
        <v>0</v>
      </c>
      <c r="G25" s="42" t="inlineStr"/>
      <c r="H25" s="40" t="inlineStr">
        <is>
          <t>QE55S95F</t>
        </is>
      </c>
      <c r="I25" s="41">
        <f>J25-K25</f>
        <v/>
      </c>
      <c r="J25" s="41" t="n">
        <v>1999.95</v>
      </c>
      <c r="K25" s="41" t="n">
        <v>0</v>
      </c>
      <c r="L25" s="42" t="inlineStr"/>
      <c r="M25" s="40" t="inlineStr">
        <is>
          <t>QE55S95F</t>
        </is>
      </c>
      <c r="N25" s="41">
        <f>O25-P25</f>
        <v/>
      </c>
      <c r="O25" s="41" t="n">
        <v>1740</v>
      </c>
      <c r="P25" s="41" t="n">
        <v>0</v>
      </c>
      <c r="Q25" s="42" t="inlineStr"/>
    </row>
    <row r="26">
      <c r="A26" s="38" t="n"/>
      <c r="B26" s="38" t="n"/>
      <c r="C26" s="38" t="inlineStr"/>
      <c r="D26" s="38" t="n"/>
      <c r="E26" s="38" t="inlineStr"/>
      <c r="F26" s="38" t="inlineStr"/>
      <c r="G26" s="38" t="inlineStr"/>
      <c r="H26" s="38" t="inlineStr"/>
      <c r="I26" s="38" t="n"/>
      <c r="J26" s="38" t="inlineStr"/>
      <c r="K26" s="38" t="inlineStr"/>
      <c r="L26" s="38" t="inlineStr"/>
      <c r="M26" s="38" t="inlineStr"/>
      <c r="N26" s="38" t="n"/>
      <c r="O26" s="38" t="inlineStr"/>
      <c r="P26" s="38" t="inlineStr"/>
      <c r="Q26" s="38" t="inlineStr"/>
    </row>
    <row r="27" ht="20" customHeight="1">
      <c r="A27" s="39" t="inlineStr">
        <is>
          <t>OLED</t>
        </is>
      </c>
      <c r="B27" s="39" t="inlineStr">
        <is>
          <t>83S90F</t>
        </is>
      </c>
      <c r="C27" s="40" t="inlineStr">
        <is>
          <t>QE83S90FAE</t>
        </is>
      </c>
      <c r="D27" s="41">
        <f>E27-F27</f>
        <v/>
      </c>
      <c r="E27" s="41" t="n">
        <v>2199.95</v>
      </c>
      <c r="F27" s="41" t="n">
        <v>0</v>
      </c>
      <c r="G27" s="42" t="inlineStr"/>
      <c r="H27" s="40" t="inlineStr">
        <is>
          <t>QE83S90FAEXZU</t>
        </is>
      </c>
      <c r="I27" s="41">
        <f>J27-K27</f>
        <v/>
      </c>
      <c r="J27" s="41" t="n">
        <v>1999.95</v>
      </c>
      <c r="K27" s="41" t="n">
        <v>0</v>
      </c>
      <c r="L27" s="42" t="inlineStr"/>
      <c r="M27" s="40" t="inlineStr">
        <is>
          <t>QE83S90FAE</t>
        </is>
      </c>
      <c r="N27" s="41">
        <f>O27-P27</f>
        <v/>
      </c>
      <c r="O27" s="41" t="n">
        <v>2299</v>
      </c>
      <c r="P27" s="41" t="n">
        <v>0</v>
      </c>
      <c r="Q27" s="42" t="inlineStr"/>
    </row>
    <row r="28" ht="20" customHeight="1">
      <c r="A28" s="39" t="inlineStr">
        <is>
          <t>OLED</t>
        </is>
      </c>
      <c r="B28" s="39" t="inlineStr">
        <is>
          <t>77S90F</t>
        </is>
      </c>
      <c r="C28" s="40" t="inlineStr">
        <is>
          <t>QE77S90FAE</t>
        </is>
      </c>
      <c r="D28" s="41">
        <f>E28-F28</f>
        <v/>
      </c>
      <c r="E28" s="41" t="n">
        <v>1759</v>
      </c>
      <c r="F28" s="41" t="n">
        <v>0</v>
      </c>
      <c r="G28" s="42" t="inlineStr"/>
      <c r="H28" s="40" t="inlineStr">
        <is>
          <t>QE77S90FAEXZU</t>
        </is>
      </c>
      <c r="I28" s="41">
        <f>J28-K28</f>
        <v/>
      </c>
      <c r="J28" s="41" t="n">
        <v>1799.95</v>
      </c>
      <c r="K28" s="41" t="n">
        <v>0</v>
      </c>
      <c r="L28" s="42" t="inlineStr"/>
      <c r="M28" s="40" t="inlineStr">
        <is>
          <t>QE77S90FAE</t>
        </is>
      </c>
      <c r="N28" s="41">
        <f>O28-P28</f>
        <v/>
      </c>
      <c r="O28" s="41" t="n">
        <v>1849</v>
      </c>
      <c r="P28" s="41" t="n">
        <v>0</v>
      </c>
      <c r="Q28" s="42" t="inlineStr"/>
    </row>
    <row r="29" ht="20" customHeight="1">
      <c r="A29" s="39" t="inlineStr">
        <is>
          <t>OLED</t>
        </is>
      </c>
      <c r="B29" s="39" t="inlineStr">
        <is>
          <t>65S90F</t>
        </is>
      </c>
      <c r="C29" s="40" t="inlineStr">
        <is>
          <t>QE65S90FAT</t>
        </is>
      </c>
      <c r="D29" s="41">
        <f>E29-F29</f>
        <v/>
      </c>
      <c r="E29" s="41" t="n">
        <v>1299.95</v>
      </c>
      <c r="F29" s="41" t="n">
        <v>0</v>
      </c>
      <c r="G29" s="42" t="inlineStr"/>
      <c r="H29" s="40" t="inlineStr">
        <is>
          <t>QE65S90F</t>
        </is>
      </c>
      <c r="I29" s="41">
        <f>J29-K29</f>
        <v/>
      </c>
      <c r="J29" s="41" t="n">
        <v>1299.95</v>
      </c>
      <c r="K29" s="41" t="n">
        <v>0</v>
      </c>
      <c r="L29" s="42" t="inlineStr"/>
      <c r="M29" s="40" t="inlineStr">
        <is>
          <t>QE65S90FAT</t>
        </is>
      </c>
      <c r="N29" s="41">
        <f>O29-P29</f>
        <v/>
      </c>
      <c r="O29" s="41" t="n">
        <v>1493</v>
      </c>
      <c r="P29" s="41" t="n">
        <v>0</v>
      </c>
      <c r="Q29" s="42" t="inlineStr"/>
    </row>
    <row r="30" ht="20" customHeight="1">
      <c r="A30" s="39" t="inlineStr">
        <is>
          <t>OLED</t>
        </is>
      </c>
      <c r="B30" s="39" t="inlineStr">
        <is>
          <t>55S90F</t>
        </is>
      </c>
      <c r="C30" s="40" t="inlineStr">
        <is>
          <t>QE55S90FAE</t>
        </is>
      </c>
      <c r="D30" s="41">
        <f>E30-F30</f>
        <v/>
      </c>
      <c r="E30" s="41" t="n">
        <v>999</v>
      </c>
      <c r="F30" s="41" t="n">
        <v>0</v>
      </c>
      <c r="G30" s="42" t="inlineStr"/>
      <c r="H30" s="40" t="inlineStr">
        <is>
          <t>QE55S90FAEXZU</t>
        </is>
      </c>
      <c r="I30" s="41">
        <f>J30-K30</f>
        <v/>
      </c>
      <c r="J30" s="41" t="n">
        <v>999.95</v>
      </c>
      <c r="K30" s="41" t="n">
        <v>0</v>
      </c>
      <c r="L30" s="42" t="inlineStr"/>
      <c r="M30" s="40" t="inlineStr">
        <is>
          <t>QE55S90FAE</t>
        </is>
      </c>
      <c r="N30" s="41">
        <f>O30-P30</f>
        <v/>
      </c>
      <c r="O30" s="41" t="n">
        <v>1190</v>
      </c>
      <c r="P30" s="41" t="n">
        <v>0</v>
      </c>
      <c r="Q30" s="42" t="inlineStr"/>
    </row>
    <row r="31" ht="20" customHeight="1">
      <c r="A31" s="39" t="inlineStr">
        <is>
          <t>OLED</t>
        </is>
      </c>
      <c r="B31" s="39" t="inlineStr">
        <is>
          <t>48S90F</t>
        </is>
      </c>
      <c r="C31" s="40" t="inlineStr"/>
      <c r="D31" s="41">
        <f>E31-F31</f>
        <v/>
      </c>
      <c r="E31" s="41" t="inlineStr"/>
      <c r="F31" s="41" t="inlineStr"/>
      <c r="G31" s="42" t="inlineStr"/>
      <c r="H31" s="40" t="inlineStr">
        <is>
          <t>QE48S90FAEXZU</t>
        </is>
      </c>
      <c r="I31" s="41">
        <f>J31-K31</f>
        <v/>
      </c>
      <c r="J31" s="41" t="n">
        <v>849.95</v>
      </c>
      <c r="K31" s="41" t="n">
        <v>0</v>
      </c>
      <c r="L31" s="42" t="inlineStr"/>
      <c r="M31" s="40" t="inlineStr"/>
      <c r="N31" s="41">
        <f>O31-P31</f>
        <v/>
      </c>
      <c r="O31" s="41" t="inlineStr"/>
      <c r="P31" s="41" t="inlineStr"/>
      <c r="Q31" s="42" t="inlineStr"/>
    </row>
    <row r="32" ht="20" customHeight="1">
      <c r="A32" s="39" t="inlineStr">
        <is>
          <t>OLED</t>
        </is>
      </c>
      <c r="B32" s="39" t="inlineStr">
        <is>
          <t>42S90F</t>
        </is>
      </c>
      <c r="C32" s="40" t="inlineStr">
        <is>
          <t>QE42S90FAE</t>
        </is>
      </c>
      <c r="D32" s="41">
        <f>E32-F32</f>
        <v/>
      </c>
      <c r="E32" s="41" t="n">
        <v>729.95</v>
      </c>
      <c r="F32" s="41" t="n">
        <v>0</v>
      </c>
      <c r="G32" s="42" t="inlineStr"/>
      <c r="H32" s="40" t="inlineStr">
        <is>
          <t>QE42S90F</t>
        </is>
      </c>
      <c r="I32" s="41">
        <f>J32-K32</f>
        <v/>
      </c>
      <c r="J32" s="41" t="n">
        <v>729.95</v>
      </c>
      <c r="K32" s="41" t="n">
        <v>0</v>
      </c>
      <c r="L32" s="42" t="inlineStr"/>
      <c r="M32" s="40" t="inlineStr">
        <is>
          <t>QE42S90FAE</t>
        </is>
      </c>
      <c r="N32" s="41">
        <f>O32-P32</f>
        <v/>
      </c>
      <c r="O32" s="41" t="n">
        <v>887</v>
      </c>
      <c r="P32" s="41" t="n">
        <v>0</v>
      </c>
      <c r="Q32" s="42" t="inlineStr"/>
    </row>
    <row r="33">
      <c r="A33" s="38" t="n"/>
      <c r="B33" s="38" t="n"/>
      <c r="C33" s="38" t="inlineStr"/>
      <c r="D33" s="38" t="n"/>
      <c r="E33" s="38" t="inlineStr"/>
      <c r="F33" s="38" t="inlineStr"/>
      <c r="G33" s="38" t="inlineStr"/>
      <c r="H33" s="38" t="inlineStr"/>
      <c r="I33" s="38" t="n"/>
      <c r="J33" s="38" t="inlineStr"/>
      <c r="K33" s="38" t="inlineStr"/>
      <c r="L33" s="38" t="inlineStr"/>
      <c r="M33" s="38" t="inlineStr"/>
      <c r="N33" s="38" t="n"/>
      <c r="O33" s="38" t="inlineStr"/>
      <c r="P33" s="38" t="inlineStr"/>
      <c r="Q33" s="38" t="inlineStr"/>
    </row>
    <row r="34" ht="20" customHeight="1">
      <c r="A34" s="39" t="inlineStr">
        <is>
          <t>OLED</t>
        </is>
      </c>
      <c r="B34" s="39" t="inlineStr">
        <is>
          <t>83S85F</t>
        </is>
      </c>
      <c r="C34" s="40" t="inlineStr">
        <is>
          <t>QE83S85FAE</t>
        </is>
      </c>
      <c r="D34" s="41">
        <f>E34-F34</f>
        <v/>
      </c>
      <c r="E34" s="41" t="n">
        <v>3149</v>
      </c>
      <c r="F34" s="41" t="n">
        <v>0</v>
      </c>
      <c r="G34" s="42" t="inlineStr"/>
      <c r="H34" s="40" t="inlineStr">
        <is>
          <t>QE83S85FAEXZU</t>
        </is>
      </c>
      <c r="I34" s="41">
        <f>J34-K34</f>
        <v/>
      </c>
      <c r="J34" s="41" t="n">
        <v>1899.95</v>
      </c>
      <c r="K34" s="41" t="n">
        <v>0</v>
      </c>
      <c r="L34" s="42" t="inlineStr"/>
      <c r="M34" s="40" t="inlineStr">
        <is>
          <t>QE83S85F</t>
        </is>
      </c>
      <c r="N34" s="41">
        <f>O34-P34</f>
        <v/>
      </c>
      <c r="O34" s="41" t="n">
        <v>1799</v>
      </c>
      <c r="P34" s="41" t="n">
        <v>0</v>
      </c>
      <c r="Q34" s="42" t="inlineStr"/>
    </row>
    <row r="35" ht="20" customHeight="1">
      <c r="A35" s="39" t="inlineStr">
        <is>
          <t>OLED</t>
        </is>
      </c>
      <c r="B35" s="39" t="inlineStr">
        <is>
          <t>77S85F</t>
        </is>
      </c>
      <c r="C35" s="40" t="inlineStr">
        <is>
          <t>QE77S85FAE</t>
        </is>
      </c>
      <c r="D35" s="41">
        <f>E35-F35</f>
        <v/>
      </c>
      <c r="E35" s="41" t="n">
        <v>3807</v>
      </c>
      <c r="F35" s="41" t="n">
        <v>0</v>
      </c>
      <c r="G35" s="42" t="inlineStr"/>
      <c r="H35" s="40" t="inlineStr"/>
      <c r="I35" s="41">
        <f>J35-K35</f>
        <v/>
      </c>
      <c r="J35" s="41" t="inlineStr"/>
      <c r="K35" s="41" t="inlineStr"/>
      <c r="L35" s="42" t="inlineStr"/>
      <c r="M35" s="40" t="inlineStr"/>
      <c r="N35" s="41">
        <f>O35-P35</f>
        <v/>
      </c>
      <c r="O35" s="41" t="inlineStr"/>
      <c r="P35" s="41" t="inlineStr"/>
      <c r="Q35" s="42" t="inlineStr"/>
    </row>
    <row r="36" ht="20" customHeight="1">
      <c r="A36" s="39" t="inlineStr">
        <is>
          <t>OLED</t>
        </is>
      </c>
      <c r="B36" s="39" t="inlineStr">
        <is>
          <t>65S85F</t>
        </is>
      </c>
      <c r="C36" s="40" t="inlineStr">
        <is>
          <t>QE65S85FAE</t>
        </is>
      </c>
      <c r="D36" s="41">
        <f>E36-F36</f>
        <v/>
      </c>
      <c r="E36" s="41" t="n">
        <v>1349.95</v>
      </c>
      <c r="F36" s="41" t="n">
        <v>0</v>
      </c>
      <c r="G36" s="42" t="inlineStr"/>
      <c r="H36" s="40" t="inlineStr"/>
      <c r="I36" s="41">
        <f>J36-K36</f>
        <v/>
      </c>
      <c r="J36" s="41" t="inlineStr"/>
      <c r="K36" s="41" t="inlineStr"/>
      <c r="L36" s="42" t="inlineStr"/>
      <c r="M36" s="40" t="inlineStr"/>
      <c r="N36" s="41">
        <f>O36-P36</f>
        <v/>
      </c>
      <c r="O36" s="41" t="inlineStr"/>
      <c r="P36" s="41" t="inlineStr"/>
      <c r="Q36" s="42" t="inlineStr"/>
    </row>
    <row r="37" ht="20" customHeight="1">
      <c r="A37" s="39" t="inlineStr">
        <is>
          <t>OLED</t>
        </is>
      </c>
      <c r="B37" s="39" t="inlineStr">
        <is>
          <t>55S85F</t>
        </is>
      </c>
      <c r="C37" s="40" t="inlineStr">
        <is>
          <t>QE55S85FAU</t>
        </is>
      </c>
      <c r="D37" s="41">
        <f>E37-F37</f>
        <v/>
      </c>
      <c r="E37" s="41" t="n">
        <v>899.95</v>
      </c>
      <c r="F37" s="41" t="n">
        <v>0</v>
      </c>
      <c r="G37" s="42" t="inlineStr"/>
      <c r="H37" s="40" t="inlineStr"/>
      <c r="I37" s="41">
        <f>J37-K37</f>
        <v/>
      </c>
      <c r="J37" s="41" t="inlineStr"/>
      <c r="K37" s="41" t="inlineStr"/>
      <c r="L37" s="42" t="inlineStr"/>
      <c r="M37" s="40" t="inlineStr"/>
      <c r="N37" s="41">
        <f>O37-P37</f>
        <v/>
      </c>
      <c r="O37" s="41" t="inlineStr"/>
      <c r="P37" s="41" t="inlineStr"/>
      <c r="Q37" s="42" t="inlineStr"/>
    </row>
    <row r="38">
      <c r="A38" s="38" t="n"/>
      <c r="B38" s="38" t="n"/>
      <c r="C38" s="38" t="inlineStr"/>
      <c r="D38" s="38" t="n"/>
      <c r="E38" s="38" t="inlineStr"/>
      <c r="F38" s="38" t="inlineStr"/>
      <c r="G38" s="38" t="inlineStr"/>
      <c r="H38" s="38" t="inlineStr"/>
      <c r="I38" s="38" t="n"/>
      <c r="J38" s="38" t="inlineStr"/>
      <c r="K38" s="38" t="inlineStr"/>
      <c r="L38" s="38" t="inlineStr"/>
      <c r="M38" s="38" t="inlineStr"/>
      <c r="N38" s="38" t="n"/>
      <c r="O38" s="38" t="inlineStr"/>
      <c r="P38" s="38" t="inlineStr"/>
      <c r="Q38" s="38" t="inlineStr"/>
    </row>
    <row r="39" ht="20" customHeight="1">
      <c r="A39" s="34" t="inlineStr">
        <is>
          <t>QNED</t>
        </is>
      </c>
      <c r="B39" s="34" t="inlineStr">
        <is>
          <t>100QNED86A</t>
        </is>
      </c>
      <c r="C39" s="35" t="inlineStr">
        <is>
          <t>QNED86A6</t>
        </is>
      </c>
      <c r="D39" s="36">
        <f>E39-F39</f>
        <v/>
      </c>
      <c r="E39" s="36" t="n">
        <v>2799.95</v>
      </c>
      <c r="F39" s="36" t="n">
        <v>0</v>
      </c>
      <c r="G39" s="37">
        <f>IFERROR(E39/E4,"")</f>
        <v/>
      </c>
      <c r="H39" s="35" t="inlineStr"/>
      <c r="I39" s="36">
        <f>J39-K39</f>
        <v/>
      </c>
      <c r="J39" s="36" t="inlineStr"/>
      <c r="K39" s="36" t="inlineStr"/>
      <c r="L39" s="37">
        <f>IFERROR(J39/J4,"")</f>
        <v/>
      </c>
      <c r="M39" s="35" t="inlineStr">
        <is>
          <t>100QNED86A6</t>
        </is>
      </c>
      <c r="N39" s="36">
        <f>O39-P39</f>
        <v/>
      </c>
      <c r="O39" s="36" t="n">
        <v>2599</v>
      </c>
      <c r="P39" s="36" t="n">
        <v>0</v>
      </c>
      <c r="Q39" s="37">
        <f>IFERROR(O39/O4,"")</f>
        <v/>
      </c>
    </row>
    <row r="40" ht="20" customHeight="1">
      <c r="A40" s="34" t="inlineStr">
        <is>
          <t>QNED</t>
        </is>
      </c>
      <c r="B40" s="34" t="inlineStr">
        <is>
          <t>86QNED86A</t>
        </is>
      </c>
      <c r="C40" s="35" t="inlineStr"/>
      <c r="D40" s="36">
        <f>E40-F40</f>
        <v/>
      </c>
      <c r="E40" s="36" t="inlineStr"/>
      <c r="F40" s="36" t="inlineStr"/>
      <c r="G40" s="37">
        <f>IFERROR(E40/E4,"")</f>
        <v/>
      </c>
      <c r="H40" s="35" t="inlineStr">
        <is>
          <t>86QNED86A6A</t>
        </is>
      </c>
      <c r="I40" s="36">
        <f>J40-K40</f>
        <v/>
      </c>
      <c r="J40" s="36" t="n">
        <v>1319.95</v>
      </c>
      <c r="K40" s="36" t="n">
        <v>0</v>
      </c>
      <c r="L40" s="37">
        <f>IFERROR(J40/J4,"")</f>
        <v/>
      </c>
      <c r="M40" s="35" t="inlineStr">
        <is>
          <t>86QNED86A6A</t>
        </is>
      </c>
      <c r="N40" s="36">
        <f>O40-P40</f>
        <v/>
      </c>
      <c r="O40" s="36" t="n">
        <v>1199</v>
      </c>
      <c r="P40" s="36" t="n">
        <v>0</v>
      </c>
      <c r="Q40" s="37">
        <f>IFERROR(O40/O4,"")</f>
        <v/>
      </c>
    </row>
    <row r="41" ht="20" customHeight="1">
      <c r="A41" s="34" t="inlineStr">
        <is>
          <t>QNED</t>
        </is>
      </c>
      <c r="B41" s="34" t="inlineStr">
        <is>
          <t>75QNED86A</t>
        </is>
      </c>
      <c r="C41" s="35" t="inlineStr"/>
      <c r="D41" s="36">
        <f>E41-F41</f>
        <v/>
      </c>
      <c r="E41" s="36" t="inlineStr"/>
      <c r="F41" s="36" t="inlineStr"/>
      <c r="G41" s="37">
        <f>IFERROR(E41/E5,"")</f>
        <v/>
      </c>
      <c r="H41" s="35" t="inlineStr"/>
      <c r="I41" s="36">
        <f>J41-K41</f>
        <v/>
      </c>
      <c r="J41" s="36" t="inlineStr"/>
      <c r="K41" s="36" t="inlineStr"/>
      <c r="L41" s="37">
        <f>IFERROR(J41/J5,"")</f>
        <v/>
      </c>
      <c r="M41" s="35" t="inlineStr"/>
      <c r="N41" s="36">
        <f>O41-P41</f>
        <v/>
      </c>
      <c r="O41" s="36" t="inlineStr"/>
      <c r="P41" s="36" t="inlineStr"/>
      <c r="Q41" s="37">
        <f>IFERROR(O41/O5,"")</f>
        <v/>
      </c>
    </row>
    <row r="42" ht="20" customHeight="1">
      <c r="A42" s="34" t="inlineStr">
        <is>
          <t>QNED</t>
        </is>
      </c>
      <c r="B42" s="34" t="inlineStr">
        <is>
          <t>65QNED86A</t>
        </is>
      </c>
      <c r="C42" s="35" t="inlineStr">
        <is>
          <t>QNED86A6A</t>
        </is>
      </c>
      <c r="D42" s="36">
        <f>E42-F42</f>
        <v/>
      </c>
      <c r="E42" s="36" t="n">
        <v>739.95</v>
      </c>
      <c r="F42" s="36" t="n">
        <v>0</v>
      </c>
      <c r="G42" s="37">
        <f>IFERROR(E42/E6,"")</f>
        <v/>
      </c>
      <c r="H42" s="35" t="inlineStr">
        <is>
          <t>65QNED86A6A</t>
        </is>
      </c>
      <c r="I42" s="36">
        <f>J42-K42</f>
        <v/>
      </c>
      <c r="J42" s="36" t="n">
        <v>699.95</v>
      </c>
      <c r="K42" s="36" t="n">
        <v>0</v>
      </c>
      <c r="L42" s="37">
        <f>IFERROR(J42/J6,"")</f>
        <v/>
      </c>
      <c r="M42" s="35" t="inlineStr">
        <is>
          <t>65QNED86A6A</t>
        </is>
      </c>
      <c r="N42" s="36">
        <f>O42-P42</f>
        <v/>
      </c>
      <c r="O42" s="36" t="n">
        <v>699</v>
      </c>
      <c r="P42" s="36" t="n">
        <v>0</v>
      </c>
      <c r="Q42" s="37">
        <f>IFERROR(O42/O6,"")</f>
        <v/>
      </c>
    </row>
    <row r="43" ht="20" customHeight="1">
      <c r="A43" s="34" t="inlineStr">
        <is>
          <t>QNED</t>
        </is>
      </c>
      <c r="B43" s="34" t="inlineStr">
        <is>
          <t>55QNED86A</t>
        </is>
      </c>
      <c r="C43" s="35" t="inlineStr"/>
      <c r="D43" s="36">
        <f>E43-F43</f>
        <v/>
      </c>
      <c r="E43" s="36" t="inlineStr"/>
      <c r="F43" s="36" t="inlineStr"/>
      <c r="G43" s="37">
        <f>IFERROR(E43/E7,"")</f>
        <v/>
      </c>
      <c r="H43" s="35" t="inlineStr">
        <is>
          <t>55QNED86A</t>
        </is>
      </c>
      <c r="I43" s="36">
        <f>J43-K43</f>
        <v/>
      </c>
      <c r="J43" s="36" t="n">
        <v>599.95</v>
      </c>
      <c r="K43" s="36" t="n">
        <v>0</v>
      </c>
      <c r="L43" s="37">
        <f>IFERROR(J43/J7,"")</f>
        <v/>
      </c>
      <c r="M43" s="35" t="inlineStr"/>
      <c r="N43" s="36">
        <f>O43-P43</f>
        <v/>
      </c>
      <c r="O43" s="36" t="inlineStr"/>
      <c r="P43" s="36" t="inlineStr"/>
      <c r="Q43" s="37">
        <f>IFERROR(O43/O7,"")</f>
        <v/>
      </c>
    </row>
    <row r="44" ht="20" customHeight="1">
      <c r="A44" s="34" t="inlineStr">
        <is>
          <t>QNED</t>
        </is>
      </c>
      <c r="B44" s="34" t="inlineStr">
        <is>
          <t>50QNED86A</t>
        </is>
      </c>
      <c r="C44" s="35" t="inlineStr"/>
      <c r="D44" s="36">
        <f>E44-F44</f>
        <v/>
      </c>
      <c r="E44" s="36" t="inlineStr"/>
      <c r="F44" s="36" t="inlineStr"/>
      <c r="G44" s="37">
        <f>IFERROR(E44/E7,"")</f>
        <v/>
      </c>
      <c r="H44" s="35" t="inlineStr">
        <is>
          <t>50QNED86A6C</t>
        </is>
      </c>
      <c r="I44" s="36">
        <f>J44-K44</f>
        <v/>
      </c>
      <c r="J44" s="36" t="n">
        <v>549.95</v>
      </c>
      <c r="K44" s="36" t="n">
        <v>0</v>
      </c>
      <c r="L44" s="37">
        <f>IFERROR(J44/J7,"")</f>
        <v/>
      </c>
      <c r="M44" s="35" t="inlineStr"/>
      <c r="N44" s="36">
        <f>O44-P44</f>
        <v/>
      </c>
      <c r="O44" s="36" t="inlineStr"/>
      <c r="P44" s="36" t="inlineStr"/>
      <c r="Q44" s="37">
        <f>IFERROR(O44/O7,"")</f>
        <v/>
      </c>
    </row>
    <row r="45">
      <c r="A45" s="38" t="n"/>
      <c r="B45" s="38" t="n"/>
      <c r="C45" s="38" t="inlineStr"/>
      <c r="D45" s="38" t="n"/>
      <c r="E45" s="38" t="inlineStr"/>
      <c r="F45" s="38" t="inlineStr"/>
      <c r="G45" s="38" t="inlineStr"/>
      <c r="H45" s="38" t="inlineStr"/>
      <c r="I45" s="38" t="n"/>
      <c r="J45" s="38" t="inlineStr"/>
      <c r="K45" s="38" t="inlineStr"/>
      <c r="L45" s="38" t="inlineStr"/>
      <c r="M45" s="38" t="inlineStr"/>
      <c r="N45" s="38" t="n"/>
      <c r="O45" s="38" t="inlineStr"/>
      <c r="P45" s="38" t="inlineStr"/>
      <c r="Q45" s="38" t="inlineStr"/>
    </row>
    <row r="46" ht="20" customHeight="1">
      <c r="A46" s="34" t="inlineStr">
        <is>
          <t>QNED</t>
        </is>
      </c>
      <c r="B46" s="34" t="inlineStr">
        <is>
          <t>86QNED80A</t>
        </is>
      </c>
      <c r="C46" s="35" t="inlineStr"/>
      <c r="D46" s="36">
        <f>E46-F46</f>
        <v/>
      </c>
      <c r="E46" s="36" t="inlineStr"/>
      <c r="F46" s="36" t="inlineStr"/>
      <c r="G46" s="37">
        <f>IFERROR(E46/E4,"")</f>
        <v/>
      </c>
      <c r="H46" s="35" t="inlineStr">
        <is>
          <t>86QNED80A6A</t>
        </is>
      </c>
      <c r="I46" s="36">
        <f>J46-K46</f>
        <v/>
      </c>
      <c r="J46" s="36" t="n">
        <v>1099.95</v>
      </c>
      <c r="K46" s="36" t="n">
        <v>0</v>
      </c>
      <c r="L46" s="37">
        <f>IFERROR(J46/J4,"")</f>
        <v/>
      </c>
      <c r="M46" s="35" t="inlineStr"/>
      <c r="N46" s="36">
        <f>O46-P46</f>
        <v/>
      </c>
      <c r="O46" s="36" t="inlineStr"/>
      <c r="P46" s="36" t="inlineStr"/>
      <c r="Q46" s="37">
        <f>IFERROR(O46/O4,"")</f>
        <v/>
      </c>
    </row>
    <row r="47" ht="20" customHeight="1">
      <c r="A47" s="34" t="inlineStr">
        <is>
          <t>QNED</t>
        </is>
      </c>
      <c r="B47" s="34" t="inlineStr">
        <is>
          <t>75QNED80A</t>
        </is>
      </c>
      <c r="C47" s="35" t="inlineStr"/>
      <c r="D47" s="36">
        <f>E47-F47</f>
        <v/>
      </c>
      <c r="E47" s="36" t="inlineStr"/>
      <c r="F47" s="36" t="inlineStr"/>
      <c r="G47" s="37">
        <f>IFERROR(E47/E5,"")</f>
        <v/>
      </c>
      <c r="H47" s="35" t="inlineStr"/>
      <c r="I47" s="36">
        <f>J47-K47</f>
        <v/>
      </c>
      <c r="J47" s="36" t="inlineStr"/>
      <c r="K47" s="36" t="inlineStr"/>
      <c r="L47" s="37">
        <f>IFERROR(J47/J5,"")</f>
        <v/>
      </c>
      <c r="M47" s="35" t="inlineStr">
        <is>
          <t>75QNED80A6A</t>
        </is>
      </c>
      <c r="N47" s="36">
        <f>O47-P47</f>
        <v/>
      </c>
      <c r="O47" s="36" t="n">
        <v>899</v>
      </c>
      <c r="P47" s="36" t="n">
        <v>0</v>
      </c>
      <c r="Q47" s="37">
        <f>IFERROR(O47/O5,"")</f>
        <v/>
      </c>
    </row>
    <row r="48" ht="20" customHeight="1">
      <c r="A48" s="34" t="inlineStr">
        <is>
          <t>QNED</t>
        </is>
      </c>
      <c r="B48" s="34" t="inlineStr">
        <is>
          <t>65QNED80A</t>
        </is>
      </c>
      <c r="C48" s="35" t="inlineStr"/>
      <c r="D48" s="36">
        <f>E48-F48</f>
        <v/>
      </c>
      <c r="E48" s="36" t="inlineStr"/>
      <c r="F48" s="36" t="inlineStr"/>
      <c r="G48" s="37">
        <f>IFERROR(E48/E6,"")</f>
        <v/>
      </c>
      <c r="H48" s="35" t="inlineStr">
        <is>
          <t>65QNED80A</t>
        </is>
      </c>
      <c r="I48" s="36">
        <f>J48-K48</f>
        <v/>
      </c>
      <c r="J48" s="36" t="n">
        <v>649.95</v>
      </c>
      <c r="K48" s="36" t="n">
        <v>0</v>
      </c>
      <c r="L48" s="37">
        <f>IFERROR(J48/J6,"")</f>
        <v/>
      </c>
      <c r="M48" s="35" t="inlineStr">
        <is>
          <t>65QNED80A6A</t>
        </is>
      </c>
      <c r="N48" s="36">
        <f>O48-P48</f>
        <v/>
      </c>
      <c r="O48" s="36" t="n">
        <v>666</v>
      </c>
      <c r="P48" s="36" t="n">
        <v>0</v>
      </c>
      <c r="Q48" s="37">
        <f>IFERROR(O48/O6,"")</f>
        <v/>
      </c>
    </row>
    <row r="49" ht="20" customHeight="1">
      <c r="A49" s="34" t="inlineStr">
        <is>
          <t>QNED</t>
        </is>
      </c>
      <c r="B49" s="34" t="inlineStr">
        <is>
          <t>55QNED80A</t>
        </is>
      </c>
      <c r="C49" s="35" t="inlineStr">
        <is>
          <t>QNED80A6A</t>
        </is>
      </c>
      <c r="D49" s="36">
        <f>E49-F49</f>
        <v/>
      </c>
      <c r="E49" s="36" t="n">
        <v>499.95</v>
      </c>
      <c r="F49" s="36" t="n">
        <v>0</v>
      </c>
      <c r="G49" s="37">
        <f>IFERROR(E49/E7,"")</f>
        <v/>
      </c>
      <c r="H49" s="35" t="inlineStr">
        <is>
          <t>55QNED80A6A</t>
        </is>
      </c>
      <c r="I49" s="36">
        <f>J49-K49</f>
        <v/>
      </c>
      <c r="J49" s="36" t="n">
        <v>479.95</v>
      </c>
      <c r="K49" s="36" t="n">
        <v>0</v>
      </c>
      <c r="L49" s="37">
        <f>IFERROR(J49/J7,"")</f>
        <v/>
      </c>
      <c r="M49" s="35" t="inlineStr"/>
      <c r="N49" s="36">
        <f>O49-P49</f>
        <v/>
      </c>
      <c r="O49" s="36" t="inlineStr"/>
      <c r="P49" s="36" t="inlineStr"/>
      <c r="Q49" s="37">
        <f>IFERROR(O49/O7,"")</f>
        <v/>
      </c>
    </row>
    <row r="50" ht="20" customHeight="1">
      <c r="A50" s="34" t="inlineStr">
        <is>
          <t>QNED</t>
        </is>
      </c>
      <c r="B50" s="34" t="inlineStr">
        <is>
          <t>50QNED80A</t>
        </is>
      </c>
      <c r="C50" s="35" t="inlineStr"/>
      <c r="D50" s="36">
        <f>E50-F50</f>
        <v/>
      </c>
      <c r="E50" s="36" t="inlineStr"/>
      <c r="F50" s="36" t="inlineStr"/>
      <c r="G50" s="37">
        <f>IFERROR(E50/E7,"")</f>
        <v/>
      </c>
      <c r="H50" s="35" t="inlineStr">
        <is>
          <t>50QNED80A6A</t>
        </is>
      </c>
      <c r="I50" s="36">
        <f>J50-K50</f>
        <v/>
      </c>
      <c r="J50" s="36" t="n">
        <v>449.95</v>
      </c>
      <c r="K50" s="36" t="n">
        <v>0</v>
      </c>
      <c r="L50" s="37">
        <f>IFERROR(J50/J7,"")</f>
        <v/>
      </c>
      <c r="M50" s="35" t="inlineStr"/>
      <c r="N50" s="36">
        <f>O50-P50</f>
        <v/>
      </c>
      <c r="O50" s="36" t="inlineStr"/>
      <c r="P50" s="36" t="inlineStr"/>
      <c r="Q50" s="37">
        <f>IFERROR(O50/O7,"")</f>
        <v/>
      </c>
    </row>
    <row r="51" ht="20" customHeight="1">
      <c r="A51" s="34" t="inlineStr">
        <is>
          <t>QNED</t>
        </is>
      </c>
      <c r="B51" s="34" t="inlineStr">
        <is>
          <t>43QNED80A</t>
        </is>
      </c>
      <c r="C51" s="35" t="inlineStr"/>
      <c r="D51" s="36">
        <f>E51-F51</f>
        <v/>
      </c>
      <c r="E51" s="36" t="inlineStr"/>
      <c r="F51" s="36" t="inlineStr"/>
      <c r="G51" s="37">
        <f>IFERROR(E51/E7,"")</f>
        <v/>
      </c>
      <c r="H51" s="35" t="inlineStr"/>
      <c r="I51" s="36">
        <f>J51-K51</f>
        <v/>
      </c>
      <c r="J51" s="36" t="inlineStr"/>
      <c r="K51" s="36" t="inlineStr"/>
      <c r="L51" s="37">
        <f>IFERROR(J51/J7,"")</f>
        <v/>
      </c>
      <c r="M51" s="35" t="inlineStr"/>
      <c r="N51" s="36">
        <f>O51-P51</f>
        <v/>
      </c>
      <c r="O51" s="36" t="inlineStr"/>
      <c r="P51" s="36" t="inlineStr"/>
      <c r="Q51" s="37">
        <f>IFERROR(O51/O7,"")</f>
        <v/>
      </c>
    </row>
    <row r="52">
      <c r="A52" s="38" t="n"/>
      <c r="B52" s="38" t="n"/>
      <c r="C52" s="38" t="inlineStr"/>
      <c r="D52" s="38" t="n"/>
      <c r="E52" s="38" t="inlineStr"/>
      <c r="F52" s="38" t="inlineStr"/>
      <c r="G52" s="38" t="inlineStr"/>
      <c r="H52" s="38" t="inlineStr"/>
      <c r="I52" s="38" t="n"/>
      <c r="J52" s="38" t="inlineStr"/>
      <c r="K52" s="38" t="inlineStr"/>
      <c r="L52" s="38" t="inlineStr"/>
      <c r="M52" s="38" t="inlineStr"/>
      <c r="N52" s="38" t="n"/>
      <c r="O52" s="38" t="inlineStr"/>
      <c r="P52" s="38" t="inlineStr"/>
      <c r="Q52" s="38" t="inlineStr"/>
    </row>
    <row r="53" ht="20" customHeight="1">
      <c r="A53" s="39" t="inlineStr">
        <is>
          <t>QLED</t>
        </is>
      </c>
      <c r="B53" s="39" t="inlineStr">
        <is>
          <t>85QN70F</t>
        </is>
      </c>
      <c r="C53" s="40" t="inlineStr"/>
      <c r="D53" s="41">
        <f>E53-F53</f>
        <v/>
      </c>
      <c r="E53" s="41" t="inlineStr"/>
      <c r="F53" s="41" t="inlineStr"/>
      <c r="G53" s="42" t="inlineStr"/>
      <c r="H53" s="40" t="inlineStr">
        <is>
          <t>QE85QN70F</t>
        </is>
      </c>
      <c r="I53" s="41">
        <f>J53-K53</f>
        <v/>
      </c>
      <c r="J53" s="41" t="n">
        <v>1499.95</v>
      </c>
      <c r="K53" s="41" t="n">
        <v>0</v>
      </c>
      <c r="L53" s="42" t="inlineStr"/>
      <c r="M53" s="40" t="inlineStr">
        <is>
          <t>QE85QN70FAU</t>
        </is>
      </c>
      <c r="N53" s="41">
        <f>O53-P53</f>
        <v/>
      </c>
      <c r="O53" s="41" t="n">
        <v>1499</v>
      </c>
      <c r="P53" s="41" t="n">
        <v>0</v>
      </c>
      <c r="Q53" s="42" t="inlineStr"/>
    </row>
    <row r="54" ht="20" customHeight="1">
      <c r="A54" s="39" t="inlineStr">
        <is>
          <t>QLED</t>
        </is>
      </c>
      <c r="B54" s="39" t="inlineStr">
        <is>
          <t>75QN70F</t>
        </is>
      </c>
      <c r="C54" s="40" t="inlineStr">
        <is>
          <t>QE75QN70FAU</t>
        </is>
      </c>
      <c r="D54" s="41">
        <f>E54-F54</f>
        <v/>
      </c>
      <c r="E54" s="41" t="n">
        <v>1878</v>
      </c>
      <c r="F54" s="41" t="n">
        <v>0</v>
      </c>
      <c r="G54" s="42" t="inlineStr"/>
      <c r="H54" s="40" t="inlineStr">
        <is>
          <t>QE75QN70FAUXXN</t>
        </is>
      </c>
      <c r="I54" s="41">
        <f>J54-K54</f>
        <v/>
      </c>
      <c r="J54" s="41" t="n">
        <v>999.95</v>
      </c>
      <c r="K54" s="41" t="n">
        <v>0</v>
      </c>
      <c r="L54" s="42" t="inlineStr"/>
      <c r="M54" s="40" t="inlineStr">
        <is>
          <t>QE75QN70FAU</t>
        </is>
      </c>
      <c r="N54" s="41">
        <f>O54-P54</f>
        <v/>
      </c>
      <c r="O54" s="41" t="n">
        <v>1049</v>
      </c>
      <c r="P54" s="41" t="n">
        <v>0</v>
      </c>
      <c r="Q54" s="42" t="inlineStr"/>
    </row>
    <row r="55" ht="20" customHeight="1">
      <c r="A55" s="39" t="inlineStr">
        <is>
          <t>QLED</t>
        </is>
      </c>
      <c r="B55" s="39" t="inlineStr">
        <is>
          <t>65QN70F</t>
        </is>
      </c>
      <c r="C55" s="40" t="inlineStr"/>
      <c r="D55" s="41">
        <f>E55-F55</f>
        <v/>
      </c>
      <c r="E55" s="41" t="inlineStr"/>
      <c r="F55" s="41" t="inlineStr"/>
      <c r="G55" s="42" t="inlineStr"/>
      <c r="H55" s="40" t="inlineStr">
        <is>
          <t>QE65QN70F</t>
        </is>
      </c>
      <c r="I55" s="41">
        <f>J55-K55</f>
        <v/>
      </c>
      <c r="J55" s="41" t="n">
        <v>799.95</v>
      </c>
      <c r="K55" s="41" t="n">
        <v>0</v>
      </c>
      <c r="L55" s="42" t="inlineStr"/>
      <c r="M55" s="40" t="inlineStr">
        <is>
          <t>QE65QN70FAU</t>
        </is>
      </c>
      <c r="N55" s="41">
        <f>O55-P55</f>
        <v/>
      </c>
      <c r="O55" s="41" t="n">
        <v>799</v>
      </c>
      <c r="P55" s="41" t="n">
        <v>0</v>
      </c>
      <c r="Q55" s="42" t="inlineStr"/>
    </row>
    <row r="56" ht="20" customHeight="1">
      <c r="A56" s="39" t="inlineStr">
        <is>
          <t>QLED</t>
        </is>
      </c>
      <c r="B56" s="39" t="inlineStr">
        <is>
          <t>55QN70F</t>
        </is>
      </c>
      <c r="C56" s="40" t="inlineStr"/>
      <c r="D56" s="41">
        <f>E56-F56</f>
        <v/>
      </c>
      <c r="E56" s="41" t="inlineStr"/>
      <c r="F56" s="41" t="inlineStr"/>
      <c r="G56" s="42" t="inlineStr"/>
      <c r="H56" s="40" t="inlineStr">
        <is>
          <t>QE55QN70FAUXXN</t>
        </is>
      </c>
      <c r="I56" s="41">
        <f>J56-K56</f>
        <v/>
      </c>
      <c r="J56" s="41" t="n">
        <v>599.95</v>
      </c>
      <c r="K56" s="41" t="n">
        <v>0</v>
      </c>
      <c r="L56" s="42" t="inlineStr"/>
      <c r="M56" s="40" t="inlineStr">
        <is>
          <t>QE55QN70FAU</t>
        </is>
      </c>
      <c r="N56" s="41">
        <f>O56-P56</f>
        <v/>
      </c>
      <c r="O56" s="41" t="n">
        <v>599</v>
      </c>
      <c r="P56" s="41" t="n">
        <v>0</v>
      </c>
      <c r="Q56" s="42" t="inlineStr"/>
    </row>
    <row r="57">
      <c r="A57" s="38" t="n"/>
      <c r="B57" s="38" t="n"/>
      <c r="C57" s="38" t="inlineStr"/>
      <c r="D57" s="38" t="n"/>
      <c r="E57" s="38" t="inlineStr"/>
      <c r="F57" s="38" t="inlineStr"/>
      <c r="G57" s="38" t="inlineStr"/>
      <c r="H57" s="38" t="inlineStr"/>
      <c r="I57" s="38" t="n"/>
      <c r="J57" s="38" t="inlineStr"/>
      <c r="K57" s="38" t="inlineStr"/>
      <c r="L57" s="38" t="inlineStr"/>
      <c r="M57" s="38" t="inlineStr"/>
      <c r="N57" s="38" t="n"/>
      <c r="O57" s="38" t="inlineStr"/>
      <c r="P57" s="38" t="inlineStr"/>
      <c r="Q57" s="38" t="inlineStr"/>
    </row>
    <row r="58" ht="20" customHeight="1">
      <c r="A58" s="39" t="inlineStr">
        <is>
          <t>QLED</t>
        </is>
      </c>
      <c r="B58" s="39" t="inlineStr">
        <is>
          <t>85Q8F</t>
        </is>
      </c>
      <c r="C58" s="40" t="inlineStr">
        <is>
          <t>QE85Q8FAAU</t>
        </is>
      </c>
      <c r="D58" s="41">
        <f>E58-F58</f>
        <v/>
      </c>
      <c r="E58" s="41" t="n">
        <v>1567</v>
      </c>
      <c r="F58" s="41" t="n">
        <v>0</v>
      </c>
      <c r="G58" s="42" t="inlineStr"/>
      <c r="H58" s="40" t="inlineStr">
        <is>
          <t>QE85Q8F</t>
        </is>
      </c>
      <c r="I58" s="41">
        <f>J58-K58</f>
        <v/>
      </c>
      <c r="J58" s="41" t="n">
        <v>1299.95</v>
      </c>
      <c r="K58" s="41" t="n">
        <v>0</v>
      </c>
      <c r="L58" s="42" t="inlineStr"/>
      <c r="M58" s="40" t="inlineStr">
        <is>
          <t>QE85Q8FAAU</t>
        </is>
      </c>
      <c r="N58" s="41">
        <f>O58-P58</f>
        <v/>
      </c>
      <c r="O58" s="41" t="n">
        <v>1129</v>
      </c>
      <c r="P58" s="41" t="n">
        <v>0</v>
      </c>
      <c r="Q58" s="42" t="inlineStr"/>
    </row>
    <row r="59" ht="20" customHeight="1">
      <c r="A59" s="39" t="inlineStr">
        <is>
          <t>QLED</t>
        </is>
      </c>
      <c r="B59" s="39" t="inlineStr">
        <is>
          <t>75Q8F</t>
        </is>
      </c>
      <c r="C59" s="40" t="inlineStr">
        <is>
          <t>QE75Q8FAAU</t>
        </is>
      </c>
      <c r="D59" s="41">
        <f>E59-F59</f>
        <v/>
      </c>
      <c r="E59" s="41" t="n">
        <v>999.95</v>
      </c>
      <c r="F59" s="41" t="n">
        <v>0</v>
      </c>
      <c r="G59" s="42" t="inlineStr"/>
      <c r="H59" s="40" t="inlineStr">
        <is>
          <t>QE75Q8FAAUXXN</t>
        </is>
      </c>
      <c r="I59" s="41">
        <f>J59-K59</f>
        <v/>
      </c>
      <c r="J59" s="41" t="n">
        <v>949.95</v>
      </c>
      <c r="K59" s="41" t="n">
        <v>0</v>
      </c>
      <c r="L59" s="42" t="inlineStr"/>
      <c r="M59" s="40" t="inlineStr">
        <is>
          <t>QE75Q8FAAU</t>
        </is>
      </c>
      <c r="N59" s="41">
        <f>O59-P59</f>
        <v/>
      </c>
      <c r="O59" s="41" t="n">
        <v>779</v>
      </c>
      <c r="P59" s="41" t="n">
        <v>0</v>
      </c>
      <c r="Q59" s="42" t="inlineStr"/>
    </row>
    <row r="60" ht="20" customHeight="1">
      <c r="A60" s="39" t="inlineStr">
        <is>
          <t>QLED</t>
        </is>
      </c>
      <c r="B60" s="39" t="inlineStr">
        <is>
          <t>65Q8F</t>
        </is>
      </c>
      <c r="C60" s="40" t="inlineStr">
        <is>
          <t>QE65Q8FAAU</t>
        </is>
      </c>
      <c r="D60" s="41">
        <f>E60-F60</f>
        <v/>
      </c>
      <c r="E60" s="41" t="n">
        <v>679</v>
      </c>
      <c r="F60" s="41" t="n">
        <v>0</v>
      </c>
      <c r="G60" s="42" t="inlineStr"/>
      <c r="H60" s="40" t="inlineStr">
        <is>
          <t>QE65Q8F</t>
        </is>
      </c>
      <c r="I60" s="41">
        <f>J60-K60</f>
        <v/>
      </c>
      <c r="J60" s="41" t="n">
        <v>679.95</v>
      </c>
      <c r="K60" s="41" t="n">
        <v>0</v>
      </c>
      <c r="L60" s="42" t="inlineStr"/>
      <c r="M60" s="40" t="inlineStr">
        <is>
          <t>QE65Q8FAAU</t>
        </is>
      </c>
      <c r="N60" s="41">
        <f>O60-P60</f>
        <v/>
      </c>
      <c r="O60" s="41" t="n">
        <v>699</v>
      </c>
      <c r="P60" s="41" t="n">
        <v>0</v>
      </c>
      <c r="Q60" s="42" t="inlineStr"/>
    </row>
    <row r="61" ht="20" customHeight="1">
      <c r="A61" s="39" t="inlineStr">
        <is>
          <t>QLED</t>
        </is>
      </c>
      <c r="B61" s="39" t="inlineStr">
        <is>
          <t>55Q8F</t>
        </is>
      </c>
      <c r="C61" s="40" t="inlineStr">
        <is>
          <t>QE55Q8FAAU</t>
        </is>
      </c>
      <c r="D61" s="41">
        <f>E61-F61</f>
        <v/>
      </c>
      <c r="E61" s="41" t="n">
        <v>459</v>
      </c>
      <c r="F61" s="41" t="n">
        <v>0</v>
      </c>
      <c r="G61" s="42" t="inlineStr"/>
      <c r="H61" s="40" t="inlineStr">
        <is>
          <t>QE55Q8F</t>
        </is>
      </c>
      <c r="I61" s="41">
        <f>J61-K61</f>
        <v/>
      </c>
      <c r="J61" s="41" t="n">
        <v>499.95</v>
      </c>
      <c r="K61" s="41" t="n">
        <v>0</v>
      </c>
      <c r="L61" s="42" t="inlineStr"/>
      <c r="M61" s="40" t="inlineStr">
        <is>
          <t>QE55Q8FAAU</t>
        </is>
      </c>
      <c r="N61" s="41">
        <f>O61-P61</f>
        <v/>
      </c>
      <c r="O61" s="41" t="n">
        <v>459</v>
      </c>
      <c r="P61" s="41" t="n">
        <v>0</v>
      </c>
      <c r="Q61" s="42" t="inlineStr"/>
    </row>
    <row r="62" ht="20" customHeight="1">
      <c r="A62" s="39" t="inlineStr">
        <is>
          <t>QLED</t>
        </is>
      </c>
      <c r="B62" s="39" t="inlineStr">
        <is>
          <t>50Q8F</t>
        </is>
      </c>
      <c r="C62" s="40" t="inlineStr">
        <is>
          <t>QE50Q8FAAU</t>
        </is>
      </c>
      <c r="D62" s="41">
        <f>E62-F62</f>
        <v/>
      </c>
      <c r="E62" s="41" t="n">
        <v>449</v>
      </c>
      <c r="F62" s="41" t="n">
        <v>0</v>
      </c>
      <c r="G62" s="42" t="inlineStr"/>
      <c r="H62" s="40" t="inlineStr">
        <is>
          <t>QE50Q8F</t>
        </is>
      </c>
      <c r="I62" s="41">
        <f>J62-K62</f>
        <v/>
      </c>
      <c r="J62" s="41" t="n">
        <v>449.95</v>
      </c>
      <c r="K62" s="41" t="n">
        <v>0</v>
      </c>
      <c r="L62" s="42" t="inlineStr"/>
      <c r="M62" s="40" t="inlineStr">
        <is>
          <t>QE50Q8FAAU</t>
        </is>
      </c>
      <c r="N62" s="41">
        <f>O62-P62</f>
        <v/>
      </c>
      <c r="O62" s="41" t="n">
        <v>389</v>
      </c>
      <c r="P62" s="41" t="n">
        <v>0</v>
      </c>
      <c r="Q62" s="42" t="inlineStr"/>
    </row>
    <row r="63">
      <c r="A63" s="38" t="n"/>
      <c r="B63" s="38" t="n"/>
      <c r="C63" s="38" t="inlineStr"/>
      <c r="D63" s="38" t="n"/>
      <c r="E63" s="38" t="inlineStr"/>
      <c r="F63" s="38" t="inlineStr"/>
      <c r="G63" s="38" t="inlineStr"/>
      <c r="H63" s="38" t="inlineStr"/>
      <c r="I63" s="38" t="n"/>
      <c r="J63" s="38" t="inlineStr"/>
      <c r="K63" s="38" t="inlineStr"/>
      <c r="L63" s="38" t="inlineStr"/>
      <c r="M63" s="38" t="inlineStr"/>
      <c r="N63" s="38" t="n"/>
      <c r="O63" s="38" t="inlineStr"/>
      <c r="P63" s="38" t="inlineStr"/>
      <c r="Q63" s="38" t="inlineStr"/>
    </row>
    <row r="64" ht="20" customHeight="1">
      <c r="A64" s="39" t="inlineStr">
        <is>
          <t>QLED</t>
        </is>
      </c>
      <c r="B64" s="39" t="inlineStr">
        <is>
          <t>85Q7F</t>
        </is>
      </c>
      <c r="C64" s="40" t="inlineStr">
        <is>
          <t>QE85Q7FAAU</t>
        </is>
      </c>
      <c r="D64" s="41">
        <f>E64-F64</f>
        <v/>
      </c>
      <c r="E64" s="41" t="n">
        <v>2407</v>
      </c>
      <c r="F64" s="41" t="n">
        <v>0</v>
      </c>
      <c r="G64" s="42" t="inlineStr"/>
      <c r="H64" s="40" t="inlineStr"/>
      <c r="I64" s="41">
        <f>J64-K64</f>
        <v/>
      </c>
      <c r="J64" s="41" t="inlineStr"/>
      <c r="K64" s="41" t="inlineStr"/>
      <c r="L64" s="42" t="inlineStr"/>
      <c r="M64" s="40" t="inlineStr">
        <is>
          <t>QE85Q7FAAU</t>
        </is>
      </c>
      <c r="N64" s="41">
        <f>O64-P64</f>
        <v/>
      </c>
      <c r="O64" s="41" t="n">
        <v>1299</v>
      </c>
      <c r="P64" s="41" t="n">
        <v>0</v>
      </c>
      <c r="Q64" s="42" t="inlineStr"/>
    </row>
    <row r="65" ht="20" customHeight="1">
      <c r="A65" s="39" t="inlineStr">
        <is>
          <t>QLED</t>
        </is>
      </c>
      <c r="B65" s="39" t="inlineStr">
        <is>
          <t>75Q7F</t>
        </is>
      </c>
      <c r="C65" s="40" t="inlineStr"/>
      <c r="D65" s="41">
        <f>E65-F65</f>
        <v/>
      </c>
      <c r="E65" s="41" t="inlineStr"/>
      <c r="F65" s="41" t="inlineStr"/>
      <c r="G65" s="42" t="inlineStr"/>
      <c r="H65" s="40" t="inlineStr"/>
      <c r="I65" s="41">
        <f>J65-K65</f>
        <v/>
      </c>
      <c r="J65" s="41" t="inlineStr"/>
      <c r="K65" s="41" t="inlineStr"/>
      <c r="L65" s="42" t="inlineStr"/>
      <c r="M65" s="40" t="inlineStr">
        <is>
          <t>QE75Q7FAAU</t>
        </is>
      </c>
      <c r="N65" s="41">
        <f>O65-P65</f>
        <v/>
      </c>
      <c r="O65" s="41" t="n">
        <v>899</v>
      </c>
      <c r="P65" s="41" t="n">
        <v>0</v>
      </c>
      <c r="Q65" s="42" t="inlineStr"/>
    </row>
    <row r="66" ht="20" customHeight="1">
      <c r="A66" s="39" t="inlineStr">
        <is>
          <t>QLED</t>
        </is>
      </c>
      <c r="B66" s="39" t="inlineStr">
        <is>
          <t>65Q7F</t>
        </is>
      </c>
      <c r="C66" s="40" t="inlineStr"/>
      <c r="D66" s="41">
        <f>E66-F66</f>
        <v/>
      </c>
      <c r="E66" s="41" t="inlineStr"/>
      <c r="F66" s="41" t="inlineStr"/>
      <c r="G66" s="42" t="inlineStr"/>
      <c r="H66" s="40" t="inlineStr"/>
      <c r="I66" s="41">
        <f>J66-K66</f>
        <v/>
      </c>
      <c r="J66" s="41" t="inlineStr"/>
      <c r="K66" s="41" t="inlineStr"/>
      <c r="L66" s="42" t="inlineStr"/>
      <c r="M66" s="40" t="inlineStr">
        <is>
          <t>QE65Q7FAAU</t>
        </is>
      </c>
      <c r="N66" s="41">
        <f>O66-P66</f>
        <v/>
      </c>
      <c r="O66" s="41" t="n">
        <v>692</v>
      </c>
      <c r="P66" s="41" t="n">
        <v>0</v>
      </c>
      <c r="Q66" s="42" t="inlineStr"/>
    </row>
    <row r="67" ht="20" customHeight="1">
      <c r="A67" s="39" t="inlineStr">
        <is>
          <t>QLED</t>
        </is>
      </c>
      <c r="B67" s="39" t="inlineStr">
        <is>
          <t>55Q7F</t>
        </is>
      </c>
      <c r="C67" s="40" t="inlineStr"/>
      <c r="D67" s="41">
        <f>E67-F67</f>
        <v/>
      </c>
      <c r="E67" s="41" t="inlineStr"/>
      <c r="F67" s="41" t="inlineStr"/>
      <c r="G67" s="42" t="inlineStr"/>
      <c r="H67" s="40" t="inlineStr"/>
      <c r="I67" s="41">
        <f>J67-K67</f>
        <v/>
      </c>
      <c r="J67" s="41" t="inlineStr"/>
      <c r="K67" s="41" t="inlineStr"/>
      <c r="L67" s="42" t="inlineStr"/>
      <c r="M67" s="40" t="inlineStr"/>
      <c r="N67" s="41">
        <f>O67-P67</f>
        <v/>
      </c>
      <c r="O67" s="41" t="inlineStr"/>
      <c r="P67" s="41" t="inlineStr"/>
      <c r="Q67" s="42" t="inlineStr"/>
    </row>
    <row r="68" ht="20" customHeight="1">
      <c r="A68" s="39" t="inlineStr">
        <is>
          <t>QLED</t>
        </is>
      </c>
      <c r="B68" s="39" t="inlineStr">
        <is>
          <t>50Q7F</t>
        </is>
      </c>
      <c r="C68" s="40" t="inlineStr">
        <is>
          <t>QE50Q7FAAU</t>
        </is>
      </c>
      <c r="D68" s="41">
        <f>E68-F68</f>
        <v/>
      </c>
      <c r="E68" s="41" t="n">
        <v>489.95</v>
      </c>
      <c r="F68" s="41" t="n">
        <v>0</v>
      </c>
      <c r="G68" s="42" t="inlineStr"/>
      <c r="H68" s="40" t="inlineStr">
        <is>
          <t>QE50Q7F</t>
        </is>
      </c>
      <c r="I68" s="41">
        <f>J68-K68</f>
        <v/>
      </c>
      <c r="J68" s="41" t="n">
        <v>499.95</v>
      </c>
      <c r="K68" s="41" t="n">
        <v>0</v>
      </c>
      <c r="L68" s="42" t="inlineStr"/>
      <c r="M68" s="40" t="inlineStr">
        <is>
          <t>QE50Q7FAAU</t>
        </is>
      </c>
      <c r="N68" s="41">
        <f>O68-P68</f>
        <v/>
      </c>
      <c r="O68" s="41" t="n">
        <v>584</v>
      </c>
      <c r="P68" s="41" t="n">
        <v>0</v>
      </c>
      <c r="Q68" s="42" t="inlineStr"/>
    </row>
    <row r="69" ht="20" customHeight="1">
      <c r="A69" s="39" t="inlineStr">
        <is>
          <t>QLED</t>
        </is>
      </c>
      <c r="B69" s="39" t="inlineStr">
        <is>
          <t>43Q7F</t>
        </is>
      </c>
      <c r="C69" s="40" t="inlineStr"/>
      <c r="D69" s="41">
        <f>E69-F69</f>
        <v/>
      </c>
      <c r="E69" s="41" t="inlineStr"/>
      <c r="F69" s="41" t="inlineStr"/>
      <c r="G69" s="42" t="inlineStr"/>
      <c r="H69" s="40" t="inlineStr"/>
      <c r="I69" s="41">
        <f>J69-K69</f>
        <v/>
      </c>
      <c r="J69" s="41" t="inlineStr"/>
      <c r="K69" s="41" t="inlineStr"/>
      <c r="L69" s="42" t="inlineStr"/>
      <c r="M69" s="40" t="inlineStr"/>
      <c r="N69" s="41">
        <f>O69-P69</f>
        <v/>
      </c>
      <c r="O69" s="41" t="inlineStr"/>
      <c r="P69" s="41" t="inlineStr"/>
      <c r="Q69" s="42" t="inlineStr"/>
    </row>
    <row r="70">
      <c r="A70" s="38" t="n"/>
      <c r="B70" s="38" t="n"/>
      <c r="C70" s="38" t="inlineStr"/>
      <c r="D70" s="38" t="n"/>
      <c r="E70" s="38" t="inlineStr"/>
      <c r="F70" s="38" t="inlineStr"/>
      <c r="G70" s="38" t="inlineStr"/>
      <c r="H70" s="38" t="inlineStr"/>
      <c r="I70" s="38" t="n"/>
      <c r="J70" s="38" t="inlineStr"/>
      <c r="K70" s="38" t="inlineStr"/>
      <c r="L70" s="38" t="inlineStr"/>
      <c r="M70" s="38" t="inlineStr"/>
      <c r="N70" s="38" t="n"/>
      <c r="O70" s="38" t="inlineStr"/>
      <c r="P70" s="38" t="inlineStr"/>
      <c r="Q70" s="38" t="inlineStr"/>
    </row>
    <row r="71" ht="20" customHeight="1">
      <c r="A71" s="34" t="inlineStr">
        <is>
          <t>UHD 4K</t>
        </is>
      </c>
      <c r="B71" s="34" t="inlineStr">
        <is>
          <t>86UA75</t>
        </is>
      </c>
      <c r="C71" s="35" t="inlineStr"/>
      <c r="D71" s="36">
        <f>E71-F71</f>
        <v/>
      </c>
      <c r="E71" s="36" t="inlineStr"/>
      <c r="F71" s="36" t="inlineStr"/>
      <c r="G71" s="37">
        <f>IFERROR(E71/E4,"")</f>
        <v/>
      </c>
      <c r="H71" s="35" t="inlineStr"/>
      <c r="I71" s="36">
        <f>J71-K71</f>
        <v/>
      </c>
      <c r="J71" s="36" t="inlineStr"/>
      <c r="K71" s="36" t="inlineStr"/>
      <c r="L71" s="37">
        <f>IFERROR(J71/J4,"")</f>
        <v/>
      </c>
      <c r="M71" s="35" t="inlineStr"/>
      <c r="N71" s="36">
        <f>O71-P71</f>
        <v/>
      </c>
      <c r="O71" s="36" t="inlineStr"/>
      <c r="P71" s="36" t="inlineStr"/>
      <c r="Q71" s="37">
        <f>IFERROR(O71/O4,"")</f>
        <v/>
      </c>
    </row>
    <row r="72" ht="20" customHeight="1">
      <c r="A72" s="34" t="inlineStr">
        <is>
          <t>UHD 4K</t>
        </is>
      </c>
      <c r="B72" s="34" t="inlineStr">
        <is>
          <t>75UA75</t>
        </is>
      </c>
      <c r="C72" s="35" t="inlineStr"/>
      <c r="D72" s="36">
        <f>E72-F72</f>
        <v/>
      </c>
      <c r="E72" s="36" t="inlineStr"/>
      <c r="F72" s="36" t="inlineStr"/>
      <c r="G72" s="37">
        <f>IFERROR(E72/E5,"")</f>
        <v/>
      </c>
      <c r="H72" s="35" t="inlineStr"/>
      <c r="I72" s="36">
        <f>J72-K72</f>
        <v/>
      </c>
      <c r="J72" s="36" t="inlineStr"/>
      <c r="K72" s="36" t="inlineStr"/>
      <c r="L72" s="37">
        <f>IFERROR(J72/J5,"")</f>
        <v/>
      </c>
      <c r="M72" s="35" t="inlineStr">
        <is>
          <t>75UA75006LA</t>
        </is>
      </c>
      <c r="N72" s="36">
        <f>O72-P72</f>
        <v/>
      </c>
      <c r="O72" s="36" t="n">
        <v>599</v>
      </c>
      <c r="P72" s="36" t="n">
        <v>0</v>
      </c>
      <c r="Q72" s="37">
        <f>IFERROR(O72/O5,"")</f>
        <v/>
      </c>
    </row>
    <row r="73" ht="20" customHeight="1">
      <c r="A73" s="34" t="inlineStr">
        <is>
          <t>UHD 4K</t>
        </is>
      </c>
      <c r="B73" s="34" t="inlineStr">
        <is>
          <t>65UA75</t>
        </is>
      </c>
      <c r="C73" s="35" t="inlineStr"/>
      <c r="D73" s="36">
        <f>E73-F73</f>
        <v/>
      </c>
      <c r="E73" s="36" t="inlineStr"/>
      <c r="F73" s="36" t="inlineStr"/>
      <c r="G73" s="37">
        <f>IFERROR(E73/E6,"")</f>
        <v/>
      </c>
      <c r="H73" s="35" t="inlineStr"/>
      <c r="I73" s="36">
        <f>J73-K73</f>
        <v/>
      </c>
      <c r="J73" s="36" t="inlineStr"/>
      <c r="K73" s="36" t="inlineStr"/>
      <c r="L73" s="37">
        <f>IFERROR(J73/J6,"")</f>
        <v/>
      </c>
      <c r="M73" s="35" t="inlineStr">
        <is>
          <t>65UA75006LA</t>
        </is>
      </c>
      <c r="N73" s="36">
        <f>O73-P73</f>
        <v/>
      </c>
      <c r="O73" s="36" t="n">
        <v>510</v>
      </c>
      <c r="P73" s="36" t="n">
        <v>0</v>
      </c>
      <c r="Q73" s="37">
        <f>IFERROR(O73/O6,"")</f>
        <v/>
      </c>
    </row>
    <row r="74" ht="20" customHeight="1">
      <c r="A74" s="34" t="inlineStr">
        <is>
          <t>UHD 4K</t>
        </is>
      </c>
      <c r="B74" s="34" t="inlineStr">
        <is>
          <t>55UA75</t>
        </is>
      </c>
      <c r="C74" s="35" t="inlineStr">
        <is>
          <t>UA75006LA</t>
        </is>
      </c>
      <c r="D74" s="36">
        <f>E74-F74</f>
        <v/>
      </c>
      <c r="E74" s="36" t="n">
        <v>399.95</v>
      </c>
      <c r="F74" s="36" t="n">
        <v>0</v>
      </c>
      <c r="G74" s="37">
        <f>IFERROR(E74/E7,"")</f>
        <v/>
      </c>
      <c r="H74" s="35" t="inlineStr">
        <is>
          <t>55UA75006LA</t>
        </is>
      </c>
      <c r="I74" s="36">
        <f>J74-K74</f>
        <v/>
      </c>
      <c r="J74" s="36" t="n">
        <v>449.95</v>
      </c>
      <c r="K74" s="36" t="n">
        <v>0</v>
      </c>
      <c r="L74" s="37">
        <f>IFERROR(J74/J7,"")</f>
        <v/>
      </c>
      <c r="M74" s="35" t="inlineStr">
        <is>
          <t>55UA75006LA</t>
        </is>
      </c>
      <c r="N74" s="36">
        <f>O74-P74</f>
        <v/>
      </c>
      <c r="O74" s="36" t="n">
        <v>415</v>
      </c>
      <c r="P74" s="36" t="n">
        <v>0</v>
      </c>
      <c r="Q74" s="37">
        <f>IFERROR(O74/O7,"")</f>
        <v/>
      </c>
    </row>
    <row r="75" ht="20" customHeight="1">
      <c r="A75" s="34" t="inlineStr">
        <is>
          <t>UHD 4K</t>
        </is>
      </c>
      <c r="B75" s="34" t="inlineStr">
        <is>
          <t>50UA75</t>
        </is>
      </c>
      <c r="C75" s="35" t="inlineStr"/>
      <c r="D75" s="36">
        <f>E75-F75</f>
        <v/>
      </c>
      <c r="E75" s="36" t="inlineStr"/>
      <c r="F75" s="36" t="inlineStr"/>
      <c r="G75" s="37">
        <f>IFERROR(E75/E7,"")</f>
        <v/>
      </c>
      <c r="H75" s="35" t="inlineStr"/>
      <c r="I75" s="36">
        <f>J75-K75</f>
        <v/>
      </c>
      <c r="J75" s="36" t="inlineStr"/>
      <c r="K75" s="36" t="inlineStr"/>
      <c r="L75" s="37">
        <f>IFERROR(J75/J7,"")</f>
        <v/>
      </c>
      <c r="M75" s="35" t="inlineStr"/>
      <c r="N75" s="36">
        <f>O75-P75</f>
        <v/>
      </c>
      <c r="O75" s="36" t="inlineStr"/>
      <c r="P75" s="36" t="inlineStr"/>
      <c r="Q75" s="37">
        <f>IFERROR(O75/O7,"")</f>
        <v/>
      </c>
    </row>
    <row r="76" ht="20" customHeight="1">
      <c r="A76" s="34" t="inlineStr">
        <is>
          <t>UHD 4K</t>
        </is>
      </c>
      <c r="B76" s="34" t="inlineStr">
        <is>
          <t>43UA75</t>
        </is>
      </c>
      <c r="C76" s="35" t="inlineStr"/>
      <c r="D76" s="36">
        <f>E76-F76</f>
        <v/>
      </c>
      <c r="E76" s="36" t="inlineStr"/>
      <c r="F76" s="36" t="inlineStr"/>
      <c r="G76" s="37">
        <f>IFERROR(E76/E7,"")</f>
        <v/>
      </c>
      <c r="H76" s="35" t="inlineStr"/>
      <c r="I76" s="36">
        <f>J76-K76</f>
        <v/>
      </c>
      <c r="J76" s="36" t="inlineStr"/>
      <c r="K76" s="36" t="inlineStr"/>
      <c r="L76" s="37">
        <f>IFERROR(J76/J7,"")</f>
        <v/>
      </c>
      <c r="M76" s="35" t="inlineStr">
        <is>
          <t>43UA75006LA</t>
        </is>
      </c>
      <c r="N76" s="36">
        <f>O76-P76</f>
        <v/>
      </c>
      <c r="O76" s="36" t="n">
        <v>316</v>
      </c>
      <c r="P76" s="36" t="n">
        <v>0</v>
      </c>
      <c r="Q76" s="37">
        <f>IFERROR(O76/O7,"")</f>
        <v/>
      </c>
    </row>
    <row r="77">
      <c r="A77" s="38" t="n"/>
      <c r="B77" s="38" t="n"/>
      <c r="C77" s="38" t="inlineStr"/>
      <c r="D77" s="38" t="n"/>
      <c r="E77" s="38" t="inlineStr"/>
      <c r="F77" s="38" t="inlineStr"/>
      <c r="G77" s="38" t="inlineStr"/>
      <c r="H77" s="38" t="inlineStr"/>
      <c r="I77" s="38" t="n"/>
      <c r="J77" s="38" t="inlineStr"/>
      <c r="K77" s="38" t="inlineStr"/>
      <c r="L77" s="38" t="inlineStr"/>
      <c r="M77" s="38" t="inlineStr"/>
      <c r="N77" s="38" t="n"/>
      <c r="O77" s="38" t="inlineStr"/>
      <c r="P77" s="38" t="inlineStr"/>
      <c r="Q77" s="38" t="inlineStr"/>
    </row>
    <row r="78" ht="20" customHeight="1">
      <c r="A78" s="39" t="inlineStr">
        <is>
          <t>UHD 4K</t>
        </is>
      </c>
      <c r="B78" s="39" t="inlineStr">
        <is>
          <t>85U8000F</t>
        </is>
      </c>
      <c r="C78" s="40" t="inlineStr"/>
      <c r="D78" s="41">
        <f>E78-F78</f>
        <v/>
      </c>
      <c r="E78" s="41" t="inlineStr"/>
      <c r="F78" s="41" t="inlineStr"/>
      <c r="G78" s="42" t="inlineStr"/>
      <c r="H78" s="40" t="inlineStr">
        <is>
          <t>UE85U8000FUXXN</t>
        </is>
      </c>
      <c r="I78" s="41">
        <f>J78-K78</f>
        <v/>
      </c>
      <c r="J78" s="41" t="n">
        <v>999.95</v>
      </c>
      <c r="K78" s="41" t="n">
        <v>0</v>
      </c>
      <c r="L78" s="42" t="inlineStr"/>
      <c r="M78" s="40" t="inlineStr">
        <is>
          <t>UE85U8000F</t>
        </is>
      </c>
      <c r="N78" s="41">
        <f>O78-P78</f>
        <v/>
      </c>
      <c r="O78" s="41" t="n">
        <v>999</v>
      </c>
      <c r="P78" s="41" t="n">
        <v>0</v>
      </c>
      <c r="Q78" s="42" t="inlineStr"/>
    </row>
    <row r="79" ht="20" customHeight="1">
      <c r="A79" s="39" t="inlineStr">
        <is>
          <t>UHD 4K</t>
        </is>
      </c>
      <c r="B79" s="39" t="inlineStr">
        <is>
          <t>75U8000F</t>
        </is>
      </c>
      <c r="C79" s="40" t="inlineStr">
        <is>
          <t>UE75U8000FU</t>
        </is>
      </c>
      <c r="D79" s="41">
        <f>E79-F79</f>
        <v/>
      </c>
      <c r="E79" s="41" t="n">
        <v>799.95</v>
      </c>
      <c r="F79" s="41" t="n">
        <v>0</v>
      </c>
      <c r="G79" s="42" t="inlineStr"/>
      <c r="H79" s="40" t="inlineStr">
        <is>
          <t>UE75U8000FUXXN</t>
        </is>
      </c>
      <c r="I79" s="41">
        <f>J79-K79</f>
        <v/>
      </c>
      <c r="J79" s="41" t="n">
        <v>699.95</v>
      </c>
      <c r="K79" s="41" t="n">
        <v>0</v>
      </c>
      <c r="L79" s="42" t="inlineStr"/>
      <c r="M79" s="40" t="inlineStr"/>
      <c r="N79" s="41">
        <f>O79-P79</f>
        <v/>
      </c>
      <c r="O79" s="41" t="inlineStr"/>
      <c r="P79" s="41" t="inlineStr"/>
      <c r="Q79" s="42" t="inlineStr"/>
    </row>
    <row r="80" ht="20" customHeight="1">
      <c r="A80" s="39" t="inlineStr">
        <is>
          <t>UHD 4K</t>
        </is>
      </c>
      <c r="B80" s="39" t="inlineStr">
        <is>
          <t>65U8000F</t>
        </is>
      </c>
      <c r="C80" s="40" t="inlineStr">
        <is>
          <t>UE65U8000FU</t>
        </is>
      </c>
      <c r="D80" s="41">
        <f>E80-F80</f>
        <v/>
      </c>
      <c r="E80" s="41" t="n">
        <v>565</v>
      </c>
      <c r="F80" s="41" t="n">
        <v>0</v>
      </c>
      <c r="G80" s="42" t="inlineStr"/>
      <c r="H80" s="40" t="inlineStr">
        <is>
          <t>UE65U8000F</t>
        </is>
      </c>
      <c r="I80" s="41">
        <f>J80-K80</f>
        <v/>
      </c>
      <c r="J80" s="41" t="n">
        <v>569.95</v>
      </c>
      <c r="K80" s="41" t="n">
        <v>0</v>
      </c>
      <c r="L80" s="42" t="inlineStr"/>
      <c r="M80" s="40" t="inlineStr">
        <is>
          <t>UE65U8000F</t>
        </is>
      </c>
      <c r="N80" s="41">
        <f>O80-P80</f>
        <v/>
      </c>
      <c r="O80" s="41" t="n">
        <v>605</v>
      </c>
      <c r="P80" s="41" t="n">
        <v>0</v>
      </c>
      <c r="Q80" s="42" t="inlineStr"/>
    </row>
    <row r="81" ht="20" customHeight="1">
      <c r="A81" s="39" t="inlineStr">
        <is>
          <t>UHD 4K</t>
        </is>
      </c>
      <c r="B81" s="39" t="inlineStr">
        <is>
          <t>55U8000F</t>
        </is>
      </c>
      <c r="C81" s="40" t="inlineStr">
        <is>
          <t>UE55U8000FU</t>
        </is>
      </c>
      <c r="D81" s="41">
        <f>E81-F81</f>
        <v/>
      </c>
      <c r="E81" s="41" t="n">
        <v>459.95</v>
      </c>
      <c r="F81" s="41" t="n">
        <v>0</v>
      </c>
      <c r="G81" s="42" t="inlineStr"/>
      <c r="H81" s="40" t="inlineStr">
        <is>
          <t>UE55U8000F</t>
        </is>
      </c>
      <c r="I81" s="41">
        <f>J81-K81</f>
        <v/>
      </c>
      <c r="J81" s="41" t="n">
        <v>769.95</v>
      </c>
      <c r="K81" s="41" t="n">
        <v>0</v>
      </c>
      <c r="L81" s="42" t="inlineStr"/>
      <c r="M81" s="40" t="inlineStr"/>
      <c r="N81" s="41">
        <f>O81-P81</f>
        <v/>
      </c>
      <c r="O81" s="41" t="inlineStr"/>
      <c r="P81" s="41" t="inlineStr"/>
      <c r="Q81" s="42" t="inlineStr"/>
    </row>
    <row r="82" ht="20" customHeight="1">
      <c r="A82" s="39" t="inlineStr">
        <is>
          <t>UHD 4K</t>
        </is>
      </c>
      <c r="B82" s="39" t="inlineStr">
        <is>
          <t>50U8000F</t>
        </is>
      </c>
      <c r="C82" s="40" t="inlineStr">
        <is>
          <t>UE50U8000FU</t>
        </is>
      </c>
      <c r="D82" s="41">
        <f>E82-F82</f>
        <v/>
      </c>
      <c r="E82" s="41" t="n">
        <v>407.95</v>
      </c>
      <c r="F82" s="41" t="n">
        <v>0</v>
      </c>
      <c r="G82" s="42" t="inlineStr"/>
      <c r="H82" s="40" t="inlineStr">
        <is>
          <t>UE50U8000F</t>
        </is>
      </c>
      <c r="I82" s="41">
        <f>J82-K82</f>
        <v/>
      </c>
      <c r="J82" s="41" t="n">
        <v>399.95</v>
      </c>
      <c r="K82" s="41" t="n">
        <v>0</v>
      </c>
      <c r="L82" s="42" t="inlineStr"/>
      <c r="M82" s="40" t="inlineStr">
        <is>
          <t>UE50U8000F</t>
        </is>
      </c>
      <c r="N82" s="41">
        <f>O82-P82</f>
        <v/>
      </c>
      <c r="O82" s="41" t="n">
        <v>466</v>
      </c>
      <c r="P82" s="41" t="n">
        <v>0</v>
      </c>
      <c r="Q82" s="42" t="inlineStr"/>
    </row>
    <row r="83" ht="20" customHeight="1">
      <c r="A83" s="39" t="inlineStr">
        <is>
          <t>UHD 4K</t>
        </is>
      </c>
      <c r="B83" s="39" t="inlineStr">
        <is>
          <t>43U8000F</t>
        </is>
      </c>
      <c r="C83" s="40" t="inlineStr">
        <is>
          <t>UE43U8000FU</t>
        </is>
      </c>
      <c r="D83" s="41">
        <f>E83-F83</f>
        <v/>
      </c>
      <c r="E83" s="41" t="n">
        <v>399.95</v>
      </c>
      <c r="F83" s="41" t="n">
        <v>0</v>
      </c>
      <c r="G83" s="42" t="inlineStr"/>
      <c r="H83" s="40" t="inlineStr">
        <is>
          <t>UE43U8000FUXXN</t>
        </is>
      </c>
      <c r="I83" s="41">
        <f>J83-K83</f>
        <v/>
      </c>
      <c r="J83" s="41" t="n">
        <v>349.95</v>
      </c>
      <c r="K83" s="41" t="n">
        <v>0</v>
      </c>
      <c r="L83" s="42" t="inlineStr"/>
      <c r="M83" s="40" t="inlineStr"/>
      <c r="N83" s="41">
        <f>O83-P83</f>
        <v/>
      </c>
      <c r="O83" s="41" t="inlineStr"/>
      <c r="P83" s="41" t="inlineStr"/>
      <c r="Q83" s="42" t="inlineStr"/>
    </row>
    <row r="84">
      <c r="A84" s="38" t="n"/>
      <c r="B84" s="38" t="n"/>
      <c r="C84" s="38" t="inlineStr"/>
      <c r="D84" s="38" t="n"/>
      <c r="E84" s="38" t="inlineStr"/>
      <c r="F84" s="38" t="inlineStr"/>
      <c r="G84" s="38" t="inlineStr"/>
      <c r="H84" s="38" t="inlineStr"/>
      <c r="I84" s="38" t="n"/>
      <c r="J84" s="38" t="inlineStr"/>
      <c r="K84" s="38" t="inlineStr"/>
      <c r="L84" s="38" t="inlineStr"/>
      <c r="M84" s="38" t="inlineStr"/>
      <c r="N84" s="38" t="n"/>
      <c r="O84" s="38" t="inlineStr"/>
      <c r="P84" s="38" t="inlineStr"/>
      <c r="Q84" s="38" t="inlineStr"/>
    </row>
    <row r="85">
      <c r="A85" s="38" t="n"/>
      <c r="B85" s="38" t="n"/>
      <c r="C85" s="38" t="inlineStr"/>
      <c r="D85" s="38" t="n"/>
      <c r="E85" s="38" t="inlineStr"/>
      <c r="F85" s="38" t="inlineStr"/>
      <c r="G85" s="38" t="inlineStr"/>
      <c r="H85" s="38" t="inlineStr"/>
      <c r="I85" s="38" t="n"/>
      <c r="J85" s="38" t="inlineStr"/>
      <c r="K85" s="38" t="inlineStr"/>
      <c r="L85" s="38" t="inlineStr"/>
      <c r="M85" s="38" t="inlineStr"/>
      <c r="N85" s="38" t="n"/>
      <c r="O85" s="38" t="inlineStr"/>
      <c r="P85" s="38" t="inlineStr"/>
      <c r="Q85" s="38" t="inlineStr"/>
    </row>
    <row r="86" ht="24" customHeight="1">
      <c r="A86" s="43" t="inlineStr">
        <is>
          <t>Display</t>
        </is>
      </c>
      <c r="B86" s="43" t="inlineStr">
        <is>
          <t>Series</t>
        </is>
      </c>
      <c r="C86" s="43" t="inlineStr">
        <is>
          <t>VLOOKUP Summary</t>
        </is>
      </c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</row>
    <row r="87" ht="20" customHeight="1">
      <c r="A87" s="34" t="inlineStr">
        <is>
          <t>OLED</t>
        </is>
      </c>
      <c r="B87" s="34" t="inlineStr">
        <is>
          <t>55G5</t>
        </is>
      </c>
      <c r="C87" s="35">
        <f>IF(VLOOKUP($B87,$B$4:$Q$85,2,FALSE)=0,"",VLOOKUP($B87,$B$4:$Q$85,2,FALSE))</f>
        <v/>
      </c>
      <c r="D87" s="36">
        <f>VLOOKUP($B87,$B$4:$Q$85,3,FALSE)</f>
        <v/>
      </c>
      <c r="E87" s="36">
        <f>VLOOKUP($B87,$B$4:$Q$85,4,FALSE)</f>
        <v/>
      </c>
      <c r="F87" s="36">
        <f>VLOOKUP($B87,$B$4:$Q$85,5,FALSE)</f>
        <v/>
      </c>
      <c r="G87" s="37">
        <f>VLOOKUP($B87,$B$4:$Q$85,6,FALSE)</f>
        <v/>
      </c>
      <c r="H87" s="35">
        <f>IF(VLOOKUP($B87,$B$4:$Q$85,7,FALSE)=0,"",VLOOKUP($B87,$B$4:$Q$85,7,FALSE))</f>
        <v/>
      </c>
      <c r="I87" s="36">
        <f>VLOOKUP($B87,$B$4:$Q$85,8,FALSE)</f>
        <v/>
      </c>
      <c r="J87" s="36">
        <f>VLOOKUP($B87,$B$4:$Q$85,9,FALSE)</f>
        <v/>
      </c>
      <c r="K87" s="36">
        <f>VLOOKUP($B87,$B$4:$Q$85,10,FALSE)</f>
        <v/>
      </c>
      <c r="L87" s="37">
        <f>VLOOKUP($B87,$B$4:$Q$85,11,FALSE)</f>
        <v/>
      </c>
      <c r="M87" s="35">
        <f>IF(VLOOKUP($B87,$B$4:$Q$85,12,FALSE)=0,"",VLOOKUP($B87,$B$4:$Q$85,12,FALSE))</f>
        <v/>
      </c>
      <c r="N87" s="36">
        <f>VLOOKUP($B87,$B$4:$Q$85,13,FALSE)</f>
        <v/>
      </c>
      <c r="O87" s="36">
        <f>VLOOKUP($B87,$B$4:$Q$85,14,FALSE)</f>
        <v/>
      </c>
      <c r="P87" s="36">
        <f>VLOOKUP($B87,$B$4:$Q$85,15,FALSE)</f>
        <v/>
      </c>
      <c r="Q87" s="37">
        <f>VLOOKUP($B87,$B$4:$Q$85,16,FALSE)</f>
        <v/>
      </c>
    </row>
    <row r="88" ht="20" customHeight="1">
      <c r="A88" s="34" t="inlineStr">
        <is>
          <t>OLED</t>
        </is>
      </c>
      <c r="B88" s="34" t="inlineStr">
        <is>
          <t>55C5</t>
        </is>
      </c>
      <c r="C88" s="35">
        <f>IF(VLOOKUP($B88,$B$4:$Q$85,2,FALSE)=0,"",VLOOKUP($B88,$B$4:$Q$85,2,FALSE))</f>
        <v/>
      </c>
      <c r="D88" s="36">
        <f>VLOOKUP($B88,$B$4:$Q$85,3,FALSE)</f>
        <v/>
      </c>
      <c r="E88" s="36">
        <f>VLOOKUP($B88,$B$4:$Q$85,4,FALSE)</f>
        <v/>
      </c>
      <c r="F88" s="36">
        <f>VLOOKUP($B88,$B$4:$Q$85,5,FALSE)</f>
        <v/>
      </c>
      <c r="G88" s="37">
        <f>VLOOKUP($B88,$B$4:$Q$85,6,FALSE)</f>
        <v/>
      </c>
      <c r="H88" s="35">
        <f>IF(VLOOKUP($B88,$B$4:$Q$85,7,FALSE)=0,"",VLOOKUP($B88,$B$4:$Q$85,7,FALSE))</f>
        <v/>
      </c>
      <c r="I88" s="36">
        <f>VLOOKUP($B88,$B$4:$Q$85,8,FALSE)</f>
        <v/>
      </c>
      <c r="J88" s="36">
        <f>VLOOKUP($B88,$B$4:$Q$85,9,FALSE)</f>
        <v/>
      </c>
      <c r="K88" s="36">
        <f>VLOOKUP($B88,$B$4:$Q$85,10,FALSE)</f>
        <v/>
      </c>
      <c r="L88" s="37">
        <f>VLOOKUP($B88,$B$4:$Q$85,11,FALSE)</f>
        <v/>
      </c>
      <c r="M88" s="35">
        <f>IF(VLOOKUP($B88,$B$4:$Q$85,12,FALSE)=0,"",VLOOKUP($B88,$B$4:$Q$85,12,FALSE))</f>
        <v/>
      </c>
      <c r="N88" s="36">
        <f>VLOOKUP($B88,$B$4:$Q$85,13,FALSE)</f>
        <v/>
      </c>
      <c r="O88" s="36">
        <f>VLOOKUP($B88,$B$4:$Q$85,14,FALSE)</f>
        <v/>
      </c>
      <c r="P88" s="36">
        <f>VLOOKUP($B88,$B$4:$Q$85,15,FALSE)</f>
        <v/>
      </c>
      <c r="Q88" s="37">
        <f>VLOOKUP($B88,$B$4:$Q$85,16,FALSE)</f>
        <v/>
      </c>
    </row>
    <row r="89" ht="20" customHeight="1">
      <c r="A89" s="34" t="inlineStr">
        <is>
          <t>OLED</t>
        </is>
      </c>
      <c r="B89" s="34" t="inlineStr">
        <is>
          <t>55B5</t>
        </is>
      </c>
      <c r="C89" s="35">
        <f>IF(VLOOKUP($B89,$B$4:$Q$85,2,FALSE)=0,"",VLOOKUP($B89,$B$4:$Q$85,2,FALSE))</f>
        <v/>
      </c>
      <c r="D89" s="36">
        <f>VLOOKUP($B89,$B$4:$Q$85,3,FALSE)</f>
        <v/>
      </c>
      <c r="E89" s="36">
        <f>VLOOKUP($B89,$B$4:$Q$85,4,FALSE)</f>
        <v/>
      </c>
      <c r="F89" s="36">
        <f>VLOOKUP($B89,$B$4:$Q$85,5,FALSE)</f>
        <v/>
      </c>
      <c r="G89" s="37">
        <f>VLOOKUP($B89,$B$4:$Q$85,6,FALSE)</f>
        <v/>
      </c>
      <c r="H89" s="35">
        <f>IF(VLOOKUP($B89,$B$4:$Q$85,7,FALSE)=0,"",VLOOKUP($B89,$B$4:$Q$85,7,FALSE))</f>
        <v/>
      </c>
      <c r="I89" s="36">
        <f>VLOOKUP($B89,$B$4:$Q$85,8,FALSE)</f>
        <v/>
      </c>
      <c r="J89" s="36">
        <f>VLOOKUP($B89,$B$4:$Q$85,9,FALSE)</f>
        <v/>
      </c>
      <c r="K89" s="36">
        <f>VLOOKUP($B89,$B$4:$Q$85,10,FALSE)</f>
        <v/>
      </c>
      <c r="L89" s="37">
        <f>VLOOKUP($B89,$B$4:$Q$85,11,FALSE)</f>
        <v/>
      </c>
      <c r="M89" s="35">
        <f>IF(VLOOKUP($B89,$B$4:$Q$85,12,FALSE)=0,"",VLOOKUP($B89,$B$4:$Q$85,12,FALSE))</f>
        <v/>
      </c>
      <c r="N89" s="36">
        <f>VLOOKUP($B89,$B$4:$Q$85,13,FALSE)</f>
        <v/>
      </c>
      <c r="O89" s="36">
        <f>VLOOKUP($B89,$B$4:$Q$85,14,FALSE)</f>
        <v/>
      </c>
      <c r="P89" s="36">
        <f>VLOOKUP($B89,$B$4:$Q$85,15,FALSE)</f>
        <v/>
      </c>
      <c r="Q89" s="37">
        <f>VLOOKUP($B89,$B$4:$Q$85,16,FALSE)</f>
        <v/>
      </c>
    </row>
    <row r="90" ht="20" customHeight="1">
      <c r="A90" s="34" t="inlineStr">
        <is>
          <t>QNED</t>
        </is>
      </c>
      <c r="B90" s="34" t="inlineStr">
        <is>
          <t>55QNED86A</t>
        </is>
      </c>
      <c r="C90" s="35">
        <f>IF(VLOOKUP($B90,$B$4:$Q$85,2,FALSE)=0,"",VLOOKUP($B90,$B$4:$Q$85,2,FALSE))</f>
        <v/>
      </c>
      <c r="D90" s="36">
        <f>VLOOKUP($B90,$B$4:$Q$85,3,FALSE)</f>
        <v/>
      </c>
      <c r="E90" s="36">
        <f>VLOOKUP($B90,$B$4:$Q$85,4,FALSE)</f>
        <v/>
      </c>
      <c r="F90" s="36">
        <f>VLOOKUP($B90,$B$4:$Q$85,5,FALSE)</f>
        <v/>
      </c>
      <c r="G90" s="37">
        <f>VLOOKUP($B90,$B$4:$Q$85,6,FALSE)</f>
        <v/>
      </c>
      <c r="H90" s="35">
        <f>IF(VLOOKUP($B90,$B$4:$Q$85,7,FALSE)=0,"",VLOOKUP($B90,$B$4:$Q$85,7,FALSE))</f>
        <v/>
      </c>
      <c r="I90" s="36">
        <f>VLOOKUP($B90,$B$4:$Q$85,8,FALSE)</f>
        <v/>
      </c>
      <c r="J90" s="36">
        <f>VLOOKUP($B90,$B$4:$Q$85,9,FALSE)</f>
        <v/>
      </c>
      <c r="K90" s="36">
        <f>VLOOKUP($B90,$B$4:$Q$85,10,FALSE)</f>
        <v/>
      </c>
      <c r="L90" s="37">
        <f>VLOOKUP($B90,$B$4:$Q$85,11,FALSE)</f>
        <v/>
      </c>
      <c r="M90" s="35">
        <f>IF(VLOOKUP($B90,$B$4:$Q$85,12,FALSE)=0,"",VLOOKUP($B90,$B$4:$Q$85,12,FALSE))</f>
        <v/>
      </c>
      <c r="N90" s="36">
        <f>VLOOKUP($B90,$B$4:$Q$85,13,FALSE)</f>
        <v/>
      </c>
      <c r="O90" s="36">
        <f>VLOOKUP($B90,$B$4:$Q$85,14,FALSE)</f>
        <v/>
      </c>
      <c r="P90" s="36">
        <f>VLOOKUP($B90,$B$4:$Q$85,15,FALSE)</f>
        <v/>
      </c>
      <c r="Q90" s="37">
        <f>VLOOKUP($B90,$B$4:$Q$85,16,FALSE)</f>
        <v/>
      </c>
    </row>
    <row r="91" ht="20" customHeight="1">
      <c r="A91" s="34" t="inlineStr">
        <is>
          <t>QNED</t>
        </is>
      </c>
      <c r="B91" s="34" t="inlineStr">
        <is>
          <t>55QNED80A</t>
        </is>
      </c>
      <c r="C91" s="35">
        <f>IF(VLOOKUP($B91,$B$4:$Q$85,2,FALSE)=0,"",VLOOKUP($B91,$B$4:$Q$85,2,FALSE))</f>
        <v/>
      </c>
      <c r="D91" s="36">
        <f>VLOOKUP($B91,$B$4:$Q$85,3,FALSE)</f>
        <v/>
      </c>
      <c r="E91" s="36">
        <f>VLOOKUP($B91,$B$4:$Q$85,4,FALSE)</f>
        <v/>
      </c>
      <c r="F91" s="36">
        <f>VLOOKUP($B91,$B$4:$Q$85,5,FALSE)</f>
        <v/>
      </c>
      <c r="G91" s="37">
        <f>VLOOKUP($B91,$B$4:$Q$85,6,FALSE)</f>
        <v/>
      </c>
      <c r="H91" s="35">
        <f>IF(VLOOKUP($B91,$B$4:$Q$85,7,FALSE)=0,"",VLOOKUP($B91,$B$4:$Q$85,7,FALSE))</f>
        <v/>
      </c>
      <c r="I91" s="36">
        <f>VLOOKUP($B91,$B$4:$Q$85,8,FALSE)</f>
        <v/>
      </c>
      <c r="J91" s="36">
        <f>VLOOKUP($B91,$B$4:$Q$85,9,FALSE)</f>
        <v/>
      </c>
      <c r="K91" s="36">
        <f>VLOOKUP($B91,$B$4:$Q$85,10,FALSE)</f>
        <v/>
      </c>
      <c r="L91" s="37">
        <f>VLOOKUP($B91,$B$4:$Q$85,11,FALSE)</f>
        <v/>
      </c>
      <c r="M91" s="35">
        <f>IF(VLOOKUP($B91,$B$4:$Q$85,12,FALSE)=0,"",VLOOKUP($B91,$B$4:$Q$85,12,FALSE))</f>
        <v/>
      </c>
      <c r="N91" s="36">
        <f>VLOOKUP($B91,$B$4:$Q$85,13,FALSE)</f>
        <v/>
      </c>
      <c r="O91" s="36">
        <f>VLOOKUP($B91,$B$4:$Q$85,14,FALSE)</f>
        <v/>
      </c>
      <c r="P91" s="36">
        <f>VLOOKUP($B91,$B$4:$Q$85,15,FALSE)</f>
        <v/>
      </c>
      <c r="Q91" s="37">
        <f>VLOOKUP($B91,$B$4:$Q$85,16,FALSE)</f>
        <v/>
      </c>
    </row>
    <row r="92" ht="20" customHeight="1">
      <c r="A92" s="34" t="inlineStr">
        <is>
          <t>UHD 4K</t>
        </is>
      </c>
      <c r="B92" s="34" t="inlineStr">
        <is>
          <t>55UA75</t>
        </is>
      </c>
      <c r="C92" s="35">
        <f>IF(VLOOKUP($B92,$B$4:$Q$85,2,FALSE)=0,"",VLOOKUP($B92,$B$4:$Q$85,2,FALSE))</f>
        <v/>
      </c>
      <c r="D92" s="36">
        <f>VLOOKUP($B92,$B$4:$Q$85,3,FALSE)</f>
        <v/>
      </c>
      <c r="E92" s="36">
        <f>VLOOKUP($B92,$B$4:$Q$85,4,FALSE)</f>
        <v/>
      </c>
      <c r="F92" s="36">
        <f>VLOOKUP($B92,$B$4:$Q$85,5,FALSE)</f>
        <v/>
      </c>
      <c r="G92" s="37">
        <f>VLOOKUP($B92,$B$4:$Q$85,6,FALSE)</f>
        <v/>
      </c>
      <c r="H92" s="35">
        <f>IF(VLOOKUP($B92,$B$4:$Q$85,7,FALSE)=0,"",VLOOKUP($B92,$B$4:$Q$85,7,FALSE))</f>
        <v/>
      </c>
      <c r="I92" s="36">
        <f>VLOOKUP($B92,$B$4:$Q$85,8,FALSE)</f>
        <v/>
      </c>
      <c r="J92" s="36">
        <f>VLOOKUP($B92,$B$4:$Q$85,9,FALSE)</f>
        <v/>
      </c>
      <c r="K92" s="36">
        <f>VLOOKUP($B92,$B$4:$Q$85,10,FALSE)</f>
        <v/>
      </c>
      <c r="L92" s="37">
        <f>VLOOKUP($B92,$B$4:$Q$85,11,FALSE)</f>
        <v/>
      </c>
      <c r="M92" s="35">
        <f>IF(VLOOKUP($B92,$B$4:$Q$85,12,FALSE)=0,"",VLOOKUP($B92,$B$4:$Q$85,12,FALSE))</f>
        <v/>
      </c>
      <c r="N92" s="36">
        <f>VLOOKUP($B92,$B$4:$Q$85,13,FALSE)</f>
        <v/>
      </c>
      <c r="O92" s="36">
        <f>VLOOKUP($B92,$B$4:$Q$85,14,FALSE)</f>
        <v/>
      </c>
      <c r="P92" s="36">
        <f>VLOOKUP($B92,$B$4:$Q$85,15,FALSE)</f>
        <v/>
      </c>
      <c r="Q92" s="37">
        <f>VLOOKUP($B92,$B$4:$Q$85,16,FALSE)</f>
        <v/>
      </c>
    </row>
    <row r="93"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</row>
    <row r="94" ht="20" customHeight="1">
      <c r="A94" s="34" t="inlineStr">
        <is>
          <t>OLED</t>
        </is>
      </c>
      <c r="B94" s="34" t="inlineStr">
        <is>
          <t>65G5</t>
        </is>
      </c>
      <c r="C94" s="35">
        <f>IF(VLOOKUP($B94,$B$4:$Q$85,2,FALSE)=0,"",VLOOKUP($B94,$B$4:$Q$85,2,FALSE))</f>
        <v/>
      </c>
      <c r="D94" s="36">
        <f>VLOOKUP($B94,$B$4:$Q$85,3,FALSE)</f>
        <v/>
      </c>
      <c r="E94" s="36">
        <f>VLOOKUP($B94,$B$4:$Q$85,4,FALSE)</f>
        <v/>
      </c>
      <c r="F94" s="36">
        <f>VLOOKUP($B94,$B$4:$Q$85,5,FALSE)</f>
        <v/>
      </c>
      <c r="G94" s="37">
        <f>VLOOKUP($B94,$B$4:$Q$85,6,FALSE)</f>
        <v/>
      </c>
      <c r="H94" s="35">
        <f>IF(VLOOKUP($B94,$B$4:$Q$85,7,FALSE)=0,"",VLOOKUP($B94,$B$4:$Q$85,7,FALSE))</f>
        <v/>
      </c>
      <c r="I94" s="36">
        <f>VLOOKUP($B94,$B$4:$Q$85,8,FALSE)</f>
        <v/>
      </c>
      <c r="J94" s="36">
        <f>VLOOKUP($B94,$B$4:$Q$85,9,FALSE)</f>
        <v/>
      </c>
      <c r="K94" s="36">
        <f>VLOOKUP($B94,$B$4:$Q$85,10,FALSE)</f>
        <v/>
      </c>
      <c r="L94" s="37">
        <f>VLOOKUP($B94,$B$4:$Q$85,11,FALSE)</f>
        <v/>
      </c>
      <c r="M94" s="35">
        <f>IF(VLOOKUP($B94,$B$4:$Q$85,12,FALSE)=0,"",VLOOKUP($B94,$B$4:$Q$85,12,FALSE))</f>
        <v/>
      </c>
      <c r="N94" s="36">
        <f>VLOOKUP($B94,$B$4:$Q$85,13,FALSE)</f>
        <v/>
      </c>
      <c r="O94" s="36">
        <f>VLOOKUP($B94,$B$4:$Q$85,14,FALSE)</f>
        <v/>
      </c>
      <c r="P94" s="36">
        <f>VLOOKUP($B94,$B$4:$Q$85,15,FALSE)</f>
        <v/>
      </c>
      <c r="Q94" s="37">
        <f>VLOOKUP($B94,$B$4:$Q$85,16,FALSE)</f>
        <v/>
      </c>
    </row>
    <row r="95" ht="20" customHeight="1">
      <c r="A95" s="34" t="inlineStr">
        <is>
          <t>OLED</t>
        </is>
      </c>
      <c r="B95" s="34" t="inlineStr">
        <is>
          <t>65C5</t>
        </is>
      </c>
      <c r="C95" s="35">
        <f>IF(VLOOKUP($B95,$B$4:$Q$85,2,FALSE)=0,"",VLOOKUP($B95,$B$4:$Q$85,2,FALSE))</f>
        <v/>
      </c>
      <c r="D95" s="36">
        <f>VLOOKUP($B95,$B$4:$Q$85,3,FALSE)</f>
        <v/>
      </c>
      <c r="E95" s="36">
        <f>VLOOKUP($B95,$B$4:$Q$85,4,FALSE)</f>
        <v/>
      </c>
      <c r="F95" s="36">
        <f>VLOOKUP($B95,$B$4:$Q$85,5,FALSE)</f>
        <v/>
      </c>
      <c r="G95" s="37">
        <f>VLOOKUP($B95,$B$4:$Q$85,6,FALSE)</f>
        <v/>
      </c>
      <c r="H95" s="35">
        <f>IF(VLOOKUP($B95,$B$4:$Q$85,7,FALSE)=0,"",VLOOKUP($B95,$B$4:$Q$85,7,FALSE))</f>
        <v/>
      </c>
      <c r="I95" s="36">
        <f>VLOOKUP($B95,$B$4:$Q$85,8,FALSE)</f>
        <v/>
      </c>
      <c r="J95" s="36">
        <f>VLOOKUP($B95,$B$4:$Q$85,9,FALSE)</f>
        <v/>
      </c>
      <c r="K95" s="36">
        <f>VLOOKUP($B95,$B$4:$Q$85,10,FALSE)</f>
        <v/>
      </c>
      <c r="L95" s="37">
        <f>VLOOKUP($B95,$B$4:$Q$85,11,FALSE)</f>
        <v/>
      </c>
      <c r="M95" s="35">
        <f>IF(VLOOKUP($B95,$B$4:$Q$85,12,FALSE)=0,"",VLOOKUP($B95,$B$4:$Q$85,12,FALSE))</f>
        <v/>
      </c>
      <c r="N95" s="36">
        <f>VLOOKUP($B95,$B$4:$Q$85,13,FALSE)</f>
        <v/>
      </c>
      <c r="O95" s="36">
        <f>VLOOKUP($B95,$B$4:$Q$85,14,FALSE)</f>
        <v/>
      </c>
      <c r="P95" s="36">
        <f>VLOOKUP($B95,$B$4:$Q$85,15,FALSE)</f>
        <v/>
      </c>
      <c r="Q95" s="37">
        <f>VLOOKUP($B95,$B$4:$Q$85,16,FALSE)</f>
        <v/>
      </c>
    </row>
    <row r="96" ht="20" customHeight="1">
      <c r="A96" s="34" t="inlineStr">
        <is>
          <t>OLED</t>
        </is>
      </c>
      <c r="B96" s="34" t="inlineStr">
        <is>
          <t>65B5</t>
        </is>
      </c>
      <c r="C96" s="35">
        <f>IF(VLOOKUP($B96,$B$4:$Q$85,2,FALSE)=0,"",VLOOKUP($B96,$B$4:$Q$85,2,FALSE))</f>
        <v/>
      </c>
      <c r="D96" s="36">
        <f>VLOOKUP($B96,$B$4:$Q$85,3,FALSE)</f>
        <v/>
      </c>
      <c r="E96" s="36">
        <f>VLOOKUP($B96,$B$4:$Q$85,4,FALSE)</f>
        <v/>
      </c>
      <c r="F96" s="36">
        <f>VLOOKUP($B96,$B$4:$Q$85,5,FALSE)</f>
        <v/>
      </c>
      <c r="G96" s="37">
        <f>VLOOKUP($B96,$B$4:$Q$85,6,FALSE)</f>
        <v/>
      </c>
      <c r="H96" s="35">
        <f>IF(VLOOKUP($B96,$B$4:$Q$85,7,FALSE)=0,"",VLOOKUP($B96,$B$4:$Q$85,7,FALSE))</f>
        <v/>
      </c>
      <c r="I96" s="36">
        <f>VLOOKUP($B96,$B$4:$Q$85,8,FALSE)</f>
        <v/>
      </c>
      <c r="J96" s="36">
        <f>VLOOKUP($B96,$B$4:$Q$85,9,FALSE)</f>
        <v/>
      </c>
      <c r="K96" s="36">
        <f>VLOOKUP($B96,$B$4:$Q$85,10,FALSE)</f>
        <v/>
      </c>
      <c r="L96" s="37">
        <f>VLOOKUP($B96,$B$4:$Q$85,11,FALSE)</f>
        <v/>
      </c>
      <c r="M96" s="35">
        <f>IF(VLOOKUP($B96,$B$4:$Q$85,12,FALSE)=0,"",VLOOKUP($B96,$B$4:$Q$85,12,FALSE))</f>
        <v/>
      </c>
      <c r="N96" s="36">
        <f>VLOOKUP($B96,$B$4:$Q$85,13,FALSE)</f>
        <v/>
      </c>
      <c r="O96" s="36">
        <f>VLOOKUP($B96,$B$4:$Q$85,14,FALSE)</f>
        <v/>
      </c>
      <c r="P96" s="36">
        <f>VLOOKUP($B96,$B$4:$Q$85,15,FALSE)</f>
        <v/>
      </c>
      <c r="Q96" s="37">
        <f>VLOOKUP($B96,$B$4:$Q$85,16,FALSE)</f>
        <v/>
      </c>
    </row>
    <row r="97" ht="20" customHeight="1">
      <c r="A97" s="34" t="inlineStr">
        <is>
          <t>QNED</t>
        </is>
      </c>
      <c r="B97" s="34" t="inlineStr">
        <is>
          <t>65QNED86A</t>
        </is>
      </c>
      <c r="C97" s="35">
        <f>IF(VLOOKUP($B97,$B$4:$Q$85,2,FALSE)=0,"",VLOOKUP($B97,$B$4:$Q$85,2,FALSE))</f>
        <v/>
      </c>
      <c r="D97" s="36">
        <f>VLOOKUP($B97,$B$4:$Q$85,3,FALSE)</f>
        <v/>
      </c>
      <c r="E97" s="36">
        <f>VLOOKUP($B97,$B$4:$Q$85,4,FALSE)</f>
        <v/>
      </c>
      <c r="F97" s="36">
        <f>VLOOKUP($B97,$B$4:$Q$85,5,FALSE)</f>
        <v/>
      </c>
      <c r="G97" s="37">
        <f>VLOOKUP($B97,$B$4:$Q$85,6,FALSE)</f>
        <v/>
      </c>
      <c r="H97" s="35">
        <f>IF(VLOOKUP($B97,$B$4:$Q$85,7,FALSE)=0,"",VLOOKUP($B97,$B$4:$Q$85,7,FALSE))</f>
        <v/>
      </c>
      <c r="I97" s="36">
        <f>VLOOKUP($B97,$B$4:$Q$85,8,FALSE)</f>
        <v/>
      </c>
      <c r="J97" s="36">
        <f>VLOOKUP($B97,$B$4:$Q$85,9,FALSE)</f>
        <v/>
      </c>
      <c r="K97" s="36">
        <f>VLOOKUP($B97,$B$4:$Q$85,10,FALSE)</f>
        <v/>
      </c>
      <c r="L97" s="37">
        <f>VLOOKUP($B97,$B$4:$Q$85,11,FALSE)</f>
        <v/>
      </c>
      <c r="M97" s="35">
        <f>IF(VLOOKUP($B97,$B$4:$Q$85,12,FALSE)=0,"",VLOOKUP($B97,$B$4:$Q$85,12,FALSE))</f>
        <v/>
      </c>
      <c r="N97" s="36">
        <f>VLOOKUP($B97,$B$4:$Q$85,13,FALSE)</f>
        <v/>
      </c>
      <c r="O97" s="36">
        <f>VLOOKUP($B97,$B$4:$Q$85,14,FALSE)</f>
        <v/>
      </c>
      <c r="P97" s="36">
        <f>VLOOKUP($B97,$B$4:$Q$85,15,FALSE)</f>
        <v/>
      </c>
      <c r="Q97" s="37">
        <f>VLOOKUP($B97,$B$4:$Q$85,16,FALSE)</f>
        <v/>
      </c>
    </row>
    <row r="98" ht="20" customHeight="1">
      <c r="A98" s="34" t="inlineStr">
        <is>
          <t>QNED</t>
        </is>
      </c>
      <c r="B98" s="34" t="inlineStr">
        <is>
          <t>65QNED80A</t>
        </is>
      </c>
      <c r="C98" s="35">
        <f>IF(VLOOKUP($B98,$B$4:$Q$85,2,FALSE)=0,"",VLOOKUP($B98,$B$4:$Q$85,2,FALSE))</f>
        <v/>
      </c>
      <c r="D98" s="36">
        <f>VLOOKUP($B98,$B$4:$Q$85,3,FALSE)</f>
        <v/>
      </c>
      <c r="E98" s="36">
        <f>VLOOKUP($B98,$B$4:$Q$85,4,FALSE)</f>
        <v/>
      </c>
      <c r="F98" s="36">
        <f>VLOOKUP($B98,$B$4:$Q$85,5,FALSE)</f>
        <v/>
      </c>
      <c r="G98" s="37">
        <f>VLOOKUP($B98,$B$4:$Q$85,6,FALSE)</f>
        <v/>
      </c>
      <c r="H98" s="35">
        <f>IF(VLOOKUP($B98,$B$4:$Q$85,7,FALSE)=0,"",VLOOKUP($B98,$B$4:$Q$85,7,FALSE))</f>
        <v/>
      </c>
      <c r="I98" s="36">
        <f>VLOOKUP($B98,$B$4:$Q$85,8,FALSE)</f>
        <v/>
      </c>
      <c r="J98" s="36">
        <f>VLOOKUP($B98,$B$4:$Q$85,9,FALSE)</f>
        <v/>
      </c>
      <c r="K98" s="36">
        <f>VLOOKUP($B98,$B$4:$Q$85,10,FALSE)</f>
        <v/>
      </c>
      <c r="L98" s="37">
        <f>VLOOKUP($B98,$B$4:$Q$85,11,FALSE)</f>
        <v/>
      </c>
      <c r="M98" s="35">
        <f>IF(VLOOKUP($B98,$B$4:$Q$85,12,FALSE)=0,"",VLOOKUP($B98,$B$4:$Q$85,12,FALSE))</f>
        <v/>
      </c>
      <c r="N98" s="36">
        <f>VLOOKUP($B98,$B$4:$Q$85,13,FALSE)</f>
        <v/>
      </c>
      <c r="O98" s="36">
        <f>VLOOKUP($B98,$B$4:$Q$85,14,FALSE)</f>
        <v/>
      </c>
      <c r="P98" s="36">
        <f>VLOOKUP($B98,$B$4:$Q$85,15,FALSE)</f>
        <v/>
      </c>
      <c r="Q98" s="37">
        <f>VLOOKUP($B98,$B$4:$Q$85,16,FALSE)</f>
        <v/>
      </c>
    </row>
    <row r="99" ht="20" customHeight="1">
      <c r="A99" s="34" t="inlineStr">
        <is>
          <t>UHD 4K</t>
        </is>
      </c>
      <c r="B99" s="34" t="inlineStr">
        <is>
          <t>65UA75</t>
        </is>
      </c>
      <c r="C99" s="35">
        <f>IF(VLOOKUP($B99,$B$4:$Q$85,2,FALSE)=0,"",VLOOKUP($B99,$B$4:$Q$85,2,FALSE))</f>
        <v/>
      </c>
      <c r="D99" s="36">
        <f>VLOOKUP($B99,$B$4:$Q$85,3,FALSE)</f>
        <v/>
      </c>
      <c r="E99" s="36">
        <f>VLOOKUP($B99,$B$4:$Q$85,4,FALSE)</f>
        <v/>
      </c>
      <c r="F99" s="36">
        <f>VLOOKUP($B99,$B$4:$Q$85,5,FALSE)</f>
        <v/>
      </c>
      <c r="G99" s="37">
        <f>VLOOKUP($B99,$B$4:$Q$85,6,FALSE)</f>
        <v/>
      </c>
      <c r="H99" s="35">
        <f>IF(VLOOKUP($B99,$B$4:$Q$85,7,FALSE)=0,"",VLOOKUP($B99,$B$4:$Q$85,7,FALSE))</f>
        <v/>
      </c>
      <c r="I99" s="36">
        <f>VLOOKUP($B99,$B$4:$Q$85,8,FALSE)</f>
        <v/>
      </c>
      <c r="J99" s="36">
        <f>VLOOKUP($B99,$B$4:$Q$85,9,FALSE)</f>
        <v/>
      </c>
      <c r="K99" s="36">
        <f>VLOOKUP($B99,$B$4:$Q$85,10,FALSE)</f>
        <v/>
      </c>
      <c r="L99" s="37">
        <f>VLOOKUP($B99,$B$4:$Q$85,11,FALSE)</f>
        <v/>
      </c>
      <c r="M99" s="35">
        <f>IF(VLOOKUP($B99,$B$4:$Q$85,12,FALSE)=0,"",VLOOKUP($B99,$B$4:$Q$85,12,FALSE))</f>
        <v/>
      </c>
      <c r="N99" s="36">
        <f>VLOOKUP($B99,$B$4:$Q$85,13,FALSE)</f>
        <v/>
      </c>
      <c r="O99" s="36">
        <f>VLOOKUP($B99,$B$4:$Q$85,14,FALSE)</f>
        <v/>
      </c>
      <c r="P99" s="36">
        <f>VLOOKUP($B99,$B$4:$Q$85,15,FALSE)</f>
        <v/>
      </c>
      <c r="Q99" s="37">
        <f>VLOOKUP($B99,$B$4:$Q$85,16,FALSE)</f>
        <v/>
      </c>
    </row>
    <row r="100"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</row>
    <row r="101" ht="20" customHeight="1">
      <c r="A101" s="34" t="inlineStr">
        <is>
          <t>OLED</t>
        </is>
      </c>
      <c r="B101" s="34" t="inlineStr">
        <is>
          <t>77G5</t>
        </is>
      </c>
      <c r="C101" s="35">
        <f>IF(VLOOKUP($B101,$B$4:$Q$85,2,FALSE)=0,"",VLOOKUP($B101,$B$4:$Q$85,2,FALSE))</f>
        <v/>
      </c>
      <c r="D101" s="36">
        <f>VLOOKUP($B101,$B$4:$Q$85,3,FALSE)</f>
        <v/>
      </c>
      <c r="E101" s="36">
        <f>VLOOKUP($B101,$B$4:$Q$85,4,FALSE)</f>
        <v/>
      </c>
      <c r="F101" s="36">
        <f>VLOOKUP($B101,$B$4:$Q$85,5,FALSE)</f>
        <v/>
      </c>
      <c r="G101" s="37">
        <f>VLOOKUP($B101,$B$4:$Q$85,6,FALSE)</f>
        <v/>
      </c>
      <c r="H101" s="35">
        <f>IF(VLOOKUP($B101,$B$4:$Q$85,7,FALSE)=0,"",VLOOKUP($B101,$B$4:$Q$85,7,FALSE))</f>
        <v/>
      </c>
      <c r="I101" s="36">
        <f>VLOOKUP($B101,$B$4:$Q$85,8,FALSE)</f>
        <v/>
      </c>
      <c r="J101" s="36">
        <f>VLOOKUP($B101,$B$4:$Q$85,9,FALSE)</f>
        <v/>
      </c>
      <c r="K101" s="36">
        <f>VLOOKUP($B101,$B$4:$Q$85,10,FALSE)</f>
        <v/>
      </c>
      <c r="L101" s="37">
        <f>VLOOKUP($B101,$B$4:$Q$85,11,FALSE)</f>
        <v/>
      </c>
      <c r="M101" s="35">
        <f>IF(VLOOKUP($B101,$B$4:$Q$85,12,FALSE)=0,"",VLOOKUP($B101,$B$4:$Q$85,12,FALSE))</f>
        <v/>
      </c>
      <c r="N101" s="36">
        <f>VLOOKUP($B101,$B$4:$Q$85,13,FALSE)</f>
        <v/>
      </c>
      <c r="O101" s="36">
        <f>VLOOKUP($B101,$B$4:$Q$85,14,FALSE)</f>
        <v/>
      </c>
      <c r="P101" s="36">
        <f>VLOOKUP($B101,$B$4:$Q$85,15,FALSE)</f>
        <v/>
      </c>
      <c r="Q101" s="37">
        <f>VLOOKUP($B101,$B$4:$Q$85,16,FALSE)</f>
        <v/>
      </c>
    </row>
    <row r="102" ht="20" customHeight="1">
      <c r="A102" s="34" t="inlineStr">
        <is>
          <t>OLED</t>
        </is>
      </c>
      <c r="B102" s="34" t="inlineStr">
        <is>
          <t>77C5</t>
        </is>
      </c>
      <c r="C102" s="35">
        <f>IF(VLOOKUP($B102,$B$4:$Q$85,2,FALSE)=0,"",VLOOKUP($B102,$B$4:$Q$85,2,FALSE))</f>
        <v/>
      </c>
      <c r="D102" s="36">
        <f>VLOOKUP($B102,$B$4:$Q$85,3,FALSE)</f>
        <v/>
      </c>
      <c r="E102" s="36">
        <f>VLOOKUP($B102,$B$4:$Q$85,4,FALSE)</f>
        <v/>
      </c>
      <c r="F102" s="36">
        <f>VLOOKUP($B102,$B$4:$Q$85,5,FALSE)</f>
        <v/>
      </c>
      <c r="G102" s="37">
        <f>VLOOKUP($B102,$B$4:$Q$85,6,FALSE)</f>
        <v/>
      </c>
      <c r="H102" s="35">
        <f>IF(VLOOKUP($B102,$B$4:$Q$85,7,FALSE)=0,"",VLOOKUP($B102,$B$4:$Q$85,7,FALSE))</f>
        <v/>
      </c>
      <c r="I102" s="36">
        <f>VLOOKUP($B102,$B$4:$Q$85,8,FALSE)</f>
        <v/>
      </c>
      <c r="J102" s="36">
        <f>VLOOKUP($B102,$B$4:$Q$85,9,FALSE)</f>
        <v/>
      </c>
      <c r="K102" s="36">
        <f>VLOOKUP($B102,$B$4:$Q$85,10,FALSE)</f>
        <v/>
      </c>
      <c r="L102" s="37">
        <f>VLOOKUP($B102,$B$4:$Q$85,11,FALSE)</f>
        <v/>
      </c>
      <c r="M102" s="35">
        <f>IF(VLOOKUP($B102,$B$4:$Q$85,12,FALSE)=0,"",VLOOKUP($B102,$B$4:$Q$85,12,FALSE))</f>
        <v/>
      </c>
      <c r="N102" s="36">
        <f>VLOOKUP($B102,$B$4:$Q$85,13,FALSE)</f>
        <v/>
      </c>
      <c r="O102" s="36">
        <f>VLOOKUP($B102,$B$4:$Q$85,14,FALSE)</f>
        <v/>
      </c>
      <c r="P102" s="36">
        <f>VLOOKUP($B102,$B$4:$Q$85,15,FALSE)</f>
        <v/>
      </c>
      <c r="Q102" s="37">
        <f>VLOOKUP($B102,$B$4:$Q$85,16,FALSE)</f>
        <v/>
      </c>
    </row>
    <row r="103" ht="20" customHeight="1">
      <c r="A103" s="34" t="inlineStr">
        <is>
          <t>OLED</t>
        </is>
      </c>
      <c r="B103" s="34" t="inlineStr">
        <is>
          <t>77B5</t>
        </is>
      </c>
      <c r="C103" s="35">
        <f>IF(VLOOKUP($B103,$B$4:$Q$85,2,FALSE)=0,"",VLOOKUP($B103,$B$4:$Q$85,2,FALSE))</f>
        <v/>
      </c>
      <c r="D103" s="36">
        <f>VLOOKUP($B103,$B$4:$Q$85,3,FALSE)</f>
        <v/>
      </c>
      <c r="E103" s="36">
        <f>VLOOKUP($B103,$B$4:$Q$85,4,FALSE)</f>
        <v/>
      </c>
      <c r="F103" s="36">
        <f>VLOOKUP($B103,$B$4:$Q$85,5,FALSE)</f>
        <v/>
      </c>
      <c r="G103" s="37">
        <f>VLOOKUP($B103,$B$4:$Q$85,6,FALSE)</f>
        <v/>
      </c>
      <c r="H103" s="35">
        <f>IF(VLOOKUP($B103,$B$4:$Q$85,7,FALSE)=0,"",VLOOKUP($B103,$B$4:$Q$85,7,FALSE))</f>
        <v/>
      </c>
      <c r="I103" s="36">
        <f>VLOOKUP($B103,$B$4:$Q$85,8,FALSE)</f>
        <v/>
      </c>
      <c r="J103" s="36">
        <f>VLOOKUP($B103,$B$4:$Q$85,9,FALSE)</f>
        <v/>
      </c>
      <c r="K103" s="36">
        <f>VLOOKUP($B103,$B$4:$Q$85,10,FALSE)</f>
        <v/>
      </c>
      <c r="L103" s="37">
        <f>VLOOKUP($B103,$B$4:$Q$85,11,FALSE)</f>
        <v/>
      </c>
      <c r="M103" s="35">
        <f>IF(VLOOKUP($B103,$B$4:$Q$85,12,FALSE)=0,"",VLOOKUP($B103,$B$4:$Q$85,12,FALSE))</f>
        <v/>
      </c>
      <c r="N103" s="36">
        <f>VLOOKUP($B103,$B$4:$Q$85,13,FALSE)</f>
        <v/>
      </c>
      <c r="O103" s="36">
        <f>VLOOKUP($B103,$B$4:$Q$85,14,FALSE)</f>
        <v/>
      </c>
      <c r="P103" s="36">
        <f>VLOOKUP($B103,$B$4:$Q$85,15,FALSE)</f>
        <v/>
      </c>
      <c r="Q103" s="37">
        <f>VLOOKUP($B103,$B$4:$Q$85,16,FALSE)</f>
        <v/>
      </c>
    </row>
    <row r="104" ht="20" customHeight="1">
      <c r="A104" s="34" t="inlineStr">
        <is>
          <t>QNED</t>
        </is>
      </c>
      <c r="B104" s="34" t="inlineStr">
        <is>
          <t>75QNED86A</t>
        </is>
      </c>
      <c r="C104" s="35">
        <f>IF(VLOOKUP($B104,$B$4:$Q$85,2,FALSE)=0,"",VLOOKUP($B104,$B$4:$Q$85,2,FALSE))</f>
        <v/>
      </c>
      <c r="D104" s="36">
        <f>VLOOKUP($B104,$B$4:$Q$85,3,FALSE)</f>
        <v/>
      </c>
      <c r="E104" s="36">
        <f>VLOOKUP($B104,$B$4:$Q$85,4,FALSE)</f>
        <v/>
      </c>
      <c r="F104" s="36">
        <f>VLOOKUP($B104,$B$4:$Q$85,5,FALSE)</f>
        <v/>
      </c>
      <c r="G104" s="37">
        <f>VLOOKUP($B104,$B$4:$Q$85,6,FALSE)</f>
        <v/>
      </c>
      <c r="H104" s="35">
        <f>IF(VLOOKUP($B104,$B$4:$Q$85,7,FALSE)=0,"",VLOOKUP($B104,$B$4:$Q$85,7,FALSE))</f>
        <v/>
      </c>
      <c r="I104" s="36">
        <f>VLOOKUP($B104,$B$4:$Q$85,8,FALSE)</f>
        <v/>
      </c>
      <c r="J104" s="36">
        <f>VLOOKUP($B104,$B$4:$Q$85,9,FALSE)</f>
        <v/>
      </c>
      <c r="K104" s="36">
        <f>VLOOKUP($B104,$B$4:$Q$85,10,FALSE)</f>
        <v/>
      </c>
      <c r="L104" s="37">
        <f>VLOOKUP($B104,$B$4:$Q$85,11,FALSE)</f>
        <v/>
      </c>
      <c r="M104" s="35">
        <f>IF(VLOOKUP($B104,$B$4:$Q$85,12,FALSE)=0,"",VLOOKUP($B104,$B$4:$Q$85,12,FALSE))</f>
        <v/>
      </c>
      <c r="N104" s="36">
        <f>VLOOKUP($B104,$B$4:$Q$85,13,FALSE)</f>
        <v/>
      </c>
      <c r="O104" s="36">
        <f>VLOOKUP($B104,$B$4:$Q$85,14,FALSE)</f>
        <v/>
      </c>
      <c r="P104" s="36">
        <f>VLOOKUP($B104,$B$4:$Q$85,15,FALSE)</f>
        <v/>
      </c>
      <c r="Q104" s="37">
        <f>VLOOKUP($B104,$B$4:$Q$85,16,FALSE)</f>
        <v/>
      </c>
    </row>
    <row r="105" ht="20" customHeight="1">
      <c r="A105" s="34" t="inlineStr">
        <is>
          <t>QNED</t>
        </is>
      </c>
      <c r="B105" s="34" t="inlineStr">
        <is>
          <t>75QNED80A</t>
        </is>
      </c>
      <c r="C105" s="35">
        <f>IF(VLOOKUP($B105,$B$4:$Q$85,2,FALSE)=0,"",VLOOKUP($B105,$B$4:$Q$85,2,FALSE))</f>
        <v/>
      </c>
      <c r="D105" s="36">
        <f>VLOOKUP($B105,$B$4:$Q$85,3,FALSE)</f>
        <v/>
      </c>
      <c r="E105" s="36">
        <f>VLOOKUP($B105,$B$4:$Q$85,4,FALSE)</f>
        <v/>
      </c>
      <c r="F105" s="36">
        <f>VLOOKUP($B105,$B$4:$Q$85,5,FALSE)</f>
        <v/>
      </c>
      <c r="G105" s="37">
        <f>VLOOKUP($B105,$B$4:$Q$85,6,FALSE)</f>
        <v/>
      </c>
      <c r="H105" s="35">
        <f>IF(VLOOKUP($B105,$B$4:$Q$85,7,FALSE)=0,"",VLOOKUP($B105,$B$4:$Q$85,7,FALSE))</f>
        <v/>
      </c>
      <c r="I105" s="36">
        <f>VLOOKUP($B105,$B$4:$Q$85,8,FALSE)</f>
        <v/>
      </c>
      <c r="J105" s="36">
        <f>VLOOKUP($B105,$B$4:$Q$85,9,FALSE)</f>
        <v/>
      </c>
      <c r="K105" s="36">
        <f>VLOOKUP($B105,$B$4:$Q$85,10,FALSE)</f>
        <v/>
      </c>
      <c r="L105" s="37">
        <f>VLOOKUP($B105,$B$4:$Q$85,11,FALSE)</f>
        <v/>
      </c>
      <c r="M105" s="35">
        <f>IF(VLOOKUP($B105,$B$4:$Q$85,12,FALSE)=0,"",VLOOKUP($B105,$B$4:$Q$85,12,FALSE))</f>
        <v/>
      </c>
      <c r="N105" s="36">
        <f>VLOOKUP($B105,$B$4:$Q$85,13,FALSE)</f>
        <v/>
      </c>
      <c r="O105" s="36">
        <f>VLOOKUP($B105,$B$4:$Q$85,14,FALSE)</f>
        <v/>
      </c>
      <c r="P105" s="36">
        <f>VLOOKUP($B105,$B$4:$Q$85,15,FALSE)</f>
        <v/>
      </c>
      <c r="Q105" s="37">
        <f>VLOOKUP($B105,$B$4:$Q$85,16,FALSE)</f>
        <v/>
      </c>
    </row>
    <row r="106" ht="20" customHeight="1">
      <c r="A106" s="34" t="inlineStr">
        <is>
          <t>UHD 4K</t>
        </is>
      </c>
      <c r="B106" s="34" t="inlineStr">
        <is>
          <t>75UA75</t>
        </is>
      </c>
      <c r="C106" s="35">
        <f>IF(VLOOKUP($B106,$B$4:$Q$85,2,FALSE)=0,"",VLOOKUP($B106,$B$4:$Q$85,2,FALSE))</f>
        <v/>
      </c>
      <c r="D106" s="36">
        <f>VLOOKUP($B106,$B$4:$Q$85,3,FALSE)</f>
        <v/>
      </c>
      <c r="E106" s="36">
        <f>VLOOKUP($B106,$B$4:$Q$85,4,FALSE)</f>
        <v/>
      </c>
      <c r="F106" s="36">
        <f>VLOOKUP($B106,$B$4:$Q$85,5,FALSE)</f>
        <v/>
      </c>
      <c r="G106" s="37">
        <f>VLOOKUP($B106,$B$4:$Q$85,6,FALSE)</f>
        <v/>
      </c>
      <c r="H106" s="35">
        <f>IF(VLOOKUP($B106,$B$4:$Q$85,7,FALSE)=0,"",VLOOKUP($B106,$B$4:$Q$85,7,FALSE))</f>
        <v/>
      </c>
      <c r="I106" s="36">
        <f>VLOOKUP($B106,$B$4:$Q$85,8,FALSE)</f>
        <v/>
      </c>
      <c r="J106" s="36">
        <f>VLOOKUP($B106,$B$4:$Q$85,9,FALSE)</f>
        <v/>
      </c>
      <c r="K106" s="36">
        <f>VLOOKUP($B106,$B$4:$Q$85,10,FALSE)</f>
        <v/>
      </c>
      <c r="L106" s="37">
        <f>VLOOKUP($B106,$B$4:$Q$85,11,FALSE)</f>
        <v/>
      </c>
      <c r="M106" s="35">
        <f>IF(VLOOKUP($B106,$B$4:$Q$85,12,FALSE)=0,"",VLOOKUP($B106,$B$4:$Q$85,12,FALSE))</f>
        <v/>
      </c>
      <c r="N106" s="36">
        <f>VLOOKUP($B106,$B$4:$Q$85,13,FALSE)</f>
        <v/>
      </c>
      <c r="O106" s="36">
        <f>VLOOKUP($B106,$B$4:$Q$85,14,FALSE)</f>
        <v/>
      </c>
      <c r="P106" s="36">
        <f>VLOOKUP($B106,$B$4:$Q$85,15,FALSE)</f>
        <v/>
      </c>
      <c r="Q106" s="37">
        <f>VLOOKUP($B106,$B$4:$Q$85,16,FALSE)</f>
        <v/>
      </c>
    </row>
    <row r="107"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</row>
    <row r="108" ht="20" customHeight="1">
      <c r="A108" s="39" t="inlineStr">
        <is>
          <t>OLED</t>
        </is>
      </c>
      <c r="B108" s="39" t="inlineStr">
        <is>
          <t>55S95F</t>
        </is>
      </c>
      <c r="C108" s="40">
        <f>IF(VLOOKUP($B108,$B$4:$Q$85,2,FALSE)=0,"",VLOOKUP($B108,$B$4:$Q$85,2,FALSE))</f>
        <v/>
      </c>
      <c r="D108" s="41">
        <f>VLOOKUP($B108,$B$4:$Q$85,3,FALSE)</f>
        <v/>
      </c>
      <c r="E108" s="41">
        <f>VLOOKUP($B108,$B$4:$Q$85,4,FALSE)</f>
        <v/>
      </c>
      <c r="F108" s="41">
        <f>VLOOKUP($B108,$B$4:$Q$85,5,FALSE)</f>
        <v/>
      </c>
      <c r="G108" s="42" t="inlineStr"/>
      <c r="H108" s="40">
        <f>IF(VLOOKUP($B108,$B$4:$Q$85,7,FALSE)=0,"",VLOOKUP($B108,$B$4:$Q$85,7,FALSE))</f>
        <v/>
      </c>
      <c r="I108" s="41">
        <f>VLOOKUP($B108,$B$4:$Q$85,8,FALSE)</f>
        <v/>
      </c>
      <c r="J108" s="41">
        <f>VLOOKUP($B108,$B$4:$Q$85,9,FALSE)</f>
        <v/>
      </c>
      <c r="K108" s="41">
        <f>VLOOKUP($B108,$B$4:$Q$85,10,FALSE)</f>
        <v/>
      </c>
      <c r="L108" s="42" t="inlineStr"/>
      <c r="M108" s="40">
        <f>IF(VLOOKUP($B108,$B$4:$Q$85,12,FALSE)=0,"",VLOOKUP($B108,$B$4:$Q$85,12,FALSE))</f>
        <v/>
      </c>
      <c r="N108" s="41">
        <f>VLOOKUP($B108,$B$4:$Q$85,13,FALSE)</f>
        <v/>
      </c>
      <c r="O108" s="41">
        <f>VLOOKUP($B108,$B$4:$Q$85,14,FALSE)</f>
        <v/>
      </c>
      <c r="P108" s="41">
        <f>VLOOKUP($B108,$B$4:$Q$85,15,FALSE)</f>
        <v/>
      </c>
      <c r="Q108" s="42" t="inlineStr"/>
    </row>
    <row r="109" ht="20" customHeight="1">
      <c r="A109" s="39" t="inlineStr">
        <is>
          <t>OLED</t>
        </is>
      </c>
      <c r="B109" s="39" t="inlineStr">
        <is>
          <t>55S90F</t>
        </is>
      </c>
      <c r="C109" s="40">
        <f>IF(VLOOKUP($B109,$B$4:$Q$85,2,FALSE)=0,"",VLOOKUP($B109,$B$4:$Q$85,2,FALSE))</f>
        <v/>
      </c>
      <c r="D109" s="41">
        <f>VLOOKUP($B109,$B$4:$Q$85,3,FALSE)</f>
        <v/>
      </c>
      <c r="E109" s="41">
        <f>VLOOKUP($B109,$B$4:$Q$85,4,FALSE)</f>
        <v/>
      </c>
      <c r="F109" s="41">
        <f>VLOOKUP($B109,$B$4:$Q$85,5,FALSE)</f>
        <v/>
      </c>
      <c r="G109" s="42" t="inlineStr"/>
      <c r="H109" s="40">
        <f>IF(VLOOKUP($B109,$B$4:$Q$85,7,FALSE)=0,"",VLOOKUP($B109,$B$4:$Q$85,7,FALSE))</f>
        <v/>
      </c>
      <c r="I109" s="41">
        <f>VLOOKUP($B109,$B$4:$Q$85,8,FALSE)</f>
        <v/>
      </c>
      <c r="J109" s="41">
        <f>VLOOKUP($B109,$B$4:$Q$85,9,FALSE)</f>
        <v/>
      </c>
      <c r="K109" s="41">
        <f>VLOOKUP($B109,$B$4:$Q$85,10,FALSE)</f>
        <v/>
      </c>
      <c r="L109" s="42" t="inlineStr"/>
      <c r="M109" s="40">
        <f>IF(VLOOKUP($B109,$B$4:$Q$85,12,FALSE)=0,"",VLOOKUP($B109,$B$4:$Q$85,12,FALSE))</f>
        <v/>
      </c>
      <c r="N109" s="41">
        <f>VLOOKUP($B109,$B$4:$Q$85,13,FALSE)</f>
        <v/>
      </c>
      <c r="O109" s="41">
        <f>VLOOKUP($B109,$B$4:$Q$85,14,FALSE)</f>
        <v/>
      </c>
      <c r="P109" s="41">
        <f>VLOOKUP($B109,$B$4:$Q$85,15,FALSE)</f>
        <v/>
      </c>
      <c r="Q109" s="42" t="inlineStr"/>
    </row>
    <row r="110" ht="20" customHeight="1">
      <c r="A110" s="39" t="inlineStr">
        <is>
          <t>OLED</t>
        </is>
      </c>
      <c r="B110" s="39" t="inlineStr">
        <is>
          <t>55S85F</t>
        </is>
      </c>
      <c r="C110" s="40">
        <f>IF(VLOOKUP($B110,$B$4:$Q$85,2,FALSE)=0,"",VLOOKUP($B110,$B$4:$Q$85,2,FALSE))</f>
        <v/>
      </c>
      <c r="D110" s="41">
        <f>VLOOKUP($B110,$B$4:$Q$85,3,FALSE)</f>
        <v/>
      </c>
      <c r="E110" s="41">
        <f>VLOOKUP($B110,$B$4:$Q$85,4,FALSE)</f>
        <v/>
      </c>
      <c r="F110" s="41">
        <f>VLOOKUP($B110,$B$4:$Q$85,5,FALSE)</f>
        <v/>
      </c>
      <c r="G110" s="42" t="inlineStr"/>
      <c r="H110" s="40">
        <f>IF(VLOOKUP($B110,$B$4:$Q$85,7,FALSE)=0,"",VLOOKUP($B110,$B$4:$Q$85,7,FALSE))</f>
        <v/>
      </c>
      <c r="I110" s="41">
        <f>VLOOKUP($B110,$B$4:$Q$85,8,FALSE)</f>
        <v/>
      </c>
      <c r="J110" s="41">
        <f>VLOOKUP($B110,$B$4:$Q$85,9,FALSE)</f>
        <v/>
      </c>
      <c r="K110" s="41">
        <f>VLOOKUP($B110,$B$4:$Q$85,10,FALSE)</f>
        <v/>
      </c>
      <c r="L110" s="42" t="inlineStr"/>
      <c r="M110" s="40">
        <f>IF(VLOOKUP($B110,$B$4:$Q$85,12,FALSE)=0,"",VLOOKUP($B110,$B$4:$Q$85,12,FALSE))</f>
        <v/>
      </c>
      <c r="N110" s="41">
        <f>VLOOKUP($B110,$B$4:$Q$85,13,FALSE)</f>
        <v/>
      </c>
      <c r="O110" s="41">
        <f>VLOOKUP($B110,$B$4:$Q$85,14,FALSE)</f>
        <v/>
      </c>
      <c r="P110" s="41">
        <f>VLOOKUP($B110,$B$4:$Q$85,15,FALSE)</f>
        <v/>
      </c>
      <c r="Q110" s="42" t="inlineStr"/>
    </row>
    <row r="111" ht="20" customHeight="1">
      <c r="A111" s="39" t="inlineStr">
        <is>
          <t>QLED</t>
        </is>
      </c>
      <c r="B111" s="39" t="inlineStr">
        <is>
          <t>55QN70F</t>
        </is>
      </c>
      <c r="C111" s="40">
        <f>IF(VLOOKUP($B111,$B$4:$Q$85,2,FALSE)=0,"",VLOOKUP($B111,$B$4:$Q$85,2,FALSE))</f>
        <v/>
      </c>
      <c r="D111" s="41">
        <f>VLOOKUP($B111,$B$4:$Q$85,3,FALSE)</f>
        <v/>
      </c>
      <c r="E111" s="41">
        <f>VLOOKUP($B111,$B$4:$Q$85,4,FALSE)</f>
        <v/>
      </c>
      <c r="F111" s="41">
        <f>VLOOKUP($B111,$B$4:$Q$85,5,FALSE)</f>
        <v/>
      </c>
      <c r="G111" s="42" t="inlineStr"/>
      <c r="H111" s="40">
        <f>IF(VLOOKUP($B111,$B$4:$Q$85,7,FALSE)=0,"",VLOOKUP($B111,$B$4:$Q$85,7,FALSE))</f>
        <v/>
      </c>
      <c r="I111" s="41">
        <f>VLOOKUP($B111,$B$4:$Q$85,8,FALSE)</f>
        <v/>
      </c>
      <c r="J111" s="41">
        <f>VLOOKUP($B111,$B$4:$Q$85,9,FALSE)</f>
        <v/>
      </c>
      <c r="K111" s="41">
        <f>VLOOKUP($B111,$B$4:$Q$85,10,FALSE)</f>
        <v/>
      </c>
      <c r="L111" s="42" t="inlineStr"/>
      <c r="M111" s="40">
        <f>IF(VLOOKUP($B111,$B$4:$Q$85,12,FALSE)=0,"",VLOOKUP($B111,$B$4:$Q$85,12,FALSE))</f>
        <v/>
      </c>
      <c r="N111" s="41">
        <f>VLOOKUP($B111,$B$4:$Q$85,13,FALSE)</f>
        <v/>
      </c>
      <c r="O111" s="41">
        <f>VLOOKUP($B111,$B$4:$Q$85,14,FALSE)</f>
        <v/>
      </c>
      <c r="P111" s="41">
        <f>VLOOKUP($B111,$B$4:$Q$85,15,FALSE)</f>
        <v/>
      </c>
      <c r="Q111" s="42" t="inlineStr"/>
    </row>
    <row r="112" ht="20" customHeight="1">
      <c r="A112" s="39" t="inlineStr">
        <is>
          <t>QLED</t>
        </is>
      </c>
      <c r="B112" s="39" t="inlineStr">
        <is>
          <t>55Q8F</t>
        </is>
      </c>
      <c r="C112" s="40">
        <f>IF(VLOOKUP($B112,$B$4:$Q$85,2,FALSE)=0,"",VLOOKUP($B112,$B$4:$Q$85,2,FALSE))</f>
        <v/>
      </c>
      <c r="D112" s="41">
        <f>VLOOKUP($B112,$B$4:$Q$85,3,FALSE)</f>
        <v/>
      </c>
      <c r="E112" s="41">
        <f>VLOOKUP($B112,$B$4:$Q$85,4,FALSE)</f>
        <v/>
      </c>
      <c r="F112" s="41">
        <f>VLOOKUP($B112,$B$4:$Q$85,5,FALSE)</f>
        <v/>
      </c>
      <c r="G112" s="42" t="inlineStr"/>
      <c r="H112" s="40">
        <f>IF(VLOOKUP($B112,$B$4:$Q$85,7,FALSE)=0,"",VLOOKUP($B112,$B$4:$Q$85,7,FALSE))</f>
        <v/>
      </c>
      <c r="I112" s="41">
        <f>VLOOKUP($B112,$B$4:$Q$85,8,FALSE)</f>
        <v/>
      </c>
      <c r="J112" s="41">
        <f>VLOOKUP($B112,$B$4:$Q$85,9,FALSE)</f>
        <v/>
      </c>
      <c r="K112" s="41">
        <f>VLOOKUP($B112,$B$4:$Q$85,10,FALSE)</f>
        <v/>
      </c>
      <c r="L112" s="42" t="inlineStr"/>
      <c r="M112" s="40">
        <f>IF(VLOOKUP($B112,$B$4:$Q$85,12,FALSE)=0,"",VLOOKUP($B112,$B$4:$Q$85,12,FALSE))</f>
        <v/>
      </c>
      <c r="N112" s="41">
        <f>VLOOKUP($B112,$B$4:$Q$85,13,FALSE)</f>
        <v/>
      </c>
      <c r="O112" s="41">
        <f>VLOOKUP($B112,$B$4:$Q$85,14,FALSE)</f>
        <v/>
      </c>
      <c r="P112" s="41">
        <f>VLOOKUP($B112,$B$4:$Q$85,15,FALSE)</f>
        <v/>
      </c>
      <c r="Q112" s="42" t="inlineStr"/>
    </row>
    <row r="113" ht="20" customHeight="1">
      <c r="A113" s="39" t="inlineStr">
        <is>
          <t>QLED</t>
        </is>
      </c>
      <c r="B113" s="39" t="inlineStr">
        <is>
          <t>55Q7F</t>
        </is>
      </c>
      <c r="C113" s="40">
        <f>IF(VLOOKUP($B113,$B$4:$Q$85,2,FALSE)=0,"",VLOOKUP($B113,$B$4:$Q$85,2,FALSE))</f>
        <v/>
      </c>
      <c r="D113" s="41">
        <f>VLOOKUP($B113,$B$4:$Q$85,3,FALSE)</f>
        <v/>
      </c>
      <c r="E113" s="41">
        <f>VLOOKUP($B113,$B$4:$Q$85,4,FALSE)</f>
        <v/>
      </c>
      <c r="F113" s="41">
        <f>VLOOKUP($B113,$B$4:$Q$85,5,FALSE)</f>
        <v/>
      </c>
      <c r="G113" s="42" t="inlineStr"/>
      <c r="H113" s="40">
        <f>IF(VLOOKUP($B113,$B$4:$Q$85,7,FALSE)=0,"",VLOOKUP($B113,$B$4:$Q$85,7,FALSE))</f>
        <v/>
      </c>
      <c r="I113" s="41">
        <f>VLOOKUP($B113,$B$4:$Q$85,8,FALSE)</f>
        <v/>
      </c>
      <c r="J113" s="41">
        <f>VLOOKUP($B113,$B$4:$Q$85,9,FALSE)</f>
        <v/>
      </c>
      <c r="K113" s="41">
        <f>VLOOKUP($B113,$B$4:$Q$85,10,FALSE)</f>
        <v/>
      </c>
      <c r="L113" s="42" t="inlineStr"/>
      <c r="M113" s="40">
        <f>IF(VLOOKUP($B113,$B$4:$Q$85,12,FALSE)=0,"",VLOOKUP($B113,$B$4:$Q$85,12,FALSE))</f>
        <v/>
      </c>
      <c r="N113" s="41">
        <f>VLOOKUP($B113,$B$4:$Q$85,13,FALSE)</f>
        <v/>
      </c>
      <c r="O113" s="41">
        <f>VLOOKUP($B113,$B$4:$Q$85,14,FALSE)</f>
        <v/>
      </c>
      <c r="P113" s="41">
        <f>VLOOKUP($B113,$B$4:$Q$85,15,FALSE)</f>
        <v/>
      </c>
      <c r="Q113" s="42" t="inlineStr"/>
    </row>
    <row r="114" ht="20" customHeight="1">
      <c r="A114" s="39" t="inlineStr">
        <is>
          <t>UHD 4K</t>
        </is>
      </c>
      <c r="B114" s="39" t="inlineStr">
        <is>
          <t>55U8000F</t>
        </is>
      </c>
      <c r="C114" s="40">
        <f>IF(VLOOKUP($B114,$B$4:$Q$85,2,FALSE)=0,"",VLOOKUP($B114,$B$4:$Q$85,2,FALSE))</f>
        <v/>
      </c>
      <c r="D114" s="41">
        <f>VLOOKUP($B114,$B$4:$Q$85,3,FALSE)</f>
        <v/>
      </c>
      <c r="E114" s="41">
        <f>VLOOKUP($B114,$B$4:$Q$85,4,FALSE)</f>
        <v/>
      </c>
      <c r="F114" s="41">
        <f>VLOOKUP($B114,$B$4:$Q$85,5,FALSE)</f>
        <v/>
      </c>
      <c r="G114" s="42" t="inlineStr"/>
      <c r="H114" s="40">
        <f>IF(VLOOKUP($B114,$B$4:$Q$85,7,FALSE)=0,"",VLOOKUP($B114,$B$4:$Q$85,7,FALSE))</f>
        <v/>
      </c>
      <c r="I114" s="41">
        <f>VLOOKUP($B114,$B$4:$Q$85,8,FALSE)</f>
        <v/>
      </c>
      <c r="J114" s="41">
        <f>VLOOKUP($B114,$B$4:$Q$85,9,FALSE)</f>
        <v/>
      </c>
      <c r="K114" s="41">
        <f>VLOOKUP($B114,$B$4:$Q$85,10,FALSE)</f>
        <v/>
      </c>
      <c r="L114" s="42" t="inlineStr"/>
      <c r="M114" s="40">
        <f>IF(VLOOKUP($B114,$B$4:$Q$85,12,FALSE)=0,"",VLOOKUP($B114,$B$4:$Q$85,12,FALSE))</f>
        <v/>
      </c>
      <c r="N114" s="41">
        <f>VLOOKUP($B114,$B$4:$Q$85,13,FALSE)</f>
        <v/>
      </c>
      <c r="O114" s="41">
        <f>VLOOKUP($B114,$B$4:$Q$85,14,FALSE)</f>
        <v/>
      </c>
      <c r="P114" s="41">
        <f>VLOOKUP($B114,$B$4:$Q$85,15,FALSE)</f>
        <v/>
      </c>
      <c r="Q114" s="42" t="inlineStr"/>
    </row>
    <row r="115"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</row>
    <row r="116" ht="20" customHeight="1">
      <c r="A116" s="39" t="inlineStr">
        <is>
          <t>OLED</t>
        </is>
      </c>
      <c r="B116" s="39" t="inlineStr">
        <is>
          <t>65S95F</t>
        </is>
      </c>
      <c r="C116" s="40">
        <f>IF(VLOOKUP($B116,$B$4:$Q$85,2,FALSE)=0,"",VLOOKUP($B116,$B$4:$Q$85,2,FALSE))</f>
        <v/>
      </c>
      <c r="D116" s="41">
        <f>VLOOKUP($B116,$B$4:$Q$85,3,FALSE)</f>
        <v/>
      </c>
      <c r="E116" s="41">
        <f>VLOOKUP($B116,$B$4:$Q$85,4,FALSE)</f>
        <v/>
      </c>
      <c r="F116" s="41">
        <f>VLOOKUP($B116,$B$4:$Q$85,5,FALSE)</f>
        <v/>
      </c>
      <c r="G116" s="42" t="inlineStr"/>
      <c r="H116" s="40">
        <f>IF(VLOOKUP($B116,$B$4:$Q$85,7,FALSE)=0,"",VLOOKUP($B116,$B$4:$Q$85,7,FALSE))</f>
        <v/>
      </c>
      <c r="I116" s="41">
        <f>VLOOKUP($B116,$B$4:$Q$85,8,FALSE)</f>
        <v/>
      </c>
      <c r="J116" s="41">
        <f>VLOOKUP($B116,$B$4:$Q$85,9,FALSE)</f>
        <v/>
      </c>
      <c r="K116" s="41">
        <f>VLOOKUP($B116,$B$4:$Q$85,10,FALSE)</f>
        <v/>
      </c>
      <c r="L116" s="42" t="inlineStr"/>
      <c r="M116" s="40">
        <f>IF(VLOOKUP($B116,$B$4:$Q$85,12,FALSE)=0,"",VLOOKUP($B116,$B$4:$Q$85,12,FALSE))</f>
        <v/>
      </c>
      <c r="N116" s="41">
        <f>VLOOKUP($B116,$B$4:$Q$85,13,FALSE)</f>
        <v/>
      </c>
      <c r="O116" s="41">
        <f>VLOOKUP($B116,$B$4:$Q$85,14,FALSE)</f>
        <v/>
      </c>
      <c r="P116" s="41">
        <f>VLOOKUP($B116,$B$4:$Q$85,15,FALSE)</f>
        <v/>
      </c>
      <c r="Q116" s="42" t="inlineStr"/>
    </row>
    <row r="117" ht="20" customHeight="1">
      <c r="A117" s="39" t="inlineStr">
        <is>
          <t>OLED</t>
        </is>
      </c>
      <c r="B117" s="39" t="inlineStr">
        <is>
          <t>65S90F</t>
        </is>
      </c>
      <c r="C117" s="40">
        <f>IF(VLOOKUP($B117,$B$4:$Q$85,2,FALSE)=0,"",VLOOKUP($B117,$B$4:$Q$85,2,FALSE))</f>
        <v/>
      </c>
      <c r="D117" s="41">
        <f>VLOOKUP($B117,$B$4:$Q$85,3,FALSE)</f>
        <v/>
      </c>
      <c r="E117" s="41">
        <f>VLOOKUP($B117,$B$4:$Q$85,4,FALSE)</f>
        <v/>
      </c>
      <c r="F117" s="41">
        <f>VLOOKUP($B117,$B$4:$Q$85,5,FALSE)</f>
        <v/>
      </c>
      <c r="G117" s="42" t="inlineStr"/>
      <c r="H117" s="40">
        <f>IF(VLOOKUP($B117,$B$4:$Q$85,7,FALSE)=0,"",VLOOKUP($B117,$B$4:$Q$85,7,FALSE))</f>
        <v/>
      </c>
      <c r="I117" s="41">
        <f>VLOOKUP($B117,$B$4:$Q$85,8,FALSE)</f>
        <v/>
      </c>
      <c r="J117" s="41">
        <f>VLOOKUP($B117,$B$4:$Q$85,9,FALSE)</f>
        <v/>
      </c>
      <c r="K117" s="41">
        <f>VLOOKUP($B117,$B$4:$Q$85,10,FALSE)</f>
        <v/>
      </c>
      <c r="L117" s="42" t="inlineStr"/>
      <c r="M117" s="40">
        <f>IF(VLOOKUP($B117,$B$4:$Q$85,12,FALSE)=0,"",VLOOKUP($B117,$B$4:$Q$85,12,FALSE))</f>
        <v/>
      </c>
      <c r="N117" s="41">
        <f>VLOOKUP($B117,$B$4:$Q$85,13,FALSE)</f>
        <v/>
      </c>
      <c r="O117" s="41">
        <f>VLOOKUP($B117,$B$4:$Q$85,14,FALSE)</f>
        <v/>
      </c>
      <c r="P117" s="41">
        <f>VLOOKUP($B117,$B$4:$Q$85,15,FALSE)</f>
        <v/>
      </c>
      <c r="Q117" s="42" t="inlineStr"/>
    </row>
    <row r="118" ht="20" customHeight="1">
      <c r="A118" s="39" t="inlineStr">
        <is>
          <t>OLED</t>
        </is>
      </c>
      <c r="B118" s="39" t="inlineStr">
        <is>
          <t>65S85F</t>
        </is>
      </c>
      <c r="C118" s="40">
        <f>IF(VLOOKUP($B118,$B$4:$Q$85,2,FALSE)=0,"",VLOOKUP($B118,$B$4:$Q$85,2,FALSE))</f>
        <v/>
      </c>
      <c r="D118" s="41">
        <f>VLOOKUP($B118,$B$4:$Q$85,3,FALSE)</f>
        <v/>
      </c>
      <c r="E118" s="41">
        <f>VLOOKUP($B118,$B$4:$Q$85,4,FALSE)</f>
        <v/>
      </c>
      <c r="F118" s="41">
        <f>VLOOKUP($B118,$B$4:$Q$85,5,FALSE)</f>
        <v/>
      </c>
      <c r="G118" s="42" t="inlineStr"/>
      <c r="H118" s="40">
        <f>IF(VLOOKUP($B118,$B$4:$Q$85,7,FALSE)=0,"",VLOOKUP($B118,$B$4:$Q$85,7,FALSE))</f>
        <v/>
      </c>
      <c r="I118" s="41">
        <f>VLOOKUP($B118,$B$4:$Q$85,8,FALSE)</f>
        <v/>
      </c>
      <c r="J118" s="41">
        <f>VLOOKUP($B118,$B$4:$Q$85,9,FALSE)</f>
        <v/>
      </c>
      <c r="K118" s="41">
        <f>VLOOKUP($B118,$B$4:$Q$85,10,FALSE)</f>
        <v/>
      </c>
      <c r="L118" s="42" t="inlineStr"/>
      <c r="M118" s="40">
        <f>IF(VLOOKUP($B118,$B$4:$Q$85,12,FALSE)=0,"",VLOOKUP($B118,$B$4:$Q$85,12,FALSE))</f>
        <v/>
      </c>
      <c r="N118" s="41">
        <f>VLOOKUP($B118,$B$4:$Q$85,13,FALSE)</f>
        <v/>
      </c>
      <c r="O118" s="41">
        <f>VLOOKUP($B118,$B$4:$Q$85,14,FALSE)</f>
        <v/>
      </c>
      <c r="P118" s="41">
        <f>VLOOKUP($B118,$B$4:$Q$85,15,FALSE)</f>
        <v/>
      </c>
      <c r="Q118" s="42" t="inlineStr"/>
    </row>
    <row r="119" ht="20" customHeight="1">
      <c r="A119" s="39" t="inlineStr">
        <is>
          <t>QLED</t>
        </is>
      </c>
      <c r="B119" s="39" t="inlineStr">
        <is>
          <t>65QN70F</t>
        </is>
      </c>
      <c r="C119" s="40">
        <f>IF(VLOOKUP($B119,$B$4:$Q$85,2,FALSE)=0,"",VLOOKUP($B119,$B$4:$Q$85,2,FALSE))</f>
        <v/>
      </c>
      <c r="D119" s="41">
        <f>VLOOKUP($B119,$B$4:$Q$85,3,FALSE)</f>
        <v/>
      </c>
      <c r="E119" s="41">
        <f>VLOOKUP($B119,$B$4:$Q$85,4,FALSE)</f>
        <v/>
      </c>
      <c r="F119" s="41">
        <f>VLOOKUP($B119,$B$4:$Q$85,5,FALSE)</f>
        <v/>
      </c>
      <c r="G119" s="42" t="inlineStr"/>
      <c r="H119" s="40">
        <f>IF(VLOOKUP($B119,$B$4:$Q$85,7,FALSE)=0,"",VLOOKUP($B119,$B$4:$Q$85,7,FALSE))</f>
        <v/>
      </c>
      <c r="I119" s="41">
        <f>VLOOKUP($B119,$B$4:$Q$85,8,FALSE)</f>
        <v/>
      </c>
      <c r="J119" s="41">
        <f>VLOOKUP($B119,$B$4:$Q$85,9,FALSE)</f>
        <v/>
      </c>
      <c r="K119" s="41">
        <f>VLOOKUP($B119,$B$4:$Q$85,10,FALSE)</f>
        <v/>
      </c>
      <c r="L119" s="42" t="inlineStr"/>
      <c r="M119" s="40">
        <f>IF(VLOOKUP($B119,$B$4:$Q$85,12,FALSE)=0,"",VLOOKUP($B119,$B$4:$Q$85,12,FALSE))</f>
        <v/>
      </c>
      <c r="N119" s="41">
        <f>VLOOKUP($B119,$B$4:$Q$85,13,FALSE)</f>
        <v/>
      </c>
      <c r="O119" s="41">
        <f>VLOOKUP($B119,$B$4:$Q$85,14,FALSE)</f>
        <v/>
      </c>
      <c r="P119" s="41">
        <f>VLOOKUP($B119,$B$4:$Q$85,15,FALSE)</f>
        <v/>
      </c>
      <c r="Q119" s="42" t="inlineStr"/>
    </row>
    <row r="120" ht="20" customHeight="1">
      <c r="A120" s="39" t="inlineStr">
        <is>
          <t>QLED</t>
        </is>
      </c>
      <c r="B120" s="39" t="inlineStr">
        <is>
          <t>65Q8F</t>
        </is>
      </c>
      <c r="C120" s="40">
        <f>IF(VLOOKUP($B120,$B$4:$Q$85,2,FALSE)=0,"",VLOOKUP($B120,$B$4:$Q$85,2,FALSE))</f>
        <v/>
      </c>
      <c r="D120" s="41">
        <f>VLOOKUP($B120,$B$4:$Q$85,3,FALSE)</f>
        <v/>
      </c>
      <c r="E120" s="41">
        <f>VLOOKUP($B120,$B$4:$Q$85,4,FALSE)</f>
        <v/>
      </c>
      <c r="F120" s="41">
        <f>VLOOKUP($B120,$B$4:$Q$85,5,FALSE)</f>
        <v/>
      </c>
      <c r="G120" s="42" t="inlineStr"/>
      <c r="H120" s="40">
        <f>IF(VLOOKUP($B120,$B$4:$Q$85,7,FALSE)=0,"",VLOOKUP($B120,$B$4:$Q$85,7,FALSE))</f>
        <v/>
      </c>
      <c r="I120" s="41">
        <f>VLOOKUP($B120,$B$4:$Q$85,8,FALSE)</f>
        <v/>
      </c>
      <c r="J120" s="41">
        <f>VLOOKUP($B120,$B$4:$Q$85,9,FALSE)</f>
        <v/>
      </c>
      <c r="K120" s="41">
        <f>VLOOKUP($B120,$B$4:$Q$85,10,FALSE)</f>
        <v/>
      </c>
      <c r="L120" s="42" t="inlineStr"/>
      <c r="M120" s="40">
        <f>IF(VLOOKUP($B120,$B$4:$Q$85,12,FALSE)=0,"",VLOOKUP($B120,$B$4:$Q$85,12,FALSE))</f>
        <v/>
      </c>
      <c r="N120" s="41">
        <f>VLOOKUP($B120,$B$4:$Q$85,13,FALSE)</f>
        <v/>
      </c>
      <c r="O120" s="41">
        <f>VLOOKUP($B120,$B$4:$Q$85,14,FALSE)</f>
        <v/>
      </c>
      <c r="P120" s="41">
        <f>VLOOKUP($B120,$B$4:$Q$85,15,FALSE)</f>
        <v/>
      </c>
      <c r="Q120" s="42" t="inlineStr"/>
    </row>
    <row r="121" ht="20" customHeight="1">
      <c r="A121" s="39" t="inlineStr">
        <is>
          <t>QLED</t>
        </is>
      </c>
      <c r="B121" s="39" t="inlineStr">
        <is>
          <t>65Q7F</t>
        </is>
      </c>
      <c r="C121" s="40">
        <f>IF(VLOOKUP($B121,$B$4:$Q$85,2,FALSE)=0,"",VLOOKUP($B121,$B$4:$Q$85,2,FALSE))</f>
        <v/>
      </c>
      <c r="D121" s="41">
        <f>VLOOKUP($B121,$B$4:$Q$85,3,FALSE)</f>
        <v/>
      </c>
      <c r="E121" s="41">
        <f>VLOOKUP($B121,$B$4:$Q$85,4,FALSE)</f>
        <v/>
      </c>
      <c r="F121" s="41">
        <f>VLOOKUP($B121,$B$4:$Q$85,5,FALSE)</f>
        <v/>
      </c>
      <c r="G121" s="42" t="inlineStr"/>
      <c r="H121" s="40">
        <f>IF(VLOOKUP($B121,$B$4:$Q$85,7,FALSE)=0,"",VLOOKUP($B121,$B$4:$Q$85,7,FALSE))</f>
        <v/>
      </c>
      <c r="I121" s="41">
        <f>VLOOKUP($B121,$B$4:$Q$85,8,FALSE)</f>
        <v/>
      </c>
      <c r="J121" s="41">
        <f>VLOOKUP($B121,$B$4:$Q$85,9,FALSE)</f>
        <v/>
      </c>
      <c r="K121" s="41">
        <f>VLOOKUP($B121,$B$4:$Q$85,10,FALSE)</f>
        <v/>
      </c>
      <c r="L121" s="42" t="inlineStr"/>
      <c r="M121" s="40">
        <f>IF(VLOOKUP($B121,$B$4:$Q$85,12,FALSE)=0,"",VLOOKUP($B121,$B$4:$Q$85,12,FALSE))</f>
        <v/>
      </c>
      <c r="N121" s="41">
        <f>VLOOKUP($B121,$B$4:$Q$85,13,FALSE)</f>
        <v/>
      </c>
      <c r="O121" s="41">
        <f>VLOOKUP($B121,$B$4:$Q$85,14,FALSE)</f>
        <v/>
      </c>
      <c r="P121" s="41">
        <f>VLOOKUP($B121,$B$4:$Q$85,15,FALSE)</f>
        <v/>
      </c>
      <c r="Q121" s="42" t="inlineStr"/>
    </row>
    <row r="122" ht="20" customHeight="1">
      <c r="A122" s="39" t="inlineStr">
        <is>
          <t>UHD 4K</t>
        </is>
      </c>
      <c r="B122" s="39" t="inlineStr">
        <is>
          <t>65U8000F</t>
        </is>
      </c>
      <c r="C122" s="40">
        <f>IF(VLOOKUP($B122,$B$4:$Q$85,2,FALSE)=0,"",VLOOKUP($B122,$B$4:$Q$85,2,FALSE))</f>
        <v/>
      </c>
      <c r="D122" s="41">
        <f>VLOOKUP($B122,$B$4:$Q$85,3,FALSE)</f>
        <v/>
      </c>
      <c r="E122" s="41">
        <f>VLOOKUP($B122,$B$4:$Q$85,4,FALSE)</f>
        <v/>
      </c>
      <c r="F122" s="41">
        <f>VLOOKUP($B122,$B$4:$Q$85,5,FALSE)</f>
        <v/>
      </c>
      <c r="G122" s="42" t="inlineStr"/>
      <c r="H122" s="40">
        <f>IF(VLOOKUP($B122,$B$4:$Q$85,7,FALSE)=0,"",VLOOKUP($B122,$B$4:$Q$85,7,FALSE))</f>
        <v/>
      </c>
      <c r="I122" s="41">
        <f>VLOOKUP($B122,$B$4:$Q$85,8,FALSE)</f>
        <v/>
      </c>
      <c r="J122" s="41">
        <f>VLOOKUP($B122,$B$4:$Q$85,9,FALSE)</f>
        <v/>
      </c>
      <c r="K122" s="41">
        <f>VLOOKUP($B122,$B$4:$Q$85,10,FALSE)</f>
        <v/>
      </c>
      <c r="L122" s="42" t="inlineStr"/>
      <c r="M122" s="40">
        <f>IF(VLOOKUP($B122,$B$4:$Q$85,12,FALSE)=0,"",VLOOKUP($B122,$B$4:$Q$85,12,FALSE))</f>
        <v/>
      </c>
      <c r="N122" s="41">
        <f>VLOOKUP($B122,$B$4:$Q$85,13,FALSE)</f>
        <v/>
      </c>
      <c r="O122" s="41">
        <f>VLOOKUP($B122,$B$4:$Q$85,14,FALSE)</f>
        <v/>
      </c>
      <c r="P122" s="41">
        <f>VLOOKUP($B122,$B$4:$Q$85,15,FALSE)</f>
        <v/>
      </c>
      <c r="Q122" s="42" t="inlineStr"/>
    </row>
    <row r="123"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</row>
    <row r="124" ht="20" customHeight="1">
      <c r="A124" s="39" t="inlineStr">
        <is>
          <t>OLED</t>
        </is>
      </c>
      <c r="B124" s="39" t="inlineStr">
        <is>
          <t>77S95F</t>
        </is>
      </c>
      <c r="C124" s="40">
        <f>IF(VLOOKUP($B124,$B$4:$Q$85,2,FALSE)=0,"",VLOOKUP($B124,$B$4:$Q$85,2,FALSE))</f>
        <v/>
      </c>
      <c r="D124" s="41">
        <f>VLOOKUP($B124,$B$4:$Q$85,3,FALSE)</f>
        <v/>
      </c>
      <c r="E124" s="41">
        <f>VLOOKUP($B124,$B$4:$Q$85,4,FALSE)</f>
        <v/>
      </c>
      <c r="F124" s="41">
        <f>VLOOKUP($B124,$B$4:$Q$85,5,FALSE)</f>
        <v/>
      </c>
      <c r="G124" s="42" t="inlineStr"/>
      <c r="H124" s="40">
        <f>IF(VLOOKUP($B124,$B$4:$Q$85,7,FALSE)=0,"",VLOOKUP($B124,$B$4:$Q$85,7,FALSE))</f>
        <v/>
      </c>
      <c r="I124" s="41">
        <f>VLOOKUP($B124,$B$4:$Q$85,8,FALSE)</f>
        <v/>
      </c>
      <c r="J124" s="41">
        <f>VLOOKUP($B124,$B$4:$Q$85,9,FALSE)</f>
        <v/>
      </c>
      <c r="K124" s="41">
        <f>VLOOKUP($B124,$B$4:$Q$85,10,FALSE)</f>
        <v/>
      </c>
      <c r="L124" s="42" t="inlineStr"/>
      <c r="M124" s="40">
        <f>IF(VLOOKUP($B124,$B$4:$Q$85,12,FALSE)=0,"",VLOOKUP($B124,$B$4:$Q$85,12,FALSE))</f>
        <v/>
      </c>
      <c r="N124" s="41">
        <f>VLOOKUP($B124,$B$4:$Q$85,13,FALSE)</f>
        <v/>
      </c>
      <c r="O124" s="41">
        <f>VLOOKUP($B124,$B$4:$Q$85,14,FALSE)</f>
        <v/>
      </c>
      <c r="P124" s="41">
        <f>VLOOKUP($B124,$B$4:$Q$85,15,FALSE)</f>
        <v/>
      </c>
      <c r="Q124" s="42" t="inlineStr"/>
    </row>
    <row r="125" ht="20" customHeight="1">
      <c r="A125" s="39" t="inlineStr">
        <is>
          <t>OLED</t>
        </is>
      </c>
      <c r="B125" s="39" t="inlineStr">
        <is>
          <t>77S90F</t>
        </is>
      </c>
      <c r="C125" s="40">
        <f>IF(VLOOKUP($B125,$B$4:$Q$85,2,FALSE)=0,"",VLOOKUP($B125,$B$4:$Q$85,2,FALSE))</f>
        <v/>
      </c>
      <c r="D125" s="41">
        <f>VLOOKUP($B125,$B$4:$Q$85,3,FALSE)</f>
        <v/>
      </c>
      <c r="E125" s="41">
        <f>VLOOKUP($B125,$B$4:$Q$85,4,FALSE)</f>
        <v/>
      </c>
      <c r="F125" s="41">
        <f>VLOOKUP($B125,$B$4:$Q$85,5,FALSE)</f>
        <v/>
      </c>
      <c r="G125" s="42" t="inlineStr"/>
      <c r="H125" s="40">
        <f>IF(VLOOKUP($B125,$B$4:$Q$85,7,FALSE)=0,"",VLOOKUP($B125,$B$4:$Q$85,7,FALSE))</f>
        <v/>
      </c>
      <c r="I125" s="41">
        <f>VLOOKUP($B125,$B$4:$Q$85,8,FALSE)</f>
        <v/>
      </c>
      <c r="J125" s="41">
        <f>VLOOKUP($B125,$B$4:$Q$85,9,FALSE)</f>
        <v/>
      </c>
      <c r="K125" s="41">
        <f>VLOOKUP($B125,$B$4:$Q$85,10,FALSE)</f>
        <v/>
      </c>
      <c r="L125" s="42" t="inlineStr"/>
      <c r="M125" s="40">
        <f>IF(VLOOKUP($B125,$B$4:$Q$85,12,FALSE)=0,"",VLOOKUP($B125,$B$4:$Q$85,12,FALSE))</f>
        <v/>
      </c>
      <c r="N125" s="41">
        <f>VLOOKUP($B125,$B$4:$Q$85,13,FALSE)</f>
        <v/>
      </c>
      <c r="O125" s="41">
        <f>VLOOKUP($B125,$B$4:$Q$85,14,FALSE)</f>
        <v/>
      </c>
      <c r="P125" s="41">
        <f>VLOOKUP($B125,$B$4:$Q$85,15,FALSE)</f>
        <v/>
      </c>
      <c r="Q125" s="42" t="inlineStr"/>
    </row>
    <row r="126" ht="20" customHeight="1">
      <c r="A126" s="39" t="inlineStr">
        <is>
          <t>OLED</t>
        </is>
      </c>
      <c r="B126" s="39" t="inlineStr">
        <is>
          <t>77S85F</t>
        </is>
      </c>
      <c r="C126" s="40">
        <f>IF(VLOOKUP($B126,$B$4:$Q$85,2,FALSE)=0,"",VLOOKUP($B126,$B$4:$Q$85,2,FALSE))</f>
        <v/>
      </c>
      <c r="D126" s="41">
        <f>VLOOKUP($B126,$B$4:$Q$85,3,FALSE)</f>
        <v/>
      </c>
      <c r="E126" s="41">
        <f>VLOOKUP($B126,$B$4:$Q$85,4,FALSE)</f>
        <v/>
      </c>
      <c r="F126" s="41">
        <f>VLOOKUP($B126,$B$4:$Q$85,5,FALSE)</f>
        <v/>
      </c>
      <c r="G126" s="42" t="inlineStr"/>
      <c r="H126" s="40">
        <f>IF(VLOOKUP($B126,$B$4:$Q$85,7,FALSE)=0,"",VLOOKUP($B126,$B$4:$Q$85,7,FALSE))</f>
        <v/>
      </c>
      <c r="I126" s="41">
        <f>VLOOKUP($B126,$B$4:$Q$85,8,FALSE)</f>
        <v/>
      </c>
      <c r="J126" s="41">
        <f>VLOOKUP($B126,$B$4:$Q$85,9,FALSE)</f>
        <v/>
      </c>
      <c r="K126" s="41">
        <f>VLOOKUP($B126,$B$4:$Q$85,10,FALSE)</f>
        <v/>
      </c>
      <c r="L126" s="42" t="inlineStr"/>
      <c r="M126" s="40">
        <f>IF(VLOOKUP($B126,$B$4:$Q$85,12,FALSE)=0,"",VLOOKUP($B126,$B$4:$Q$85,12,FALSE))</f>
        <v/>
      </c>
      <c r="N126" s="41">
        <f>VLOOKUP($B126,$B$4:$Q$85,13,FALSE)</f>
        <v/>
      </c>
      <c r="O126" s="41">
        <f>VLOOKUP($B126,$B$4:$Q$85,14,FALSE)</f>
        <v/>
      </c>
      <c r="P126" s="41">
        <f>VLOOKUP($B126,$B$4:$Q$85,15,FALSE)</f>
        <v/>
      </c>
      <c r="Q126" s="42" t="inlineStr"/>
    </row>
    <row r="127" ht="20" customHeight="1">
      <c r="A127" s="39" t="inlineStr">
        <is>
          <t>QLED</t>
        </is>
      </c>
      <c r="B127" s="39" t="inlineStr">
        <is>
          <t>75QN70F</t>
        </is>
      </c>
      <c r="C127" s="40">
        <f>IF(VLOOKUP($B127,$B$4:$Q$85,2,FALSE)=0,"",VLOOKUP($B127,$B$4:$Q$85,2,FALSE))</f>
        <v/>
      </c>
      <c r="D127" s="41">
        <f>VLOOKUP($B127,$B$4:$Q$85,3,FALSE)</f>
        <v/>
      </c>
      <c r="E127" s="41">
        <f>VLOOKUP($B127,$B$4:$Q$85,4,FALSE)</f>
        <v/>
      </c>
      <c r="F127" s="41">
        <f>VLOOKUP($B127,$B$4:$Q$85,5,FALSE)</f>
        <v/>
      </c>
      <c r="G127" s="42" t="inlineStr"/>
      <c r="H127" s="40">
        <f>IF(VLOOKUP($B127,$B$4:$Q$85,7,FALSE)=0,"",VLOOKUP($B127,$B$4:$Q$85,7,FALSE))</f>
        <v/>
      </c>
      <c r="I127" s="41">
        <f>VLOOKUP($B127,$B$4:$Q$85,8,FALSE)</f>
        <v/>
      </c>
      <c r="J127" s="41">
        <f>VLOOKUP($B127,$B$4:$Q$85,9,FALSE)</f>
        <v/>
      </c>
      <c r="K127" s="41">
        <f>VLOOKUP($B127,$B$4:$Q$85,10,FALSE)</f>
        <v/>
      </c>
      <c r="L127" s="42" t="inlineStr"/>
      <c r="M127" s="40">
        <f>IF(VLOOKUP($B127,$B$4:$Q$85,12,FALSE)=0,"",VLOOKUP($B127,$B$4:$Q$85,12,FALSE))</f>
        <v/>
      </c>
      <c r="N127" s="41">
        <f>VLOOKUP($B127,$B$4:$Q$85,13,FALSE)</f>
        <v/>
      </c>
      <c r="O127" s="41">
        <f>VLOOKUP($B127,$B$4:$Q$85,14,FALSE)</f>
        <v/>
      </c>
      <c r="P127" s="41">
        <f>VLOOKUP($B127,$B$4:$Q$85,15,FALSE)</f>
        <v/>
      </c>
      <c r="Q127" s="42" t="inlineStr"/>
    </row>
    <row r="128" ht="20" customHeight="1">
      <c r="A128" s="39" t="inlineStr">
        <is>
          <t>QLED</t>
        </is>
      </c>
      <c r="B128" s="39" t="inlineStr">
        <is>
          <t>75Q8F</t>
        </is>
      </c>
      <c r="C128" s="40">
        <f>IF(VLOOKUP($B128,$B$4:$Q$85,2,FALSE)=0,"",VLOOKUP($B128,$B$4:$Q$85,2,FALSE))</f>
        <v/>
      </c>
      <c r="D128" s="41">
        <f>VLOOKUP($B128,$B$4:$Q$85,3,FALSE)</f>
        <v/>
      </c>
      <c r="E128" s="41">
        <f>VLOOKUP($B128,$B$4:$Q$85,4,FALSE)</f>
        <v/>
      </c>
      <c r="F128" s="41">
        <f>VLOOKUP($B128,$B$4:$Q$85,5,FALSE)</f>
        <v/>
      </c>
      <c r="G128" s="42" t="inlineStr"/>
      <c r="H128" s="40">
        <f>IF(VLOOKUP($B128,$B$4:$Q$85,7,FALSE)=0,"",VLOOKUP($B128,$B$4:$Q$85,7,FALSE))</f>
        <v/>
      </c>
      <c r="I128" s="41">
        <f>VLOOKUP($B128,$B$4:$Q$85,8,FALSE)</f>
        <v/>
      </c>
      <c r="J128" s="41">
        <f>VLOOKUP($B128,$B$4:$Q$85,9,FALSE)</f>
        <v/>
      </c>
      <c r="K128" s="41">
        <f>VLOOKUP($B128,$B$4:$Q$85,10,FALSE)</f>
        <v/>
      </c>
      <c r="L128" s="42" t="inlineStr"/>
      <c r="M128" s="40">
        <f>IF(VLOOKUP($B128,$B$4:$Q$85,12,FALSE)=0,"",VLOOKUP($B128,$B$4:$Q$85,12,FALSE))</f>
        <v/>
      </c>
      <c r="N128" s="41">
        <f>VLOOKUP($B128,$B$4:$Q$85,13,FALSE)</f>
        <v/>
      </c>
      <c r="O128" s="41">
        <f>VLOOKUP($B128,$B$4:$Q$85,14,FALSE)</f>
        <v/>
      </c>
      <c r="P128" s="41">
        <f>VLOOKUP($B128,$B$4:$Q$85,15,FALSE)</f>
        <v/>
      </c>
      <c r="Q128" s="42" t="inlineStr"/>
    </row>
    <row r="129" ht="20" customHeight="1">
      <c r="A129" s="39" t="inlineStr">
        <is>
          <t>QLED</t>
        </is>
      </c>
      <c r="B129" s="39" t="inlineStr">
        <is>
          <t>75Q7F</t>
        </is>
      </c>
      <c r="C129" s="40">
        <f>IF(VLOOKUP($B129,$B$4:$Q$85,2,FALSE)=0,"",VLOOKUP($B129,$B$4:$Q$85,2,FALSE))</f>
        <v/>
      </c>
      <c r="D129" s="41">
        <f>VLOOKUP($B129,$B$4:$Q$85,3,FALSE)</f>
        <v/>
      </c>
      <c r="E129" s="41">
        <f>VLOOKUP($B129,$B$4:$Q$85,4,FALSE)</f>
        <v/>
      </c>
      <c r="F129" s="41">
        <f>VLOOKUP($B129,$B$4:$Q$85,5,FALSE)</f>
        <v/>
      </c>
      <c r="G129" s="42" t="inlineStr"/>
      <c r="H129" s="40">
        <f>IF(VLOOKUP($B129,$B$4:$Q$85,7,FALSE)=0,"",VLOOKUP($B129,$B$4:$Q$85,7,FALSE))</f>
        <v/>
      </c>
      <c r="I129" s="41">
        <f>VLOOKUP($B129,$B$4:$Q$85,8,FALSE)</f>
        <v/>
      </c>
      <c r="J129" s="41">
        <f>VLOOKUP($B129,$B$4:$Q$85,9,FALSE)</f>
        <v/>
      </c>
      <c r="K129" s="41">
        <f>VLOOKUP($B129,$B$4:$Q$85,10,FALSE)</f>
        <v/>
      </c>
      <c r="L129" s="42" t="inlineStr"/>
      <c r="M129" s="40">
        <f>IF(VLOOKUP($B129,$B$4:$Q$85,12,FALSE)=0,"",VLOOKUP($B129,$B$4:$Q$85,12,FALSE))</f>
        <v/>
      </c>
      <c r="N129" s="41">
        <f>VLOOKUP($B129,$B$4:$Q$85,13,FALSE)</f>
        <v/>
      </c>
      <c r="O129" s="41">
        <f>VLOOKUP($B129,$B$4:$Q$85,14,FALSE)</f>
        <v/>
      </c>
      <c r="P129" s="41">
        <f>VLOOKUP($B129,$B$4:$Q$85,15,FALSE)</f>
        <v/>
      </c>
      <c r="Q129" s="42" t="inlineStr"/>
    </row>
    <row r="130" ht="20" customHeight="1">
      <c r="A130" s="39" t="inlineStr">
        <is>
          <t>UHD 4K</t>
        </is>
      </c>
      <c r="B130" s="39" t="inlineStr">
        <is>
          <t>75U8000F</t>
        </is>
      </c>
      <c r="C130" s="40">
        <f>IF(VLOOKUP($B130,$B$4:$Q$85,2,FALSE)=0,"",VLOOKUP($B130,$B$4:$Q$85,2,FALSE))</f>
        <v/>
      </c>
      <c r="D130" s="41">
        <f>VLOOKUP($B130,$B$4:$Q$85,3,FALSE)</f>
        <v/>
      </c>
      <c r="E130" s="41">
        <f>VLOOKUP($B130,$B$4:$Q$85,4,FALSE)</f>
        <v/>
      </c>
      <c r="F130" s="41">
        <f>VLOOKUP($B130,$B$4:$Q$85,5,FALSE)</f>
        <v/>
      </c>
      <c r="G130" s="42" t="inlineStr"/>
      <c r="H130" s="40">
        <f>IF(VLOOKUP($B130,$B$4:$Q$85,7,FALSE)=0,"",VLOOKUP($B130,$B$4:$Q$85,7,FALSE))</f>
        <v/>
      </c>
      <c r="I130" s="41">
        <f>VLOOKUP($B130,$B$4:$Q$85,8,FALSE)</f>
        <v/>
      </c>
      <c r="J130" s="41">
        <f>VLOOKUP($B130,$B$4:$Q$85,9,FALSE)</f>
        <v/>
      </c>
      <c r="K130" s="41">
        <f>VLOOKUP($B130,$B$4:$Q$85,10,FALSE)</f>
        <v/>
      </c>
      <c r="L130" s="42" t="inlineStr"/>
      <c r="M130" s="40">
        <f>IF(VLOOKUP($B130,$B$4:$Q$85,12,FALSE)=0,"",VLOOKUP($B130,$B$4:$Q$85,12,FALSE))</f>
        <v/>
      </c>
      <c r="N130" s="41">
        <f>VLOOKUP($B130,$B$4:$Q$85,13,FALSE)</f>
        <v/>
      </c>
      <c r="O130" s="41">
        <f>VLOOKUP($B130,$B$4:$Q$85,14,FALSE)</f>
        <v/>
      </c>
      <c r="P130" s="41">
        <f>VLOOKUP($B130,$B$4:$Q$85,15,FALSE)</f>
        <v/>
      </c>
      <c r="Q130" s="42" t="inlineStr"/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</sheetData>
  <mergeCells count="5">
    <mergeCell ref="H2:L2"/>
    <mergeCell ref="C1:Q1"/>
    <mergeCell ref="M2:Q2"/>
    <mergeCell ref="C2:G2"/>
    <mergeCell ref="C86:Q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7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C1" s="32" t="inlineStr">
        <is>
          <t>July(3rd)</t>
        </is>
      </c>
    </row>
    <row r="2">
      <c r="C2" s="2" t="inlineStr">
        <is>
          <t>MSH</t>
        </is>
      </c>
      <c r="H2" s="3" t="inlineStr">
        <is>
          <t>Interdiscount</t>
        </is>
      </c>
      <c r="M2" s="4" t="inlineStr">
        <is>
          <t>Digitec</t>
        </is>
      </c>
    </row>
    <row r="3" ht="25" customHeight="1">
      <c r="A3" s="33" t="inlineStr">
        <is>
          <t>Display</t>
        </is>
      </c>
      <c r="B3" s="33" t="inlineStr">
        <is>
          <t>Series</t>
        </is>
      </c>
      <c r="C3" s="33" t="inlineStr">
        <is>
          <t>Model</t>
        </is>
      </c>
      <c r="D3" s="33" t="inlineStr">
        <is>
          <t>Net Value</t>
        </is>
      </c>
      <c r="E3" s="33" t="inlineStr">
        <is>
          <t>판촉가</t>
        </is>
      </c>
      <c r="F3" s="33" t="inlineStr">
        <is>
          <t>Cashback</t>
        </is>
      </c>
      <c r="G3" s="33" t="inlineStr">
        <is>
          <t>ATA</t>
        </is>
      </c>
      <c r="H3" s="33" t="inlineStr">
        <is>
          <t>Model</t>
        </is>
      </c>
      <c r="I3" s="33" t="inlineStr">
        <is>
          <t>Net Value</t>
        </is>
      </c>
      <c r="J3" s="33" t="inlineStr">
        <is>
          <t>판촉가</t>
        </is>
      </c>
      <c r="K3" s="33" t="inlineStr">
        <is>
          <t>Cashback</t>
        </is>
      </c>
      <c r="L3" s="33" t="inlineStr">
        <is>
          <t>ATA</t>
        </is>
      </c>
      <c r="M3" s="33" t="inlineStr">
        <is>
          <t>Model</t>
        </is>
      </c>
      <c r="N3" s="33" t="inlineStr">
        <is>
          <t>Net Value</t>
        </is>
      </c>
      <c r="O3" s="33" t="inlineStr">
        <is>
          <t>판촉가</t>
        </is>
      </c>
      <c r="P3" s="33" t="inlineStr">
        <is>
          <t>Cashback</t>
        </is>
      </c>
      <c r="Q3" s="33" t="inlineStr">
        <is>
          <t>ATA</t>
        </is>
      </c>
    </row>
    <row r="4" ht="20" customHeight="1">
      <c r="A4" s="34" t="inlineStr">
        <is>
          <t>OLED</t>
        </is>
      </c>
      <c r="B4" s="34" t="inlineStr">
        <is>
          <t>83G6</t>
        </is>
      </c>
      <c r="C4" s="35" t="inlineStr"/>
      <c r="D4" s="36">
        <f>E4-F4</f>
        <v/>
      </c>
      <c r="E4" s="36" t="inlineStr"/>
      <c r="F4" s="36" t="inlineStr"/>
      <c r="G4" s="37">
        <f>IFERROR(E4/E4,"")</f>
        <v/>
      </c>
      <c r="H4" s="35" t="inlineStr"/>
      <c r="I4" s="36">
        <f>J4-K4</f>
        <v/>
      </c>
      <c r="J4" s="36" t="inlineStr"/>
      <c r="K4" s="36" t="inlineStr"/>
      <c r="L4" s="37">
        <f>IFERROR(J4/J4,"")</f>
        <v/>
      </c>
      <c r="M4" s="35" t="inlineStr">
        <is>
          <t>OLED83G67LW</t>
        </is>
      </c>
      <c r="N4" s="36">
        <f>O4-P4</f>
        <v/>
      </c>
      <c r="O4" s="36" t="n">
        <v>5999</v>
      </c>
      <c r="P4" s="36" t="n">
        <v>0</v>
      </c>
      <c r="Q4" s="37">
        <f>IFERROR(O4/O4,"")</f>
        <v/>
      </c>
    </row>
    <row r="5" ht="20" customHeight="1">
      <c r="A5" s="34" t="inlineStr">
        <is>
          <t>OLED</t>
        </is>
      </c>
      <c r="B5" s="34" t="inlineStr">
        <is>
          <t>77G6</t>
        </is>
      </c>
      <c r="C5" s="35" t="inlineStr"/>
      <c r="D5" s="36">
        <f>E5-F5</f>
        <v/>
      </c>
      <c r="E5" s="36" t="inlineStr"/>
      <c r="F5" s="36" t="inlineStr"/>
      <c r="G5" s="37">
        <f>IFERROR(E5/E5,"")</f>
        <v/>
      </c>
      <c r="H5" s="35" t="inlineStr"/>
      <c r="I5" s="36">
        <f>J5-K5</f>
        <v/>
      </c>
      <c r="J5" s="36" t="inlineStr"/>
      <c r="K5" s="36" t="inlineStr"/>
      <c r="L5" s="37">
        <f>IFERROR(J5/J5,"")</f>
        <v/>
      </c>
      <c r="M5" s="35" t="inlineStr"/>
      <c r="N5" s="36">
        <f>O5-P5</f>
        <v/>
      </c>
      <c r="O5" s="36" t="inlineStr"/>
      <c r="P5" s="36" t="inlineStr"/>
      <c r="Q5" s="37">
        <f>IFERROR(O5/O5,"")</f>
        <v/>
      </c>
    </row>
    <row r="6" ht="20" customHeight="1">
      <c r="A6" s="34" t="inlineStr">
        <is>
          <t>OLED</t>
        </is>
      </c>
      <c r="B6" s="34" t="inlineStr">
        <is>
          <t>65G6</t>
        </is>
      </c>
      <c r="C6" s="35" t="inlineStr"/>
      <c r="D6" s="36">
        <f>E6-F6</f>
        <v/>
      </c>
      <c r="E6" s="36" t="inlineStr"/>
      <c r="F6" s="36" t="inlineStr"/>
      <c r="G6" s="37">
        <f>IFERROR(E6/E6,"")</f>
        <v/>
      </c>
      <c r="H6" s="35" t="inlineStr"/>
      <c r="I6" s="36">
        <f>J6-K6</f>
        <v/>
      </c>
      <c r="J6" s="36" t="inlineStr"/>
      <c r="K6" s="36" t="inlineStr"/>
      <c r="L6" s="37">
        <f>IFERROR(J6/J6,"")</f>
        <v/>
      </c>
      <c r="M6" s="35" t="inlineStr">
        <is>
          <t>OLED65G67LW</t>
        </is>
      </c>
      <c r="N6" s="36">
        <f>O6-P6</f>
        <v/>
      </c>
      <c r="O6" s="36" t="n">
        <v>3499</v>
      </c>
      <c r="P6" s="36" t="n">
        <v>0</v>
      </c>
      <c r="Q6" s="37">
        <f>IFERROR(O6/O6,"")</f>
        <v/>
      </c>
    </row>
    <row r="7" ht="20" customHeight="1">
      <c r="A7" s="34" t="inlineStr">
        <is>
          <t>OLED</t>
        </is>
      </c>
      <c r="B7" s="34" t="inlineStr">
        <is>
          <t>55G6</t>
        </is>
      </c>
      <c r="C7" s="35" t="inlineStr"/>
      <c r="D7" s="36">
        <f>E7-F7</f>
        <v/>
      </c>
      <c r="E7" s="36" t="inlineStr"/>
      <c r="F7" s="36" t="inlineStr"/>
      <c r="G7" s="37">
        <f>IFERROR(E7/E7,"")</f>
        <v/>
      </c>
      <c r="H7" s="35" t="inlineStr"/>
      <c r="I7" s="36">
        <f>J7-K7</f>
        <v/>
      </c>
      <c r="J7" s="36" t="inlineStr"/>
      <c r="K7" s="36" t="inlineStr"/>
      <c r="L7" s="37">
        <f>IFERROR(J7/J7,"")</f>
        <v/>
      </c>
      <c r="M7" s="35" t="inlineStr"/>
      <c r="N7" s="36">
        <f>O7-P7</f>
        <v/>
      </c>
      <c r="O7" s="36" t="inlineStr"/>
      <c r="P7" s="36" t="inlineStr"/>
      <c r="Q7" s="37">
        <f>IFERROR(O7/O7,"")</f>
        <v/>
      </c>
    </row>
    <row r="8" ht="20" customHeight="1">
      <c r="A8" s="34" t="inlineStr">
        <is>
          <t>OLED</t>
        </is>
      </c>
      <c r="B8" s="34" t="inlineStr">
        <is>
          <t>83C6</t>
        </is>
      </c>
      <c r="C8" s="35" t="inlineStr">
        <is>
          <t>OLED83C67LA</t>
        </is>
      </c>
      <c r="D8" s="44" t="n"/>
      <c r="E8" s="36" t="n">
        <v>4499.95</v>
      </c>
      <c r="F8" s="36" t="n">
        <v>0</v>
      </c>
      <c r="G8" s="37">
        <f>IFERROR(E8/E4,"")</f>
        <v/>
      </c>
      <c r="H8" s="35" t="inlineStr">
        <is>
          <t>OLED83C68LA</t>
        </is>
      </c>
      <c r="I8" s="44" t="n"/>
      <c r="J8" s="36" t="n">
        <v>4499.95</v>
      </c>
      <c r="K8" s="36" t="n">
        <v>0</v>
      </c>
      <c r="L8" s="37">
        <f>IFERROR(J8/J4,"")</f>
        <v/>
      </c>
      <c r="M8" s="35" t="inlineStr"/>
      <c r="N8" s="44" t="n"/>
      <c r="O8" s="45" t="inlineStr"/>
      <c r="P8" s="45" t="inlineStr"/>
      <c r="Q8" s="37">
        <f>IFERROR(O8/O4,"")</f>
        <v/>
      </c>
    </row>
    <row r="9" ht="20" customHeight="1">
      <c r="A9" s="34" t="inlineStr">
        <is>
          <t>OLED</t>
        </is>
      </c>
      <c r="B9" s="34" t="inlineStr">
        <is>
          <t>77C6</t>
        </is>
      </c>
      <c r="C9" s="35" t="inlineStr">
        <is>
          <t>OLED77C67LA</t>
        </is>
      </c>
      <c r="D9" s="36">
        <f>E9-F9</f>
        <v/>
      </c>
      <c r="E9" s="36" t="n">
        <v>3499</v>
      </c>
      <c r="F9" s="36" t="n">
        <v>0</v>
      </c>
      <c r="G9" s="37">
        <f>IFERROR(E9/E5,"")</f>
        <v/>
      </c>
      <c r="H9" s="35" t="inlineStr">
        <is>
          <t>OLED77C68LA</t>
        </is>
      </c>
      <c r="I9" s="36">
        <f>J9-K9</f>
        <v/>
      </c>
      <c r="J9" s="36" t="n">
        <v>3499.95</v>
      </c>
      <c r="K9" s="36" t="n">
        <v>0</v>
      </c>
      <c r="L9" s="37">
        <f>IFERROR(J9/J5,"")</f>
        <v/>
      </c>
      <c r="M9" s="35" t="inlineStr"/>
      <c r="N9" s="36">
        <f>O9-P9</f>
        <v/>
      </c>
      <c r="O9" s="36" t="inlineStr"/>
      <c r="P9" s="36" t="inlineStr"/>
      <c r="Q9" s="37">
        <f>IFERROR(O9/O5,"")</f>
        <v/>
      </c>
    </row>
    <row r="10" ht="20" customHeight="1">
      <c r="A10" s="34" t="inlineStr">
        <is>
          <t>OLED</t>
        </is>
      </c>
      <c r="B10" s="34" t="inlineStr">
        <is>
          <t>65C6</t>
        </is>
      </c>
      <c r="C10" s="35" t="inlineStr">
        <is>
          <t>OLED65C67LA</t>
        </is>
      </c>
      <c r="D10" s="36">
        <f>E10-F10</f>
        <v/>
      </c>
      <c r="E10" s="36" t="n">
        <v>2599</v>
      </c>
      <c r="F10" s="36" t="n">
        <v>0</v>
      </c>
      <c r="G10" s="37">
        <f>IFERROR(E10/E6,"")</f>
        <v/>
      </c>
      <c r="H10" s="35" t="inlineStr">
        <is>
          <t>OLED65C68LA</t>
        </is>
      </c>
      <c r="I10" s="36">
        <f>J10-K10</f>
        <v/>
      </c>
      <c r="J10" s="36" t="n">
        <v>2599.95</v>
      </c>
      <c r="K10" s="36" t="n">
        <v>0</v>
      </c>
      <c r="L10" s="37">
        <f>IFERROR(J10/J6,"")</f>
        <v/>
      </c>
      <c r="M10" s="35" t="inlineStr"/>
      <c r="N10" s="36">
        <f>O10-P10</f>
        <v/>
      </c>
      <c r="O10" s="36" t="inlineStr"/>
      <c r="P10" s="36" t="inlineStr"/>
      <c r="Q10" s="37">
        <f>IFERROR(O10/O6,"")</f>
        <v/>
      </c>
    </row>
    <row r="11" ht="20" customHeight="1">
      <c r="A11" s="34" t="inlineStr">
        <is>
          <t>OLED</t>
        </is>
      </c>
      <c r="B11" s="34" t="inlineStr">
        <is>
          <t>55C6</t>
        </is>
      </c>
      <c r="C11" s="35" t="inlineStr">
        <is>
          <t>OLED55C67LA</t>
        </is>
      </c>
      <c r="D11" s="36">
        <f>E11-F11</f>
        <v/>
      </c>
      <c r="E11" s="36" t="n">
        <v>1799</v>
      </c>
      <c r="F11" s="36" t="n">
        <v>0</v>
      </c>
      <c r="G11" s="37">
        <f>IFERROR(E11/E7,"")</f>
        <v/>
      </c>
      <c r="H11" s="35" t="inlineStr">
        <is>
          <t>OLED55C68LA</t>
        </is>
      </c>
      <c r="I11" s="36">
        <f>J11-K11</f>
        <v/>
      </c>
      <c r="J11" s="36" t="n">
        <v>1799.95</v>
      </c>
      <c r="K11" s="36" t="n">
        <v>0</v>
      </c>
      <c r="L11" s="37">
        <f>IFERROR(J11/J7,"")</f>
        <v/>
      </c>
      <c r="M11" s="35" t="inlineStr"/>
      <c r="N11" s="36">
        <f>O11-P11</f>
        <v/>
      </c>
      <c r="O11" s="36" t="inlineStr"/>
      <c r="P11" s="36" t="inlineStr"/>
      <c r="Q11" s="37">
        <f>IFERROR(O11/O7,"")</f>
        <v/>
      </c>
    </row>
    <row r="12" ht="20" customHeight="1">
      <c r="A12" s="34" t="inlineStr">
        <is>
          <t>OLED</t>
        </is>
      </c>
      <c r="B12" s="34" t="inlineStr">
        <is>
          <t>48C6</t>
        </is>
      </c>
      <c r="C12" s="35" t="inlineStr">
        <is>
          <t>OLED48C67LA</t>
        </is>
      </c>
      <c r="D12" s="36">
        <f>E12-F12</f>
        <v/>
      </c>
      <c r="E12" s="36" t="n">
        <v>1599</v>
      </c>
      <c r="F12" s="36" t="n">
        <v>0</v>
      </c>
      <c r="G12" s="37">
        <f>IFERROR(E12/E7,"")</f>
        <v/>
      </c>
      <c r="H12" s="35" t="inlineStr">
        <is>
          <t>OLED48C68LA</t>
        </is>
      </c>
      <c r="I12" s="36">
        <f>J12-K12</f>
        <v/>
      </c>
      <c r="J12" s="36" t="n">
        <v>1599.95</v>
      </c>
      <c r="K12" s="36" t="n">
        <v>0</v>
      </c>
      <c r="L12" s="37">
        <f>IFERROR(J12/J7,"")</f>
        <v/>
      </c>
      <c r="M12" s="35" t="inlineStr"/>
      <c r="N12" s="36">
        <f>O12-P12</f>
        <v/>
      </c>
      <c r="O12" s="36" t="inlineStr"/>
      <c r="P12" s="36" t="inlineStr"/>
      <c r="Q12" s="37">
        <f>IFERROR(O12/O7,"")</f>
        <v/>
      </c>
    </row>
    <row r="13" ht="20" customHeight="1">
      <c r="A13" s="34" t="inlineStr">
        <is>
          <t>OLED</t>
        </is>
      </c>
      <c r="B13" s="34" t="inlineStr">
        <is>
          <t>42C6</t>
        </is>
      </c>
      <c r="C13" s="35" t="inlineStr">
        <is>
          <t>OLED42C67LA</t>
        </is>
      </c>
      <c r="D13" s="36">
        <f>E13-F13</f>
        <v/>
      </c>
      <c r="E13" s="36" t="n">
        <v>1499</v>
      </c>
      <c r="F13" s="36" t="n">
        <v>0</v>
      </c>
      <c r="G13" s="37">
        <f>IFERROR(E13/E7,"")</f>
        <v/>
      </c>
      <c r="H13" s="35" t="inlineStr">
        <is>
          <t>OLED42C68LA</t>
        </is>
      </c>
      <c r="I13" s="36">
        <f>J13-K13</f>
        <v/>
      </c>
      <c r="J13" s="36" t="n">
        <v>1499.95</v>
      </c>
      <c r="K13" s="36" t="n">
        <v>0</v>
      </c>
      <c r="L13" s="37">
        <f>IFERROR(J13/J7,"")</f>
        <v/>
      </c>
      <c r="M13" s="35" t="inlineStr">
        <is>
          <t>OLED42C6ELB</t>
        </is>
      </c>
      <c r="N13" s="36">
        <f>O13-P13</f>
        <v/>
      </c>
      <c r="O13" s="36" t="n">
        <v>1250</v>
      </c>
      <c r="P13" s="36" t="n">
        <v>0</v>
      </c>
      <c r="Q13" s="37">
        <f>IFERROR(O13/O7,"")</f>
        <v/>
      </c>
    </row>
    <row r="14" ht="20" customHeight="1">
      <c r="A14" s="34" t="inlineStr">
        <is>
          <t>OLED</t>
        </is>
      </c>
      <c r="B14" s="34" t="inlineStr">
        <is>
          <t>83B6</t>
        </is>
      </c>
      <c r="C14" s="35" t="inlineStr"/>
      <c r="D14" s="36">
        <f>E14-F14</f>
        <v/>
      </c>
      <c r="E14" s="36" t="inlineStr"/>
      <c r="F14" s="36" t="inlineStr"/>
      <c r="G14" s="37">
        <f>IFERROR(E14/E4,"")</f>
        <v/>
      </c>
      <c r="H14" s="35" t="inlineStr"/>
      <c r="I14" s="36">
        <f>J14-K14</f>
        <v/>
      </c>
      <c r="J14" s="36" t="inlineStr"/>
      <c r="K14" s="36" t="inlineStr"/>
      <c r="L14" s="37">
        <f>IFERROR(J14/J4,"")</f>
        <v/>
      </c>
      <c r="M14" s="35" t="inlineStr"/>
      <c r="N14" s="36">
        <f>O14-P14</f>
        <v/>
      </c>
      <c r="O14" s="36" t="inlineStr"/>
      <c r="P14" s="36" t="inlineStr"/>
      <c r="Q14" s="37">
        <f>IFERROR(O14/O4,"")</f>
        <v/>
      </c>
    </row>
    <row r="15" ht="20" customHeight="1">
      <c r="A15" s="34" t="inlineStr">
        <is>
          <t>OLED</t>
        </is>
      </c>
      <c r="B15" s="34" t="inlineStr">
        <is>
          <t>77B6</t>
        </is>
      </c>
      <c r="C15" s="35" t="inlineStr"/>
      <c r="D15" s="44" t="n"/>
      <c r="E15" s="45" t="inlineStr"/>
      <c r="F15" s="45" t="inlineStr"/>
      <c r="G15" s="37">
        <f>IFERROR(E15/E5,"")</f>
        <v/>
      </c>
      <c r="H15" s="35" t="inlineStr"/>
      <c r="I15" s="44" t="n"/>
      <c r="J15" s="45" t="inlineStr"/>
      <c r="K15" s="45" t="inlineStr"/>
      <c r="L15" s="37">
        <f>IFERROR(J15/J5,"")</f>
        <v/>
      </c>
      <c r="M15" s="35" t="inlineStr"/>
      <c r="N15" s="44" t="n"/>
      <c r="O15" s="45" t="inlineStr"/>
      <c r="P15" s="45" t="inlineStr"/>
      <c r="Q15" s="37">
        <f>IFERROR(O15/O5,"")</f>
        <v/>
      </c>
    </row>
    <row r="16" ht="20" customHeight="1">
      <c r="A16" s="34" t="inlineStr">
        <is>
          <t>OLED</t>
        </is>
      </c>
      <c r="B16" s="34" t="inlineStr">
        <is>
          <t>65B6</t>
        </is>
      </c>
      <c r="C16" s="35" t="inlineStr"/>
      <c r="D16" s="36">
        <f>E16-F16</f>
        <v/>
      </c>
      <c r="E16" s="36" t="inlineStr"/>
      <c r="F16" s="36" t="inlineStr"/>
      <c r="G16" s="37">
        <f>IFERROR(E16/E6,"")</f>
        <v/>
      </c>
      <c r="H16" s="35" t="inlineStr"/>
      <c r="I16" s="36">
        <f>J16-K16</f>
        <v/>
      </c>
      <c r="J16" s="36" t="inlineStr"/>
      <c r="K16" s="36" t="inlineStr"/>
      <c r="L16" s="37">
        <f>IFERROR(J16/J6,"")</f>
        <v/>
      </c>
      <c r="M16" s="35" t="inlineStr"/>
      <c r="N16" s="36">
        <f>O16-P16</f>
        <v/>
      </c>
      <c r="O16" s="36" t="inlineStr"/>
      <c r="P16" s="36" t="inlineStr"/>
      <c r="Q16" s="37">
        <f>IFERROR(O16/O6,"")</f>
        <v/>
      </c>
    </row>
    <row r="17" ht="20" customHeight="1">
      <c r="A17" s="34" t="inlineStr">
        <is>
          <t>OLED</t>
        </is>
      </c>
      <c r="B17" s="34" t="inlineStr">
        <is>
          <t>55B6</t>
        </is>
      </c>
      <c r="C17" s="35" t="inlineStr"/>
      <c r="D17" s="36">
        <f>E17-F17</f>
        <v/>
      </c>
      <c r="E17" s="36" t="inlineStr"/>
      <c r="F17" s="36" t="inlineStr"/>
      <c r="G17" s="37">
        <f>IFERROR(E17/E7,"")</f>
        <v/>
      </c>
      <c r="H17" s="35" t="inlineStr"/>
      <c r="I17" s="36">
        <f>J17-K17</f>
        <v/>
      </c>
      <c r="J17" s="36" t="inlineStr"/>
      <c r="K17" s="36" t="inlineStr"/>
      <c r="L17" s="37">
        <f>IFERROR(J17/J7,"")</f>
        <v/>
      </c>
      <c r="M17" s="35" t="inlineStr"/>
      <c r="N17" s="36">
        <f>O17-P17</f>
        <v/>
      </c>
      <c r="O17" s="36" t="inlineStr"/>
      <c r="P17" s="36" t="inlineStr"/>
      <c r="Q17" s="37">
        <f>IFERROR(O17/O7,"")</f>
        <v/>
      </c>
    </row>
    <row r="18" ht="20" customHeight="1">
      <c r="A18" s="34" t="inlineStr">
        <is>
          <t>OLED</t>
        </is>
      </c>
      <c r="B18" s="34" t="inlineStr">
        <is>
          <t>48B6</t>
        </is>
      </c>
      <c r="C18" s="35" t="inlineStr"/>
      <c r="D18" s="36">
        <f>E18-F18</f>
        <v/>
      </c>
      <c r="E18" s="36" t="inlineStr"/>
      <c r="F18" s="36" t="inlineStr"/>
      <c r="G18" s="37">
        <f>IFERROR(E18/E7,"")</f>
        <v/>
      </c>
      <c r="H18" s="35" t="inlineStr"/>
      <c r="I18" s="36">
        <f>J18-K18</f>
        <v/>
      </c>
      <c r="J18" s="36" t="inlineStr"/>
      <c r="K18" s="36" t="inlineStr"/>
      <c r="L18" s="37">
        <f>IFERROR(J18/J7,"")</f>
        <v/>
      </c>
      <c r="M18" s="35" t="inlineStr"/>
      <c r="N18" s="36">
        <f>O18-P18</f>
        <v/>
      </c>
      <c r="O18" s="36" t="inlineStr"/>
      <c r="P18" s="36" t="inlineStr"/>
      <c r="Q18" s="37">
        <f>IFERROR(O18/O7,"")</f>
        <v/>
      </c>
    </row>
    <row r="19" ht="20" customHeight="1">
      <c r="A19" s="39" t="inlineStr">
        <is>
          <t>OLED</t>
        </is>
      </c>
      <c r="B19" s="39" t="inlineStr">
        <is>
          <t>83S99H</t>
        </is>
      </c>
      <c r="C19" s="40" t="inlineStr"/>
      <c r="D19" s="41">
        <f>E19-F19</f>
        <v/>
      </c>
      <c r="E19" s="41" t="inlineStr"/>
      <c r="F19" s="41" t="inlineStr"/>
      <c r="G19" s="42" t="inlineStr"/>
      <c r="H19" s="40" t="inlineStr">
        <is>
          <t>QE83S99HAEXZU</t>
        </is>
      </c>
      <c r="I19" s="41">
        <f>J19-K19</f>
        <v/>
      </c>
      <c r="J19" s="41" t="n">
        <v>5267</v>
      </c>
      <c r="K19" s="41" t="n">
        <v>0</v>
      </c>
      <c r="L19" s="42" t="inlineStr"/>
      <c r="M19" s="40" t="inlineStr"/>
      <c r="N19" s="41">
        <f>O19-P19</f>
        <v/>
      </c>
      <c r="O19" s="41" t="inlineStr"/>
      <c r="P19" s="41" t="inlineStr"/>
      <c r="Q19" s="42" t="inlineStr"/>
    </row>
    <row r="20" ht="20" customHeight="1">
      <c r="A20" s="39" t="inlineStr">
        <is>
          <t>OLED</t>
        </is>
      </c>
      <c r="B20" s="39" t="inlineStr">
        <is>
          <t>77S99H</t>
        </is>
      </c>
      <c r="C20" s="40" t="inlineStr">
        <is>
          <t>QE77S99H</t>
        </is>
      </c>
      <c r="D20" s="41">
        <f>E20-F20</f>
        <v/>
      </c>
      <c r="E20" s="41" t="n">
        <v>4499</v>
      </c>
      <c r="F20" s="41" t="n">
        <v>0</v>
      </c>
      <c r="G20" s="42" t="inlineStr"/>
      <c r="H20" s="40" t="inlineStr">
        <is>
          <t>QE77S99H</t>
        </is>
      </c>
      <c r="I20" s="41">
        <f>J20-K20</f>
        <v/>
      </c>
      <c r="J20" s="41" t="n">
        <v>4499.95</v>
      </c>
      <c r="K20" s="41" t="n">
        <v>0</v>
      </c>
      <c r="L20" s="42" t="inlineStr"/>
      <c r="M20" s="40" t="inlineStr">
        <is>
          <t>QE77S99HATXZU</t>
        </is>
      </c>
      <c r="N20" s="41">
        <f>O20-P20</f>
        <v/>
      </c>
      <c r="O20" s="41" t="n">
        <v>4236</v>
      </c>
      <c r="P20" s="41" t="n">
        <v>0</v>
      </c>
      <c r="Q20" s="42" t="inlineStr"/>
    </row>
    <row r="21" ht="20" customHeight="1">
      <c r="A21" s="39" t="inlineStr">
        <is>
          <t>OLED</t>
        </is>
      </c>
      <c r="B21" s="39" t="inlineStr">
        <is>
          <t>65S99H</t>
        </is>
      </c>
      <c r="C21" s="40" t="inlineStr">
        <is>
          <t>QE65S99H</t>
        </is>
      </c>
      <c r="D21" s="46" t="n"/>
      <c r="E21" s="41" t="n">
        <v>3499</v>
      </c>
      <c r="F21" s="41" t="n">
        <v>0</v>
      </c>
      <c r="G21" s="42" t="inlineStr"/>
      <c r="H21" s="40" t="inlineStr">
        <is>
          <t>QE65S99H</t>
        </is>
      </c>
      <c r="I21" s="46" t="n"/>
      <c r="J21" s="41" t="n">
        <v>3499.95</v>
      </c>
      <c r="K21" s="41" t="n">
        <v>0</v>
      </c>
      <c r="L21" s="42" t="inlineStr"/>
      <c r="M21" s="40" t="inlineStr">
        <is>
          <t>QE65S99HATXZU</t>
        </is>
      </c>
      <c r="N21" s="46" t="n"/>
      <c r="O21" s="41" t="n">
        <v>3335</v>
      </c>
      <c r="P21" s="41" t="n">
        <v>0</v>
      </c>
      <c r="Q21" s="42" t="inlineStr"/>
    </row>
    <row r="22" ht="20" customHeight="1">
      <c r="A22" s="39" t="inlineStr">
        <is>
          <t>OLED</t>
        </is>
      </c>
      <c r="B22" s="39" t="inlineStr">
        <is>
          <t>55S99H</t>
        </is>
      </c>
      <c r="C22" s="40" t="inlineStr">
        <is>
          <t>QE55S99H</t>
        </is>
      </c>
      <c r="D22" s="41">
        <f>E22-F22</f>
        <v/>
      </c>
      <c r="E22" s="41" t="n">
        <v>2499</v>
      </c>
      <c r="F22" s="41" t="n">
        <v>0</v>
      </c>
      <c r="G22" s="42" t="inlineStr"/>
      <c r="H22" s="40" t="inlineStr">
        <is>
          <t>QE55S99H</t>
        </is>
      </c>
      <c r="I22" s="41">
        <f>J22-K22</f>
        <v/>
      </c>
      <c r="J22" s="41" t="n">
        <v>2499.95</v>
      </c>
      <c r="K22" s="41" t="n">
        <v>0</v>
      </c>
      <c r="L22" s="42" t="inlineStr"/>
      <c r="M22" s="40" t="inlineStr">
        <is>
          <t>QE55S99HATXZU</t>
        </is>
      </c>
      <c r="N22" s="41">
        <f>O22-P22</f>
        <v/>
      </c>
      <c r="O22" s="41" t="n">
        <v>2449</v>
      </c>
      <c r="P22" s="41" t="n">
        <v>0</v>
      </c>
      <c r="Q22" s="42" t="inlineStr"/>
    </row>
    <row r="23" ht="20" customHeight="1">
      <c r="A23" s="39" t="inlineStr">
        <is>
          <t>OLED</t>
        </is>
      </c>
      <c r="B23" s="39" t="inlineStr">
        <is>
          <t>83S95H</t>
        </is>
      </c>
      <c r="C23" s="40" t="inlineStr"/>
      <c r="D23" s="41">
        <f>E23-F23</f>
        <v/>
      </c>
      <c r="E23" s="41" t="inlineStr"/>
      <c r="F23" s="41" t="inlineStr"/>
      <c r="G23" s="42" t="inlineStr"/>
      <c r="H23" s="40" t="inlineStr"/>
      <c r="I23" s="41">
        <f>J23-K23</f>
        <v/>
      </c>
      <c r="J23" s="41" t="inlineStr"/>
      <c r="K23" s="41" t="inlineStr"/>
      <c r="L23" s="42" t="inlineStr"/>
      <c r="M23" s="40" t="inlineStr"/>
      <c r="N23" s="41">
        <f>O23-P23</f>
        <v/>
      </c>
      <c r="O23" s="41" t="inlineStr"/>
      <c r="P23" s="41" t="inlineStr"/>
      <c r="Q23" s="42" t="inlineStr"/>
    </row>
    <row r="24" ht="20" customHeight="1">
      <c r="A24" s="39" t="inlineStr">
        <is>
          <t>OLED</t>
        </is>
      </c>
      <c r="B24" s="39" t="inlineStr">
        <is>
          <t>77S95H</t>
        </is>
      </c>
      <c r="C24" s="40" t="inlineStr"/>
      <c r="D24" s="41">
        <f>E24-F24</f>
        <v/>
      </c>
      <c r="E24" s="41" t="inlineStr"/>
      <c r="F24" s="41" t="inlineStr"/>
      <c r="G24" s="42" t="inlineStr"/>
      <c r="H24" s="40" t="inlineStr"/>
      <c r="I24" s="41">
        <f>J24-K24</f>
        <v/>
      </c>
      <c r="J24" s="41" t="inlineStr"/>
      <c r="K24" s="41" t="inlineStr"/>
      <c r="L24" s="42" t="inlineStr"/>
      <c r="M24" s="40" t="inlineStr"/>
      <c r="N24" s="41">
        <f>O24-P24</f>
        <v/>
      </c>
      <c r="O24" s="41" t="inlineStr"/>
      <c r="P24" s="41" t="inlineStr"/>
      <c r="Q24" s="42" t="inlineStr"/>
    </row>
    <row r="25" ht="20" customHeight="1">
      <c r="A25" s="39" t="inlineStr">
        <is>
          <t>OLED</t>
        </is>
      </c>
      <c r="B25" s="39" t="inlineStr">
        <is>
          <t>65S95H</t>
        </is>
      </c>
      <c r="C25" s="40" t="inlineStr"/>
      <c r="D25" s="41">
        <f>E25-F25</f>
        <v/>
      </c>
      <c r="E25" s="41" t="inlineStr"/>
      <c r="F25" s="41" t="inlineStr"/>
      <c r="G25" s="42" t="inlineStr"/>
      <c r="H25" s="40" t="inlineStr"/>
      <c r="I25" s="41">
        <f>J25-K25</f>
        <v/>
      </c>
      <c r="J25" s="41" t="inlineStr"/>
      <c r="K25" s="41" t="inlineStr"/>
      <c r="L25" s="42" t="inlineStr"/>
      <c r="M25" s="40" t="inlineStr"/>
      <c r="N25" s="41">
        <f>O25-P25</f>
        <v/>
      </c>
      <c r="O25" s="41" t="inlineStr"/>
      <c r="P25" s="41" t="inlineStr"/>
      <c r="Q25" s="42" t="inlineStr"/>
    </row>
    <row r="26" ht="20" customHeight="1">
      <c r="A26" s="39" t="inlineStr">
        <is>
          <t>OLED</t>
        </is>
      </c>
      <c r="B26" s="39" t="inlineStr">
        <is>
          <t>55S95H</t>
        </is>
      </c>
      <c r="C26" s="40" t="inlineStr"/>
      <c r="D26" s="46" t="n"/>
      <c r="E26" s="47" t="inlineStr"/>
      <c r="F26" s="47" t="inlineStr"/>
      <c r="G26" s="42" t="inlineStr"/>
      <c r="H26" s="40" t="inlineStr">
        <is>
          <t>QE55S95HFTXZU</t>
        </is>
      </c>
      <c r="I26" s="46" t="n"/>
      <c r="J26" s="41" t="n">
        <v>2400</v>
      </c>
      <c r="K26" s="41" t="n">
        <v>0</v>
      </c>
      <c r="L26" s="42" t="inlineStr"/>
      <c r="M26" s="40" t="inlineStr"/>
      <c r="N26" s="46" t="n"/>
      <c r="O26" s="47" t="inlineStr"/>
      <c r="P26" s="47" t="inlineStr"/>
      <c r="Q26" s="42" t="inlineStr"/>
    </row>
    <row r="27" ht="20" customHeight="1">
      <c r="A27" s="39" t="inlineStr">
        <is>
          <t>OLED</t>
        </is>
      </c>
      <c r="B27" s="39" t="inlineStr">
        <is>
          <t>83S90H</t>
        </is>
      </c>
      <c r="C27" s="40" t="inlineStr">
        <is>
          <t>QE83S90H</t>
        </is>
      </c>
      <c r="D27" s="41">
        <f>E27-F27</f>
        <v/>
      </c>
      <c r="E27" s="41" t="n">
        <v>4999</v>
      </c>
      <c r="F27" s="41" t="n">
        <v>0</v>
      </c>
      <c r="G27" s="42" t="inlineStr"/>
      <c r="H27" s="40" t="inlineStr">
        <is>
          <t>QE83S90H</t>
        </is>
      </c>
      <c r="I27" s="41">
        <f>J27-K27</f>
        <v/>
      </c>
      <c r="J27" s="41" t="n">
        <v>4999.95</v>
      </c>
      <c r="K27" s="41" t="n">
        <v>0</v>
      </c>
      <c r="L27" s="42" t="inlineStr"/>
      <c r="M27" s="40" t="inlineStr"/>
      <c r="N27" s="41">
        <f>O27-P27</f>
        <v/>
      </c>
      <c r="O27" s="41" t="inlineStr"/>
      <c r="P27" s="41" t="inlineStr"/>
      <c r="Q27" s="42" t="inlineStr"/>
    </row>
    <row r="28" ht="20" customHeight="1">
      <c r="A28" s="39" t="inlineStr">
        <is>
          <t>OLED</t>
        </is>
      </c>
      <c r="B28" s="39" t="inlineStr">
        <is>
          <t>77S90H</t>
        </is>
      </c>
      <c r="C28" s="40" t="inlineStr">
        <is>
          <t>QE77S90H</t>
        </is>
      </c>
      <c r="D28" s="41">
        <f>E28-F28</f>
        <v/>
      </c>
      <c r="E28" s="41" t="n">
        <v>3499</v>
      </c>
      <c r="F28" s="41" t="n">
        <v>0</v>
      </c>
      <c r="G28" s="42" t="inlineStr"/>
      <c r="H28" s="40" t="inlineStr">
        <is>
          <t>QE77S90H</t>
        </is>
      </c>
      <c r="I28" s="41">
        <f>J28-K28</f>
        <v/>
      </c>
      <c r="J28" s="41" t="n">
        <v>3499.95</v>
      </c>
      <c r="K28" s="41" t="n">
        <v>0</v>
      </c>
      <c r="L28" s="42" t="inlineStr"/>
      <c r="M28" s="40" t="inlineStr">
        <is>
          <t>QE77S90HATXZU</t>
        </is>
      </c>
      <c r="N28" s="41">
        <f>O28-P28</f>
        <v/>
      </c>
      <c r="O28" s="41" t="n">
        <v>3499</v>
      </c>
      <c r="P28" s="41" t="n">
        <v>0</v>
      </c>
      <c r="Q28" s="42" t="inlineStr"/>
    </row>
    <row r="29" ht="20" customHeight="1">
      <c r="A29" s="39" t="inlineStr">
        <is>
          <t>OLED</t>
        </is>
      </c>
      <c r="B29" s="39" t="inlineStr">
        <is>
          <t>65S90H</t>
        </is>
      </c>
      <c r="C29" s="40" t="inlineStr">
        <is>
          <t>QE65S90H</t>
        </is>
      </c>
      <c r="D29" s="41">
        <f>E29-F29</f>
        <v/>
      </c>
      <c r="E29" s="41" t="n">
        <v>2599</v>
      </c>
      <c r="F29" s="41" t="n">
        <v>0</v>
      </c>
      <c r="G29" s="42" t="inlineStr"/>
      <c r="H29" s="40" t="inlineStr">
        <is>
          <t>QE65S90H</t>
        </is>
      </c>
      <c r="I29" s="41">
        <f>J29-K29</f>
        <v/>
      </c>
      <c r="J29" s="41" t="n">
        <v>2599.95</v>
      </c>
      <c r="K29" s="41" t="n">
        <v>0</v>
      </c>
      <c r="L29" s="42" t="inlineStr"/>
      <c r="M29" s="40" t="inlineStr">
        <is>
          <t>QE65S90HAEXZU</t>
        </is>
      </c>
      <c r="N29" s="41">
        <f>O29-P29</f>
        <v/>
      </c>
      <c r="O29" s="41" t="n">
        <v>2569</v>
      </c>
      <c r="P29" s="41" t="n">
        <v>0</v>
      </c>
      <c r="Q29" s="42" t="inlineStr"/>
    </row>
    <row r="30" ht="20" customHeight="1">
      <c r="A30" s="39" t="inlineStr">
        <is>
          <t>OLED</t>
        </is>
      </c>
      <c r="B30" s="39" t="inlineStr">
        <is>
          <t>55S90H</t>
        </is>
      </c>
      <c r="C30" s="40" t="inlineStr">
        <is>
          <t>QE55S90H</t>
        </is>
      </c>
      <c r="D30" s="41">
        <f>E30-F30</f>
        <v/>
      </c>
      <c r="E30" s="41" t="n">
        <v>1799</v>
      </c>
      <c r="F30" s="41" t="n">
        <v>0</v>
      </c>
      <c r="G30" s="42" t="inlineStr"/>
      <c r="H30" s="40" t="inlineStr">
        <is>
          <t>QE55S90H</t>
        </is>
      </c>
      <c r="I30" s="41">
        <f>J30-K30</f>
        <v/>
      </c>
      <c r="J30" s="41" t="n">
        <v>1799.95</v>
      </c>
      <c r="K30" s="41" t="n">
        <v>0</v>
      </c>
      <c r="L30" s="42" t="inlineStr"/>
      <c r="M30" s="40" t="inlineStr"/>
      <c r="N30" s="41">
        <f>O30-P30</f>
        <v/>
      </c>
      <c r="O30" s="41" t="inlineStr"/>
      <c r="P30" s="41" t="inlineStr"/>
      <c r="Q30" s="42" t="inlineStr"/>
    </row>
    <row r="31" ht="20" customHeight="1">
      <c r="A31" s="39" t="inlineStr">
        <is>
          <t>OLED</t>
        </is>
      </c>
      <c r="B31" s="39" t="inlineStr">
        <is>
          <t>48S90H</t>
        </is>
      </c>
      <c r="C31" s="40" t="inlineStr">
        <is>
          <t>QE48S90H</t>
        </is>
      </c>
      <c r="D31" s="46" t="n"/>
      <c r="E31" s="41" t="n">
        <v>1599</v>
      </c>
      <c r="F31" s="41" t="n">
        <v>0</v>
      </c>
      <c r="G31" s="42" t="inlineStr"/>
      <c r="H31" s="40" t="inlineStr">
        <is>
          <t>QE48S90H</t>
        </is>
      </c>
      <c r="I31" s="46" t="n"/>
      <c r="J31" s="41" t="n">
        <v>1599.95</v>
      </c>
      <c r="K31" s="41" t="n">
        <v>0</v>
      </c>
      <c r="L31" s="42" t="inlineStr"/>
      <c r="M31" s="40" t="inlineStr"/>
      <c r="N31" s="46" t="n"/>
      <c r="O31" s="47" t="inlineStr"/>
      <c r="P31" s="47" t="inlineStr"/>
      <c r="Q31" s="42" t="inlineStr"/>
    </row>
    <row r="32" ht="20" customHeight="1">
      <c r="A32" s="39" t="inlineStr">
        <is>
          <t>OLED</t>
        </is>
      </c>
      <c r="B32" s="39" t="inlineStr">
        <is>
          <t>42S90H</t>
        </is>
      </c>
      <c r="C32" s="40" t="inlineStr">
        <is>
          <t>QE42S90H</t>
        </is>
      </c>
      <c r="D32" s="41">
        <f>E32-F32</f>
        <v/>
      </c>
      <c r="E32" s="41" t="n">
        <v>1499</v>
      </c>
      <c r="F32" s="41" t="n">
        <v>0</v>
      </c>
      <c r="G32" s="42" t="inlineStr"/>
      <c r="H32" s="40" t="inlineStr">
        <is>
          <t>QE42S90H</t>
        </is>
      </c>
      <c r="I32" s="41">
        <f>J32-K32</f>
        <v/>
      </c>
      <c r="J32" s="41" t="n">
        <v>1499.95</v>
      </c>
      <c r="K32" s="41" t="n">
        <v>0</v>
      </c>
      <c r="L32" s="42" t="inlineStr"/>
      <c r="M32" s="40" t="inlineStr">
        <is>
          <t>QE42S90HAEXXN</t>
        </is>
      </c>
      <c r="N32" s="41">
        <f>O32-P32</f>
        <v/>
      </c>
      <c r="O32" s="41" t="n">
        <v>1499</v>
      </c>
      <c r="P32" s="41" t="n">
        <v>0</v>
      </c>
      <c r="Q32" s="42" t="inlineStr"/>
    </row>
    <row r="33" ht="20" customHeight="1">
      <c r="A33" s="39" t="inlineStr">
        <is>
          <t>OLED</t>
        </is>
      </c>
      <c r="B33" s="39" t="inlineStr">
        <is>
          <t>83S85H</t>
        </is>
      </c>
      <c r="C33" s="40" t="inlineStr"/>
      <c r="D33" s="41">
        <f>E33-F33</f>
        <v/>
      </c>
      <c r="E33" s="41" t="inlineStr"/>
      <c r="F33" s="41" t="inlineStr"/>
      <c r="G33" s="42" t="inlineStr"/>
      <c r="H33" s="40" t="inlineStr">
        <is>
          <t>QE83S85H</t>
        </is>
      </c>
      <c r="I33" s="41">
        <f>J33-K33</f>
        <v/>
      </c>
      <c r="J33" s="41" t="n">
        <v>4799.95</v>
      </c>
      <c r="K33" s="41" t="n">
        <v>0</v>
      </c>
      <c r="L33" s="42" t="inlineStr"/>
      <c r="M33" s="40" t="inlineStr"/>
      <c r="N33" s="41">
        <f>O33-P33</f>
        <v/>
      </c>
      <c r="O33" s="41" t="inlineStr"/>
      <c r="P33" s="41" t="inlineStr"/>
      <c r="Q33" s="42" t="inlineStr"/>
    </row>
    <row r="34" ht="20" customHeight="1">
      <c r="A34" s="39" t="inlineStr">
        <is>
          <t>OLED</t>
        </is>
      </c>
      <c r="B34" s="39" t="inlineStr">
        <is>
          <t>77S85H</t>
        </is>
      </c>
      <c r="C34" s="40" t="inlineStr"/>
      <c r="D34" s="41">
        <f>E34-F34</f>
        <v/>
      </c>
      <c r="E34" s="41" t="inlineStr"/>
      <c r="F34" s="41" t="inlineStr"/>
      <c r="G34" s="42" t="inlineStr"/>
      <c r="H34" s="40" t="inlineStr">
        <is>
          <t>QE77S85H</t>
        </is>
      </c>
      <c r="I34" s="41">
        <f>J34-K34</f>
        <v/>
      </c>
      <c r="J34" s="41" t="n">
        <v>3299.95</v>
      </c>
      <c r="K34" s="41" t="n">
        <v>0</v>
      </c>
      <c r="L34" s="42" t="inlineStr"/>
      <c r="M34" s="40" t="inlineStr"/>
      <c r="N34" s="41">
        <f>O34-P34</f>
        <v/>
      </c>
      <c r="O34" s="41" t="inlineStr"/>
      <c r="P34" s="41" t="inlineStr"/>
      <c r="Q34" s="42" t="inlineStr"/>
    </row>
    <row r="35" ht="20" customHeight="1">
      <c r="A35" s="39" t="inlineStr">
        <is>
          <t>OLED</t>
        </is>
      </c>
      <c r="B35" s="39" t="inlineStr">
        <is>
          <t>65S85H</t>
        </is>
      </c>
      <c r="C35" s="40" t="inlineStr"/>
      <c r="D35" s="41">
        <f>E35-F35</f>
        <v/>
      </c>
      <c r="E35" s="41" t="inlineStr"/>
      <c r="F35" s="41" t="inlineStr"/>
      <c r="G35" s="42" t="inlineStr"/>
      <c r="H35" s="40" t="inlineStr">
        <is>
          <t>QE65S85H</t>
        </is>
      </c>
      <c r="I35" s="41">
        <f>J35-K35</f>
        <v/>
      </c>
      <c r="J35" s="41" t="n">
        <v>2499.95</v>
      </c>
      <c r="K35" s="41" t="n">
        <v>0</v>
      </c>
      <c r="L35" s="42" t="inlineStr"/>
      <c r="M35" s="40" t="inlineStr"/>
      <c r="N35" s="41">
        <f>O35-P35</f>
        <v/>
      </c>
      <c r="O35" s="41" t="inlineStr"/>
      <c r="P35" s="41" t="inlineStr"/>
      <c r="Q35" s="42" t="inlineStr"/>
    </row>
    <row r="36" ht="20" customHeight="1">
      <c r="A36" s="39" t="inlineStr">
        <is>
          <t>OLED</t>
        </is>
      </c>
      <c r="B36" s="39" t="inlineStr">
        <is>
          <t>55S85H</t>
        </is>
      </c>
      <c r="C36" s="40" t="inlineStr"/>
      <c r="D36" s="41">
        <f>E36-F36</f>
        <v/>
      </c>
      <c r="E36" s="41" t="inlineStr"/>
      <c r="F36" s="41" t="inlineStr"/>
      <c r="G36" s="42" t="inlineStr"/>
      <c r="H36" s="40" t="inlineStr">
        <is>
          <t>QE55S85H</t>
        </is>
      </c>
      <c r="I36" s="41">
        <f>J36-K36</f>
        <v/>
      </c>
      <c r="J36" s="41" t="n">
        <v>1699.95</v>
      </c>
      <c r="K36" s="41" t="n">
        <v>0</v>
      </c>
      <c r="L36" s="42" t="inlineStr"/>
      <c r="M36" s="40" t="inlineStr"/>
      <c r="N36" s="41">
        <f>O36-P36</f>
        <v/>
      </c>
      <c r="O36" s="41" t="inlineStr"/>
      <c r="P36" s="41" t="inlineStr"/>
      <c r="Q36" s="42" t="inlineStr"/>
    </row>
    <row r="37" ht="20" customHeight="1">
      <c r="A37" s="39" t="inlineStr">
        <is>
          <t>OLED</t>
        </is>
      </c>
      <c r="B37" s="39" t="inlineStr">
        <is>
          <t>48S85H</t>
        </is>
      </c>
      <c r="C37" s="40" t="inlineStr"/>
      <c r="D37" s="41">
        <f>E37-F37</f>
        <v/>
      </c>
      <c r="E37" s="41" t="inlineStr"/>
      <c r="F37" s="41" t="inlineStr"/>
      <c r="G37" s="42" t="inlineStr"/>
      <c r="H37" s="40" t="inlineStr">
        <is>
          <t>QE48S85H</t>
        </is>
      </c>
      <c r="I37" s="41">
        <f>J37-K37</f>
        <v/>
      </c>
      <c r="J37" s="41" t="n">
        <v>1399.95</v>
      </c>
      <c r="K37" s="41" t="n">
        <v>0</v>
      </c>
      <c r="L37" s="42" t="inlineStr"/>
      <c r="M37" s="40" t="inlineStr"/>
      <c r="N37" s="41">
        <f>O37-P37</f>
        <v/>
      </c>
      <c r="O37" s="41" t="inlineStr"/>
      <c r="P37" s="41" t="inlineStr"/>
      <c r="Q37" s="42" t="inlineStr"/>
    </row>
    <row r="38" ht="20" customHeight="1">
      <c r="A38" s="34" t="inlineStr">
        <is>
          <t>QNED</t>
        </is>
      </c>
      <c r="B38" s="34" t="inlineStr">
        <is>
          <t>86QNED90</t>
        </is>
      </c>
      <c r="C38" s="35" t="inlineStr"/>
      <c r="D38" s="44" t="n"/>
      <c r="E38" s="45" t="inlineStr"/>
      <c r="F38" s="45" t="inlineStr"/>
      <c r="G38" s="37">
        <f>IFERROR(E38/E4,"")</f>
        <v/>
      </c>
      <c r="H38" s="35" t="inlineStr"/>
      <c r="I38" s="44" t="n"/>
      <c r="J38" s="45" t="inlineStr"/>
      <c r="K38" s="45" t="inlineStr"/>
      <c r="L38" s="37">
        <f>IFERROR(J38/J4,"")</f>
        <v/>
      </c>
      <c r="M38" s="35" t="inlineStr"/>
      <c r="N38" s="44" t="n"/>
      <c r="O38" s="45" t="inlineStr"/>
      <c r="P38" s="45" t="inlineStr"/>
      <c r="Q38" s="37">
        <f>IFERROR(O38/O4,"")</f>
        <v/>
      </c>
    </row>
    <row r="39" ht="20" customHeight="1">
      <c r="A39" s="34" t="inlineStr">
        <is>
          <t>QNED</t>
        </is>
      </c>
      <c r="B39" s="34" t="inlineStr">
        <is>
          <t>75QNED90</t>
        </is>
      </c>
      <c r="C39" s="35" t="inlineStr"/>
      <c r="D39" s="36">
        <f>E39-F39</f>
        <v/>
      </c>
      <c r="E39" s="36" t="inlineStr"/>
      <c r="F39" s="36" t="inlineStr"/>
      <c r="G39" s="37">
        <f>IFERROR(E39/E5,"")</f>
        <v/>
      </c>
      <c r="H39" s="35" t="inlineStr"/>
      <c r="I39" s="36">
        <f>J39-K39</f>
        <v/>
      </c>
      <c r="J39" s="36" t="inlineStr"/>
      <c r="K39" s="36" t="inlineStr"/>
      <c r="L39" s="37">
        <f>IFERROR(J39/J5,"")</f>
        <v/>
      </c>
      <c r="M39" s="35" t="inlineStr"/>
      <c r="N39" s="36">
        <f>O39-P39</f>
        <v/>
      </c>
      <c r="O39" s="36" t="inlineStr"/>
      <c r="P39" s="36" t="inlineStr"/>
      <c r="Q39" s="37">
        <f>IFERROR(O39/O5,"")</f>
        <v/>
      </c>
    </row>
    <row r="40" ht="20" customHeight="1">
      <c r="A40" s="34" t="inlineStr">
        <is>
          <t>QNED</t>
        </is>
      </c>
      <c r="B40" s="34" t="inlineStr">
        <is>
          <t>65QNED90</t>
        </is>
      </c>
      <c r="C40" s="35" t="inlineStr"/>
      <c r="D40" s="36">
        <f>E40-F40</f>
        <v/>
      </c>
      <c r="E40" s="36" t="inlineStr"/>
      <c r="F40" s="36" t="inlineStr"/>
      <c r="G40" s="37">
        <f>IFERROR(E40/E6,"")</f>
        <v/>
      </c>
      <c r="H40" s="35" t="inlineStr"/>
      <c r="I40" s="36">
        <f>J40-K40</f>
        <v/>
      </c>
      <c r="J40" s="36" t="inlineStr"/>
      <c r="K40" s="36" t="inlineStr"/>
      <c r="L40" s="37">
        <f>IFERROR(J40/J6,"")</f>
        <v/>
      </c>
      <c r="M40" s="35" t="inlineStr"/>
      <c r="N40" s="36">
        <f>O40-P40</f>
        <v/>
      </c>
      <c r="O40" s="36" t="inlineStr"/>
      <c r="P40" s="36" t="inlineStr"/>
      <c r="Q40" s="37">
        <f>IFERROR(O40/O6,"")</f>
        <v/>
      </c>
    </row>
    <row r="41" ht="20" customHeight="1">
      <c r="A41" s="34" t="inlineStr">
        <is>
          <t>QNED</t>
        </is>
      </c>
      <c r="B41" s="34" t="inlineStr">
        <is>
          <t>55QNED90</t>
        </is>
      </c>
      <c r="C41" s="35" t="inlineStr"/>
      <c r="D41" s="36">
        <f>E41-F41</f>
        <v/>
      </c>
      <c r="E41" s="36" t="inlineStr"/>
      <c r="F41" s="36" t="inlineStr"/>
      <c r="G41" s="37">
        <f>IFERROR(E41/E7,"")</f>
        <v/>
      </c>
      <c r="H41" s="35" t="inlineStr"/>
      <c r="I41" s="36">
        <f>J41-K41</f>
        <v/>
      </c>
      <c r="J41" s="36" t="inlineStr"/>
      <c r="K41" s="36" t="inlineStr"/>
      <c r="L41" s="37">
        <f>IFERROR(J41/J7,"")</f>
        <v/>
      </c>
      <c r="M41" s="35" t="inlineStr"/>
      <c r="N41" s="36">
        <f>O41-P41</f>
        <v/>
      </c>
      <c r="O41" s="36" t="inlineStr"/>
      <c r="P41" s="36" t="inlineStr"/>
      <c r="Q41" s="37">
        <f>IFERROR(O41/O7,"")</f>
        <v/>
      </c>
    </row>
    <row r="42" ht="20" customHeight="1">
      <c r="A42" s="34" t="inlineStr">
        <is>
          <t>QNED</t>
        </is>
      </c>
      <c r="B42" s="34" t="inlineStr">
        <is>
          <t>86QNED85</t>
        </is>
      </c>
      <c r="C42" s="35" t="inlineStr"/>
      <c r="D42" s="36">
        <f>E42-F42</f>
        <v/>
      </c>
      <c r="E42" s="36" t="inlineStr"/>
      <c r="F42" s="36" t="inlineStr"/>
      <c r="G42" s="37">
        <f>IFERROR(E42/E4,"")</f>
        <v/>
      </c>
      <c r="H42" s="35" t="inlineStr">
        <is>
          <t>86QNED86B</t>
        </is>
      </c>
      <c r="I42" s="36">
        <f>J42-K42</f>
        <v/>
      </c>
      <c r="J42" s="36" t="n">
        <v>2299.95</v>
      </c>
      <c r="K42" s="36" t="n">
        <v>0</v>
      </c>
      <c r="L42" s="37">
        <f>IFERROR(J42/J4,"")</f>
        <v/>
      </c>
      <c r="M42" s="35" t="inlineStr"/>
      <c r="N42" s="36">
        <f>O42-P42</f>
        <v/>
      </c>
      <c r="O42" s="36" t="inlineStr"/>
      <c r="P42" s="36" t="inlineStr"/>
      <c r="Q42" s="37">
        <f>IFERROR(O42/O4,"")</f>
        <v/>
      </c>
    </row>
    <row r="43" ht="20" customHeight="1">
      <c r="A43" s="34" t="inlineStr">
        <is>
          <t>QNED</t>
        </is>
      </c>
      <c r="B43" s="34" t="inlineStr">
        <is>
          <t>75QNED85</t>
        </is>
      </c>
      <c r="C43" s="35" t="inlineStr"/>
      <c r="D43" s="44" t="n"/>
      <c r="E43" s="45" t="inlineStr"/>
      <c r="F43" s="45" t="inlineStr"/>
      <c r="G43" s="37">
        <f>IFERROR(E43/E5,"")</f>
        <v/>
      </c>
      <c r="H43" s="35" t="inlineStr">
        <is>
          <t>65QNED86B</t>
        </is>
      </c>
      <c r="I43" s="44" t="n"/>
      <c r="J43" s="36" t="n">
        <v>1899.95</v>
      </c>
      <c r="K43" s="36" t="n">
        <v>0</v>
      </c>
      <c r="L43" s="37">
        <f>IFERROR(J43/J5,"")</f>
        <v/>
      </c>
      <c r="M43" s="35" t="inlineStr"/>
      <c r="N43" s="44" t="n"/>
      <c r="O43" s="45" t="inlineStr"/>
      <c r="P43" s="45" t="inlineStr"/>
      <c r="Q43" s="37">
        <f>IFERROR(O43/O5,"")</f>
        <v/>
      </c>
    </row>
    <row r="44" ht="20" customHeight="1">
      <c r="A44" s="34" t="inlineStr">
        <is>
          <t>QNED</t>
        </is>
      </c>
      <c r="B44" s="34" t="inlineStr">
        <is>
          <t>65QNED85</t>
        </is>
      </c>
      <c r="C44" s="35" t="inlineStr"/>
      <c r="D44" s="36">
        <f>E44-F44</f>
        <v/>
      </c>
      <c r="E44" s="36" t="inlineStr"/>
      <c r="F44" s="36" t="inlineStr"/>
      <c r="G44" s="37">
        <f>IFERROR(E44/E6,"")</f>
        <v/>
      </c>
      <c r="H44" s="35" t="inlineStr"/>
      <c r="I44" s="36">
        <f>J44-K44</f>
        <v/>
      </c>
      <c r="J44" s="36" t="inlineStr"/>
      <c r="K44" s="36" t="inlineStr"/>
      <c r="L44" s="37">
        <f>IFERROR(J44/J6,"")</f>
        <v/>
      </c>
      <c r="M44" s="35" t="inlineStr"/>
      <c r="N44" s="36">
        <f>O44-P44</f>
        <v/>
      </c>
      <c r="O44" s="36" t="inlineStr"/>
      <c r="P44" s="36" t="inlineStr"/>
      <c r="Q44" s="37">
        <f>IFERROR(O44/O6,"")</f>
        <v/>
      </c>
    </row>
    <row r="45" ht="20" customHeight="1">
      <c r="A45" s="34" t="inlineStr">
        <is>
          <t>QNED</t>
        </is>
      </c>
      <c r="B45" s="34" t="inlineStr">
        <is>
          <t>55QNED85</t>
        </is>
      </c>
      <c r="C45" s="35" t="inlineStr"/>
      <c r="D45" s="36">
        <f>E45-F45</f>
        <v/>
      </c>
      <c r="E45" s="36" t="inlineStr"/>
      <c r="F45" s="36" t="inlineStr"/>
      <c r="G45" s="37">
        <f>IFERROR(E45/E7,"")</f>
        <v/>
      </c>
      <c r="H45" s="35" t="inlineStr">
        <is>
          <t>55QNED86B</t>
        </is>
      </c>
      <c r="I45" s="36">
        <f>J45-K45</f>
        <v/>
      </c>
      <c r="J45" s="36" t="n">
        <v>1099.95</v>
      </c>
      <c r="K45" s="36" t="n">
        <v>0</v>
      </c>
      <c r="L45" s="37">
        <f>IFERROR(J45/J7,"")</f>
        <v/>
      </c>
      <c r="M45" s="35" t="inlineStr"/>
      <c r="N45" s="36">
        <f>O45-P45</f>
        <v/>
      </c>
      <c r="O45" s="36" t="inlineStr"/>
      <c r="P45" s="36" t="inlineStr"/>
      <c r="Q45" s="37">
        <f>IFERROR(O45/O7,"")</f>
        <v/>
      </c>
    </row>
    <row r="46" ht="20" customHeight="1">
      <c r="A46" s="34" t="inlineStr">
        <is>
          <t>QNED</t>
        </is>
      </c>
      <c r="B46" s="34" t="inlineStr">
        <is>
          <t>50QNED85</t>
        </is>
      </c>
      <c r="C46" s="35" t="inlineStr"/>
      <c r="D46" s="36">
        <f>E46-F46</f>
        <v/>
      </c>
      <c r="E46" s="36" t="inlineStr"/>
      <c r="F46" s="36" t="inlineStr"/>
      <c r="G46" s="37">
        <f>IFERROR(E46/E7,"")</f>
        <v/>
      </c>
      <c r="H46" s="35" t="inlineStr">
        <is>
          <t>50QNED86B</t>
        </is>
      </c>
      <c r="I46" s="36">
        <f>J46-K46</f>
        <v/>
      </c>
      <c r="J46" s="36" t="n">
        <v>999.95</v>
      </c>
      <c r="K46" s="36" t="n">
        <v>0</v>
      </c>
      <c r="L46" s="37">
        <f>IFERROR(J46/J7,"")</f>
        <v/>
      </c>
      <c r="M46" s="35" t="inlineStr"/>
      <c r="N46" s="36">
        <f>O46-P46</f>
        <v/>
      </c>
      <c r="O46" s="36" t="inlineStr"/>
      <c r="P46" s="36" t="inlineStr"/>
      <c r="Q46" s="37">
        <f>IFERROR(O46/O7,"")</f>
        <v/>
      </c>
    </row>
    <row r="47" ht="20" customHeight="1">
      <c r="A47" s="34" t="inlineStr">
        <is>
          <t>QNED</t>
        </is>
      </c>
      <c r="B47" s="34" t="inlineStr">
        <is>
          <t>43QNED85</t>
        </is>
      </c>
      <c r="C47" s="35" t="inlineStr">
        <is>
          <t>QNED86B6B</t>
        </is>
      </c>
      <c r="D47" s="36">
        <f>E47-F47</f>
        <v/>
      </c>
      <c r="E47" s="36" t="n">
        <v>499</v>
      </c>
      <c r="F47" s="36" t="n">
        <v>0</v>
      </c>
      <c r="G47" s="37">
        <f>IFERROR(E47/E7,"")</f>
        <v/>
      </c>
      <c r="H47" s="35" t="inlineStr">
        <is>
          <t>43QNED86B</t>
        </is>
      </c>
      <c r="I47" s="36">
        <f>J47-K47</f>
        <v/>
      </c>
      <c r="J47" s="36" t="n">
        <v>699.95</v>
      </c>
      <c r="K47" s="36" t="n">
        <v>0</v>
      </c>
      <c r="L47" s="37">
        <f>IFERROR(J47/J7,"")</f>
        <v/>
      </c>
      <c r="M47" s="35" t="inlineStr"/>
      <c r="N47" s="36">
        <f>O47-P47</f>
        <v/>
      </c>
      <c r="O47" s="36" t="inlineStr"/>
      <c r="P47" s="36" t="inlineStr"/>
      <c r="Q47" s="37">
        <f>IFERROR(O47/O7,"")</f>
        <v/>
      </c>
    </row>
    <row r="48" ht="20" customHeight="1">
      <c r="A48" s="34" t="inlineStr">
        <is>
          <t>QNED</t>
        </is>
      </c>
      <c r="B48" s="34" t="inlineStr">
        <is>
          <t>86QNED80</t>
        </is>
      </c>
      <c r="C48" s="35" t="inlineStr"/>
      <c r="D48" s="36">
        <f>E48-F48</f>
        <v/>
      </c>
      <c r="E48" s="36" t="inlineStr"/>
      <c r="F48" s="36" t="inlineStr"/>
      <c r="G48" s="37">
        <f>IFERROR(E48/E4,"")</f>
        <v/>
      </c>
      <c r="H48" s="35" t="inlineStr"/>
      <c r="I48" s="36">
        <f>J48-K48</f>
        <v/>
      </c>
      <c r="J48" s="36" t="inlineStr"/>
      <c r="K48" s="36" t="inlineStr"/>
      <c r="L48" s="37">
        <f>IFERROR(J48/J4,"")</f>
        <v/>
      </c>
      <c r="M48" s="35" t="inlineStr"/>
      <c r="N48" s="36">
        <f>O48-P48</f>
        <v/>
      </c>
      <c r="O48" s="36" t="inlineStr"/>
      <c r="P48" s="36" t="inlineStr"/>
      <c r="Q48" s="37">
        <f>IFERROR(O48/O4,"")</f>
        <v/>
      </c>
    </row>
    <row r="49" ht="20" customHeight="1">
      <c r="A49" s="34" t="inlineStr">
        <is>
          <t>QNED</t>
        </is>
      </c>
      <c r="B49" s="34" t="inlineStr">
        <is>
          <t>75QNED80</t>
        </is>
      </c>
      <c r="C49" s="35" t="inlineStr"/>
      <c r="D49" s="36">
        <f>E49-F49</f>
        <v/>
      </c>
      <c r="E49" s="36" t="inlineStr"/>
      <c r="F49" s="36" t="inlineStr"/>
      <c r="G49" s="37">
        <f>IFERROR(E49/E5,"")</f>
        <v/>
      </c>
      <c r="H49" s="35" t="inlineStr"/>
      <c r="I49" s="36">
        <f>J49-K49</f>
        <v/>
      </c>
      <c r="J49" s="36" t="inlineStr"/>
      <c r="K49" s="36" t="inlineStr"/>
      <c r="L49" s="37">
        <f>IFERROR(J49/J5,"")</f>
        <v/>
      </c>
      <c r="M49" s="35" t="inlineStr"/>
      <c r="N49" s="36">
        <f>O49-P49</f>
        <v/>
      </c>
      <c r="O49" s="36" t="inlineStr"/>
      <c r="P49" s="36" t="inlineStr"/>
      <c r="Q49" s="37">
        <f>IFERROR(O49/O5,"")</f>
        <v/>
      </c>
    </row>
    <row r="50" ht="20" customHeight="1">
      <c r="A50" s="34" t="inlineStr">
        <is>
          <t>QNED</t>
        </is>
      </c>
      <c r="B50" s="34" t="inlineStr">
        <is>
          <t>65QNED80</t>
        </is>
      </c>
      <c r="C50" s="35" t="inlineStr"/>
      <c r="D50" s="44" t="n"/>
      <c r="E50" s="45" t="inlineStr"/>
      <c r="F50" s="45" t="inlineStr"/>
      <c r="G50" s="37">
        <f>IFERROR(E50/E6,"")</f>
        <v/>
      </c>
      <c r="H50" s="35" t="inlineStr"/>
      <c r="I50" s="44" t="n"/>
      <c r="J50" s="45" t="inlineStr"/>
      <c r="K50" s="45" t="inlineStr"/>
      <c r="L50" s="37">
        <f>IFERROR(J50/J6,"")</f>
        <v/>
      </c>
      <c r="M50" s="35" t="inlineStr"/>
      <c r="N50" s="44" t="n"/>
      <c r="O50" s="45" t="inlineStr"/>
      <c r="P50" s="45" t="inlineStr"/>
      <c r="Q50" s="37">
        <f>IFERROR(O50/O6,"")</f>
        <v/>
      </c>
    </row>
    <row r="51" ht="20" customHeight="1">
      <c r="A51" s="34" t="inlineStr">
        <is>
          <t>QNED</t>
        </is>
      </c>
      <c r="B51" s="34" t="inlineStr">
        <is>
          <t>55QNED80</t>
        </is>
      </c>
      <c r="C51" s="35" t="inlineStr"/>
      <c r="D51" s="36">
        <f>E51-F51</f>
        <v/>
      </c>
      <c r="E51" s="36" t="inlineStr"/>
      <c r="F51" s="36" t="inlineStr"/>
      <c r="G51" s="37">
        <f>IFERROR(E51/E7,"")</f>
        <v/>
      </c>
      <c r="H51" s="35" t="inlineStr"/>
      <c r="I51" s="36">
        <f>J51-K51</f>
        <v/>
      </c>
      <c r="J51" s="36" t="inlineStr"/>
      <c r="K51" s="36" t="inlineStr"/>
      <c r="L51" s="37">
        <f>IFERROR(J51/J7,"")</f>
        <v/>
      </c>
      <c r="M51" s="35" t="inlineStr"/>
      <c r="N51" s="36">
        <f>O51-P51</f>
        <v/>
      </c>
      <c r="O51" s="36" t="inlineStr"/>
      <c r="P51" s="36" t="inlineStr"/>
      <c r="Q51" s="37">
        <f>IFERROR(O51/O7,"")</f>
        <v/>
      </c>
    </row>
    <row r="52" ht="20" customHeight="1">
      <c r="A52" s="34" t="inlineStr">
        <is>
          <t>QNED</t>
        </is>
      </c>
      <c r="B52" s="34" t="inlineStr">
        <is>
          <t>50QNED80</t>
        </is>
      </c>
      <c r="C52" s="35" t="inlineStr"/>
      <c r="D52" s="36">
        <f>E52-F52</f>
        <v/>
      </c>
      <c r="E52" s="36" t="inlineStr"/>
      <c r="F52" s="36" t="inlineStr"/>
      <c r="G52" s="37">
        <f>IFERROR(E52/E7,"")</f>
        <v/>
      </c>
      <c r="H52" s="35" t="inlineStr"/>
      <c r="I52" s="36">
        <f>J52-K52</f>
        <v/>
      </c>
      <c r="J52" s="36" t="inlineStr"/>
      <c r="K52" s="36" t="inlineStr"/>
      <c r="L52" s="37">
        <f>IFERROR(J52/J7,"")</f>
        <v/>
      </c>
      <c r="M52" s="35" t="inlineStr"/>
      <c r="N52" s="36">
        <f>O52-P52</f>
        <v/>
      </c>
      <c r="O52" s="36" t="inlineStr"/>
      <c r="P52" s="36" t="inlineStr"/>
      <c r="Q52" s="37">
        <f>IFERROR(O52/O7,"")</f>
        <v/>
      </c>
    </row>
    <row r="53" ht="20" customHeight="1">
      <c r="A53" s="34" t="inlineStr">
        <is>
          <t>QNED</t>
        </is>
      </c>
      <c r="B53" s="34" t="inlineStr">
        <is>
          <t>43QNED80</t>
        </is>
      </c>
      <c r="C53" s="35" t="inlineStr"/>
      <c r="D53" s="36">
        <f>E53-F53</f>
        <v/>
      </c>
      <c r="E53" s="36" t="inlineStr"/>
      <c r="F53" s="36" t="inlineStr"/>
      <c r="G53" s="37">
        <f>IFERROR(E53/E7,"")</f>
        <v/>
      </c>
      <c r="H53" s="35" t="inlineStr"/>
      <c r="I53" s="36">
        <f>J53-K53</f>
        <v/>
      </c>
      <c r="J53" s="36" t="inlineStr"/>
      <c r="K53" s="36" t="inlineStr"/>
      <c r="L53" s="37">
        <f>IFERROR(J53/J7,"")</f>
        <v/>
      </c>
      <c r="M53" s="35" t="inlineStr"/>
      <c r="N53" s="36">
        <f>O53-P53</f>
        <v/>
      </c>
      <c r="O53" s="36" t="inlineStr"/>
      <c r="P53" s="36" t="inlineStr"/>
      <c r="Q53" s="37">
        <f>IFERROR(O53/O7,"")</f>
        <v/>
      </c>
    </row>
    <row r="54" ht="20" customHeight="1">
      <c r="A54" s="34" t="inlineStr">
        <is>
          <t>QNED</t>
        </is>
      </c>
      <c r="B54" s="34" t="inlineStr">
        <is>
          <t>86QNED70</t>
        </is>
      </c>
      <c r="C54" s="35" t="inlineStr"/>
      <c r="D54" s="36">
        <f>E54-F54</f>
        <v/>
      </c>
      <c r="E54" s="36" t="inlineStr"/>
      <c r="F54" s="36" t="inlineStr"/>
      <c r="G54" s="37">
        <f>IFERROR(E54/E4,"")</f>
        <v/>
      </c>
      <c r="H54" s="35" t="inlineStr"/>
      <c r="I54" s="36">
        <f>J54-K54</f>
        <v/>
      </c>
      <c r="J54" s="36" t="inlineStr"/>
      <c r="K54" s="36" t="inlineStr"/>
      <c r="L54" s="37">
        <f>IFERROR(J54/J4,"")</f>
        <v/>
      </c>
      <c r="M54" s="35" t="inlineStr"/>
      <c r="N54" s="36">
        <f>O54-P54</f>
        <v/>
      </c>
      <c r="O54" s="36" t="inlineStr"/>
      <c r="P54" s="36" t="inlineStr"/>
      <c r="Q54" s="37">
        <f>IFERROR(O54/O4,"")</f>
        <v/>
      </c>
    </row>
    <row r="55" ht="20" customHeight="1">
      <c r="A55" s="34" t="inlineStr">
        <is>
          <t>QNED</t>
        </is>
      </c>
      <c r="B55" s="34" t="inlineStr">
        <is>
          <t>75QNED70</t>
        </is>
      </c>
      <c r="C55" s="35" t="inlineStr"/>
      <c r="D55" s="36">
        <f>E55-F55</f>
        <v/>
      </c>
      <c r="E55" s="36" t="inlineStr"/>
      <c r="F55" s="36" t="inlineStr"/>
      <c r="G55" s="37">
        <f>IFERROR(E55/E5,"")</f>
        <v/>
      </c>
      <c r="H55" s="35" t="inlineStr">
        <is>
          <t>75QNED7EB</t>
        </is>
      </c>
      <c r="I55" s="36">
        <f>J55-K55</f>
        <v/>
      </c>
      <c r="J55" s="36" t="n">
        <v>699.95</v>
      </c>
      <c r="K55" s="36" t="n">
        <v>0</v>
      </c>
      <c r="L55" s="37">
        <f>IFERROR(J55/J5,"")</f>
        <v/>
      </c>
      <c r="M55" s="35" t="inlineStr"/>
      <c r="N55" s="36">
        <f>O55-P55</f>
        <v/>
      </c>
      <c r="O55" s="36" t="inlineStr"/>
      <c r="P55" s="36" t="inlineStr"/>
      <c r="Q55" s="37">
        <f>IFERROR(O55/O5,"")</f>
        <v/>
      </c>
    </row>
    <row r="56" ht="20" customHeight="1">
      <c r="A56" s="34" t="inlineStr">
        <is>
          <t>QNED</t>
        </is>
      </c>
      <c r="B56" s="34" t="inlineStr">
        <is>
          <t>65QNED70</t>
        </is>
      </c>
      <c r="C56" s="35" t="inlineStr"/>
      <c r="D56" s="36">
        <f>E56-F56</f>
        <v/>
      </c>
      <c r="E56" s="36" t="inlineStr"/>
      <c r="F56" s="36" t="inlineStr"/>
      <c r="G56" s="37">
        <f>IFERROR(E56/E6,"")</f>
        <v/>
      </c>
      <c r="H56" s="35" t="inlineStr">
        <is>
          <t>65QNED7EB</t>
        </is>
      </c>
      <c r="I56" s="36">
        <f>J56-K56</f>
        <v/>
      </c>
      <c r="J56" s="36" t="n">
        <v>499.95</v>
      </c>
      <c r="K56" s="36" t="n">
        <v>0</v>
      </c>
      <c r="L56" s="37">
        <f>IFERROR(J56/J6,"")</f>
        <v/>
      </c>
      <c r="M56" s="35" t="inlineStr"/>
      <c r="N56" s="36">
        <f>O56-P56</f>
        <v/>
      </c>
      <c r="O56" s="36" t="inlineStr"/>
      <c r="P56" s="36" t="inlineStr"/>
      <c r="Q56" s="37">
        <f>IFERROR(O56/O6,"")</f>
        <v/>
      </c>
    </row>
    <row r="57" ht="20" customHeight="1">
      <c r="A57" s="34" t="inlineStr">
        <is>
          <t>QNED</t>
        </is>
      </c>
      <c r="B57" s="34" t="inlineStr">
        <is>
          <t>55QNED70</t>
        </is>
      </c>
      <c r="C57" s="35" t="inlineStr"/>
      <c r="D57" s="44" t="n"/>
      <c r="E57" s="45" t="inlineStr"/>
      <c r="F57" s="45" t="inlineStr"/>
      <c r="G57" s="37">
        <f>IFERROR(E57/E7,"")</f>
        <v/>
      </c>
      <c r="H57" s="35" t="inlineStr">
        <is>
          <t>55QNED7EB</t>
        </is>
      </c>
      <c r="I57" s="44" t="n"/>
      <c r="J57" s="36" t="n">
        <v>399.95</v>
      </c>
      <c r="K57" s="36" t="n">
        <v>0</v>
      </c>
      <c r="L57" s="37">
        <f>IFERROR(J57/J7,"")</f>
        <v/>
      </c>
      <c r="M57" s="35" t="inlineStr"/>
      <c r="N57" s="44" t="n"/>
      <c r="O57" s="45" t="inlineStr"/>
      <c r="P57" s="45" t="inlineStr"/>
      <c r="Q57" s="37">
        <f>IFERROR(O57/O7,"")</f>
        <v/>
      </c>
    </row>
    <row r="58" ht="20" customHeight="1">
      <c r="A58" s="34" t="inlineStr">
        <is>
          <t>QNED</t>
        </is>
      </c>
      <c r="B58" s="34" t="inlineStr">
        <is>
          <t>50QNED70</t>
        </is>
      </c>
      <c r="C58" s="35" t="inlineStr"/>
      <c r="D58" s="36">
        <f>E58-F58</f>
        <v/>
      </c>
      <c r="E58" s="36" t="inlineStr"/>
      <c r="F58" s="36" t="inlineStr"/>
      <c r="G58" s="37">
        <f>IFERROR(E58/E7,"")</f>
        <v/>
      </c>
      <c r="H58" s="35" t="inlineStr">
        <is>
          <t>50QNED7EB</t>
        </is>
      </c>
      <c r="I58" s="36">
        <f>J58-K58</f>
        <v/>
      </c>
      <c r="J58" s="36" t="n">
        <v>369.95</v>
      </c>
      <c r="K58" s="36" t="n">
        <v>0</v>
      </c>
      <c r="L58" s="37">
        <f>IFERROR(J58/J7,"")</f>
        <v/>
      </c>
      <c r="M58" s="35" t="inlineStr"/>
      <c r="N58" s="36">
        <f>O58-P58</f>
        <v/>
      </c>
      <c r="O58" s="36" t="inlineStr"/>
      <c r="P58" s="36" t="inlineStr"/>
      <c r="Q58" s="37">
        <f>IFERROR(O58/O7,"")</f>
        <v/>
      </c>
    </row>
    <row r="59" ht="20" customHeight="1">
      <c r="A59" s="34" t="inlineStr">
        <is>
          <t>QNED</t>
        </is>
      </c>
      <c r="B59" s="34" t="inlineStr">
        <is>
          <t>43QNED70</t>
        </is>
      </c>
      <c r="C59" s="35" t="inlineStr"/>
      <c r="D59" s="36">
        <f>E59-F59</f>
        <v/>
      </c>
      <c r="E59" s="36" t="inlineStr"/>
      <c r="F59" s="36" t="inlineStr"/>
      <c r="G59" s="37">
        <f>IFERROR(E59/E7,"")</f>
        <v/>
      </c>
      <c r="H59" s="35" t="inlineStr">
        <is>
          <t>43QNED7EB</t>
        </is>
      </c>
      <c r="I59" s="36">
        <f>J59-K59</f>
        <v/>
      </c>
      <c r="J59" s="36" t="n">
        <v>329.95</v>
      </c>
      <c r="K59" s="36" t="n">
        <v>0</v>
      </c>
      <c r="L59" s="37">
        <f>IFERROR(J59/J7,"")</f>
        <v/>
      </c>
      <c r="M59" s="35" t="inlineStr"/>
      <c r="N59" s="36">
        <f>O59-P59</f>
        <v/>
      </c>
      <c r="O59" s="36" t="inlineStr"/>
      <c r="P59" s="36" t="inlineStr"/>
      <c r="Q59" s="37">
        <f>IFERROR(O59/O7,"")</f>
        <v/>
      </c>
    </row>
    <row r="60" ht="20" customHeight="1">
      <c r="A60" s="39" t="inlineStr">
        <is>
          <t>QLED</t>
        </is>
      </c>
      <c r="B60" s="39" t="inlineStr">
        <is>
          <t>85R95H</t>
        </is>
      </c>
      <c r="C60" s="40" t="inlineStr">
        <is>
          <t>MRE85R85H</t>
        </is>
      </c>
      <c r="D60" s="41">
        <f>E60-F60</f>
        <v/>
      </c>
      <c r="E60" s="41" t="n">
        <v>4499</v>
      </c>
      <c r="F60" s="41" t="n">
        <v>0</v>
      </c>
      <c r="G60" s="42" t="inlineStr"/>
      <c r="H60" s="40" t="inlineStr">
        <is>
          <t>MRE85R95HATXZU</t>
        </is>
      </c>
      <c r="I60" s="41">
        <f>J60-K60</f>
        <v/>
      </c>
      <c r="J60" s="41" t="n">
        <v>5252</v>
      </c>
      <c r="K60" s="41" t="n">
        <v>0</v>
      </c>
      <c r="L60" s="42" t="inlineStr"/>
      <c r="M60" s="40" t="inlineStr"/>
      <c r="N60" s="41">
        <f>O60-P60</f>
        <v/>
      </c>
      <c r="O60" s="41" t="inlineStr"/>
      <c r="P60" s="41" t="inlineStr"/>
      <c r="Q60" s="42" t="inlineStr"/>
    </row>
    <row r="61" ht="20" customHeight="1">
      <c r="A61" s="39" t="inlineStr">
        <is>
          <t>QLED</t>
        </is>
      </c>
      <c r="B61" s="39" t="inlineStr">
        <is>
          <t>75R95H</t>
        </is>
      </c>
      <c r="C61" s="40" t="inlineStr">
        <is>
          <t>MRE75R85H</t>
        </is>
      </c>
      <c r="D61" s="41">
        <f>E61-F61</f>
        <v/>
      </c>
      <c r="E61" s="41" t="n">
        <v>2999</v>
      </c>
      <c r="F61" s="41" t="n">
        <v>0</v>
      </c>
      <c r="G61" s="42" t="inlineStr"/>
      <c r="H61" s="40" t="inlineStr">
        <is>
          <t>MRE75R85H</t>
        </is>
      </c>
      <c r="I61" s="41">
        <f>J61-K61</f>
        <v/>
      </c>
      <c r="J61" s="41" t="n">
        <v>2499.95</v>
      </c>
      <c r="K61" s="41" t="n">
        <v>0</v>
      </c>
      <c r="L61" s="42" t="inlineStr"/>
      <c r="M61" s="40" t="inlineStr"/>
      <c r="N61" s="41">
        <f>O61-P61</f>
        <v/>
      </c>
      <c r="O61" s="41" t="inlineStr"/>
      <c r="P61" s="41" t="inlineStr"/>
      <c r="Q61" s="42" t="inlineStr"/>
    </row>
    <row r="62" ht="20" customHeight="1">
      <c r="A62" s="39" t="inlineStr">
        <is>
          <t>QLED</t>
        </is>
      </c>
      <c r="B62" s="39" t="inlineStr">
        <is>
          <t>65R95H</t>
        </is>
      </c>
      <c r="C62" s="40" t="inlineStr">
        <is>
          <t>MRE65R85H</t>
        </is>
      </c>
      <c r="D62" s="46" t="n"/>
      <c r="E62" s="41" t="n">
        <v>2499</v>
      </c>
      <c r="F62" s="41" t="n">
        <v>0</v>
      </c>
      <c r="G62" s="42" t="inlineStr"/>
      <c r="H62" s="40" t="inlineStr">
        <is>
          <t>MRE65R85H</t>
        </is>
      </c>
      <c r="I62" s="46" t="n"/>
      <c r="J62" s="41" t="n">
        <v>1999.95</v>
      </c>
      <c r="K62" s="41" t="n">
        <v>0</v>
      </c>
      <c r="L62" s="42" t="inlineStr"/>
      <c r="M62" s="40" t="inlineStr"/>
      <c r="N62" s="46" t="n"/>
      <c r="O62" s="47" t="inlineStr"/>
      <c r="P62" s="47" t="inlineStr"/>
      <c r="Q62" s="42" t="inlineStr"/>
    </row>
    <row r="63" ht="20" customHeight="1">
      <c r="A63" s="39" t="inlineStr">
        <is>
          <t>QLED</t>
        </is>
      </c>
      <c r="B63" s="39" t="inlineStr">
        <is>
          <t>55R95H</t>
        </is>
      </c>
      <c r="C63" s="40" t="inlineStr">
        <is>
          <t>MRE55R85H</t>
        </is>
      </c>
      <c r="D63" s="41">
        <f>E63-F63</f>
        <v/>
      </c>
      <c r="E63" s="41" t="n">
        <v>1699</v>
      </c>
      <c r="F63" s="41" t="n">
        <v>0</v>
      </c>
      <c r="G63" s="42" t="inlineStr"/>
      <c r="H63" s="40" t="inlineStr">
        <is>
          <t>MRE55R85H</t>
        </is>
      </c>
      <c r="I63" s="41">
        <f>J63-K63</f>
        <v/>
      </c>
      <c r="J63" s="41" t="n">
        <v>1499.95</v>
      </c>
      <c r="K63" s="41" t="n">
        <v>0</v>
      </c>
      <c r="L63" s="42" t="inlineStr"/>
      <c r="M63" s="40" t="inlineStr">
        <is>
          <t>MRE55R85HAUXXN</t>
        </is>
      </c>
      <c r="N63" s="41">
        <f>O63-P63</f>
        <v/>
      </c>
      <c r="O63" s="41" t="n">
        <v>1500</v>
      </c>
      <c r="P63" s="41" t="n">
        <v>0</v>
      </c>
      <c r="Q63" s="42" t="inlineStr"/>
    </row>
    <row r="64" ht="20" customHeight="1">
      <c r="A64" s="39" t="inlineStr">
        <is>
          <t>QLED</t>
        </is>
      </c>
      <c r="B64" s="39" t="inlineStr">
        <is>
          <t>100QN80H</t>
        </is>
      </c>
      <c r="C64" s="40" t="inlineStr">
        <is>
          <t>QE100QN80H</t>
        </is>
      </c>
      <c r="D64" s="41">
        <f>E64-F64</f>
        <v/>
      </c>
      <c r="E64" s="41" t="n">
        <v>4799</v>
      </c>
      <c r="F64" s="41" t="n">
        <v>0</v>
      </c>
      <c r="G64" s="42" t="inlineStr"/>
      <c r="H64" s="40" t="inlineStr">
        <is>
          <t>QE100QN80H</t>
        </is>
      </c>
      <c r="I64" s="41">
        <f>J64-K64</f>
        <v/>
      </c>
      <c r="J64" s="41" t="n">
        <v>4799.95</v>
      </c>
      <c r="K64" s="41" t="n">
        <v>0</v>
      </c>
      <c r="L64" s="42" t="inlineStr"/>
      <c r="M64" s="40" t="inlineStr"/>
      <c r="N64" s="41">
        <f>O64-P64</f>
        <v/>
      </c>
      <c r="O64" s="41" t="inlineStr"/>
      <c r="P64" s="41" t="inlineStr"/>
      <c r="Q64" s="42" t="inlineStr"/>
    </row>
    <row r="65" ht="20" customHeight="1">
      <c r="A65" s="39" t="inlineStr">
        <is>
          <t>QLED</t>
        </is>
      </c>
      <c r="B65" s="39" t="inlineStr">
        <is>
          <t>85QN80H</t>
        </is>
      </c>
      <c r="C65" s="40" t="inlineStr">
        <is>
          <t>QE85QN80H</t>
        </is>
      </c>
      <c r="D65" s="41">
        <f>E65-F65</f>
        <v/>
      </c>
      <c r="E65" s="41" t="n">
        <v>2999</v>
      </c>
      <c r="F65" s="41" t="n">
        <v>0</v>
      </c>
      <c r="G65" s="42" t="inlineStr"/>
      <c r="H65" s="40" t="inlineStr">
        <is>
          <t>QE85QN80H</t>
        </is>
      </c>
      <c r="I65" s="41">
        <f>J65-K65</f>
        <v/>
      </c>
      <c r="J65" s="41" t="n">
        <v>2999.95</v>
      </c>
      <c r="K65" s="41" t="n">
        <v>0</v>
      </c>
      <c r="L65" s="42" t="inlineStr"/>
      <c r="M65" s="40" t="inlineStr">
        <is>
          <t>QE85QN80HAUXXN</t>
        </is>
      </c>
      <c r="N65" s="41">
        <f>O65-P65</f>
        <v/>
      </c>
      <c r="O65" s="41" t="n">
        <v>2900</v>
      </c>
      <c r="P65" s="41" t="n">
        <v>0</v>
      </c>
      <c r="Q65" s="42" t="inlineStr"/>
    </row>
    <row r="66" ht="20" customHeight="1">
      <c r="A66" s="39" t="inlineStr">
        <is>
          <t>QLED</t>
        </is>
      </c>
      <c r="B66" s="39" t="inlineStr">
        <is>
          <t>75QN80H</t>
        </is>
      </c>
      <c r="C66" s="40" t="inlineStr">
        <is>
          <t>QE75QN80H</t>
        </is>
      </c>
      <c r="D66" s="41">
        <f>E66-F66</f>
        <v/>
      </c>
      <c r="E66" s="41" t="n">
        <v>2499</v>
      </c>
      <c r="F66" s="41" t="n">
        <v>0</v>
      </c>
      <c r="G66" s="42" t="inlineStr"/>
      <c r="H66" s="40" t="inlineStr">
        <is>
          <t>QE75QN80H</t>
        </is>
      </c>
      <c r="I66" s="41">
        <f>J66-K66</f>
        <v/>
      </c>
      <c r="J66" s="41" t="n">
        <v>2499.95</v>
      </c>
      <c r="K66" s="41" t="n">
        <v>0</v>
      </c>
      <c r="L66" s="42" t="inlineStr"/>
      <c r="M66" s="40" t="inlineStr">
        <is>
          <t>QE75QN80HAUXXN</t>
        </is>
      </c>
      <c r="N66" s="41">
        <f>O66-P66</f>
        <v/>
      </c>
      <c r="O66" s="41" t="n">
        <v>2499</v>
      </c>
      <c r="P66" s="41" t="n">
        <v>0</v>
      </c>
      <c r="Q66" s="42" t="inlineStr"/>
    </row>
    <row r="67" ht="20" customHeight="1">
      <c r="A67" s="39" t="inlineStr">
        <is>
          <t>QLED</t>
        </is>
      </c>
      <c r="B67" s="39" t="inlineStr">
        <is>
          <t>65QN80H</t>
        </is>
      </c>
      <c r="C67" s="40" t="inlineStr">
        <is>
          <t>QE65QN80H</t>
        </is>
      </c>
      <c r="D67" s="41">
        <f>E67-F67</f>
        <v/>
      </c>
      <c r="E67" s="41" t="n">
        <v>1799</v>
      </c>
      <c r="F67" s="41" t="n">
        <v>0</v>
      </c>
      <c r="G67" s="42" t="inlineStr"/>
      <c r="H67" s="40" t="inlineStr">
        <is>
          <t>QE65QN80H</t>
        </is>
      </c>
      <c r="I67" s="41">
        <f>J67-K67</f>
        <v/>
      </c>
      <c r="J67" s="41" t="n">
        <v>1799.95</v>
      </c>
      <c r="K67" s="41" t="n">
        <v>0</v>
      </c>
      <c r="L67" s="42" t="inlineStr"/>
      <c r="M67" s="40" t="inlineStr"/>
      <c r="N67" s="41">
        <f>O67-P67</f>
        <v/>
      </c>
      <c r="O67" s="41" t="inlineStr"/>
      <c r="P67" s="41" t="inlineStr"/>
      <c r="Q67" s="42" t="inlineStr"/>
    </row>
    <row r="68" ht="20" customHeight="1">
      <c r="A68" s="39" t="inlineStr">
        <is>
          <t>QLED</t>
        </is>
      </c>
      <c r="B68" s="39" t="inlineStr">
        <is>
          <t>55QN80H</t>
        </is>
      </c>
      <c r="C68" s="40" t="inlineStr">
        <is>
          <t>QE55QN80H</t>
        </is>
      </c>
      <c r="D68" s="46" t="n"/>
      <c r="E68" s="41" t="n">
        <v>1499</v>
      </c>
      <c r="F68" s="41" t="n">
        <v>0</v>
      </c>
      <c r="G68" s="42" t="inlineStr"/>
      <c r="H68" s="40" t="inlineStr">
        <is>
          <t>QE55QN80H</t>
        </is>
      </c>
      <c r="I68" s="46" t="n"/>
      <c r="J68" s="41" t="n">
        <v>1499.95</v>
      </c>
      <c r="K68" s="41" t="n">
        <v>0</v>
      </c>
      <c r="L68" s="42" t="inlineStr"/>
      <c r="M68" s="40" t="inlineStr"/>
      <c r="N68" s="46" t="n"/>
      <c r="O68" s="47" t="inlineStr"/>
      <c r="P68" s="47" t="inlineStr"/>
      <c r="Q68" s="42" t="inlineStr"/>
    </row>
    <row r="69" ht="20" customHeight="1">
      <c r="A69" s="39" t="inlineStr">
        <is>
          <t>QLED</t>
        </is>
      </c>
      <c r="B69" s="39" t="inlineStr">
        <is>
          <t>50QN80H</t>
        </is>
      </c>
      <c r="C69" s="40" t="inlineStr">
        <is>
          <t>QE50QN80H</t>
        </is>
      </c>
      <c r="D69" s="41">
        <f>E69-F69</f>
        <v/>
      </c>
      <c r="E69" s="41" t="n">
        <v>1299</v>
      </c>
      <c r="F69" s="41" t="n">
        <v>0</v>
      </c>
      <c r="G69" s="42" t="inlineStr"/>
      <c r="H69" s="40" t="inlineStr">
        <is>
          <t>QE50QN80H</t>
        </is>
      </c>
      <c r="I69" s="41">
        <f>J69-K69</f>
        <v/>
      </c>
      <c r="J69" s="41" t="n">
        <v>1299.95</v>
      </c>
      <c r="K69" s="41" t="n">
        <v>0</v>
      </c>
      <c r="L69" s="42" t="inlineStr"/>
      <c r="M69" s="40" t="inlineStr"/>
      <c r="N69" s="41">
        <f>O69-P69</f>
        <v/>
      </c>
      <c r="O69" s="41" t="inlineStr"/>
      <c r="P69" s="41" t="inlineStr"/>
      <c r="Q69" s="42" t="inlineStr"/>
    </row>
    <row r="70" ht="20" customHeight="1">
      <c r="A70" s="39" t="inlineStr">
        <is>
          <t>QLED</t>
        </is>
      </c>
      <c r="B70" s="39" t="inlineStr">
        <is>
          <t>85QN70H</t>
        </is>
      </c>
      <c r="C70" s="40" t="inlineStr"/>
      <c r="D70" s="41">
        <f>E70-F70</f>
        <v/>
      </c>
      <c r="E70" s="41" t="inlineStr"/>
      <c r="F70" s="41" t="inlineStr"/>
      <c r="G70" s="42" t="inlineStr"/>
      <c r="H70" s="40" t="inlineStr"/>
      <c r="I70" s="41">
        <f>J70-K70</f>
        <v/>
      </c>
      <c r="J70" s="41" t="inlineStr"/>
      <c r="K70" s="41" t="inlineStr"/>
      <c r="L70" s="42" t="inlineStr"/>
      <c r="M70" s="40" t="inlineStr"/>
      <c r="N70" s="41">
        <f>O70-P70</f>
        <v/>
      </c>
      <c r="O70" s="41" t="inlineStr"/>
      <c r="P70" s="41" t="inlineStr"/>
      <c r="Q70" s="42" t="inlineStr"/>
    </row>
    <row r="71" ht="20" customHeight="1">
      <c r="A71" s="39" t="inlineStr">
        <is>
          <t>QLED</t>
        </is>
      </c>
      <c r="B71" s="39" t="inlineStr">
        <is>
          <t>75QN70H</t>
        </is>
      </c>
      <c r="C71" s="40" t="inlineStr"/>
      <c r="D71" s="41">
        <f>E71-F71</f>
        <v/>
      </c>
      <c r="E71" s="41" t="inlineStr"/>
      <c r="F71" s="41" t="inlineStr"/>
      <c r="G71" s="42" t="inlineStr"/>
      <c r="H71" s="40" t="inlineStr"/>
      <c r="I71" s="41">
        <f>J71-K71</f>
        <v/>
      </c>
      <c r="J71" s="41" t="inlineStr"/>
      <c r="K71" s="41" t="inlineStr"/>
      <c r="L71" s="42" t="inlineStr"/>
      <c r="M71" s="40" t="inlineStr"/>
      <c r="N71" s="41">
        <f>O71-P71</f>
        <v/>
      </c>
      <c r="O71" s="41" t="inlineStr"/>
      <c r="P71" s="41" t="inlineStr"/>
      <c r="Q71" s="42" t="inlineStr"/>
    </row>
    <row r="72" ht="20" customHeight="1">
      <c r="A72" s="39" t="inlineStr">
        <is>
          <t>QLED</t>
        </is>
      </c>
      <c r="B72" s="39" t="inlineStr">
        <is>
          <t>65QN70H</t>
        </is>
      </c>
      <c r="C72" s="40" t="inlineStr"/>
      <c r="D72" s="41">
        <f>E72-F72</f>
        <v/>
      </c>
      <c r="E72" s="41" t="inlineStr"/>
      <c r="F72" s="41" t="inlineStr"/>
      <c r="G72" s="42" t="inlineStr"/>
      <c r="H72" s="40" t="inlineStr"/>
      <c r="I72" s="41">
        <f>J72-K72</f>
        <v/>
      </c>
      <c r="J72" s="41" t="inlineStr"/>
      <c r="K72" s="41" t="inlineStr"/>
      <c r="L72" s="42" t="inlineStr"/>
      <c r="M72" s="40" t="inlineStr"/>
      <c r="N72" s="41">
        <f>O72-P72</f>
        <v/>
      </c>
      <c r="O72" s="41" t="inlineStr"/>
      <c r="P72" s="41" t="inlineStr"/>
      <c r="Q72" s="42" t="inlineStr"/>
    </row>
    <row r="73" ht="20" customHeight="1">
      <c r="A73" s="39" t="inlineStr">
        <is>
          <t>QLED</t>
        </is>
      </c>
      <c r="B73" s="39" t="inlineStr">
        <is>
          <t>55QN70H</t>
        </is>
      </c>
      <c r="C73" s="40" t="inlineStr"/>
      <c r="D73" s="41">
        <f>E73-F73</f>
        <v/>
      </c>
      <c r="E73" s="41" t="inlineStr"/>
      <c r="F73" s="41" t="inlineStr"/>
      <c r="G73" s="42" t="inlineStr"/>
      <c r="H73" s="40" t="inlineStr"/>
      <c r="I73" s="41">
        <f>J73-K73</f>
        <v/>
      </c>
      <c r="J73" s="41" t="inlineStr"/>
      <c r="K73" s="41" t="inlineStr"/>
      <c r="L73" s="42" t="inlineStr"/>
      <c r="M73" s="40" t="inlineStr"/>
      <c r="N73" s="41">
        <f>O73-P73</f>
        <v/>
      </c>
      <c r="O73" s="41" t="inlineStr"/>
      <c r="P73" s="41" t="inlineStr"/>
      <c r="Q73" s="42" t="inlineStr"/>
    </row>
    <row r="74" ht="20" customHeight="1">
      <c r="A74" s="39" t="inlineStr">
        <is>
          <t>QLED</t>
        </is>
      </c>
      <c r="B74" s="39" t="inlineStr">
        <is>
          <t>50QN70H</t>
        </is>
      </c>
      <c r="C74" s="40" t="inlineStr"/>
      <c r="D74" s="41">
        <f>E74-F74</f>
        <v/>
      </c>
      <c r="E74" s="41" t="inlineStr"/>
      <c r="F74" s="41" t="inlineStr"/>
      <c r="G74" s="42" t="inlineStr"/>
      <c r="H74" s="40" t="inlineStr"/>
      <c r="I74" s="41">
        <f>J74-K74</f>
        <v/>
      </c>
      <c r="J74" s="41" t="inlineStr"/>
      <c r="K74" s="41" t="inlineStr"/>
      <c r="L74" s="42" t="inlineStr"/>
      <c r="M74" s="40" t="inlineStr"/>
      <c r="N74" s="41">
        <f>O74-P74</f>
        <v/>
      </c>
      <c r="O74" s="41" t="inlineStr"/>
      <c r="P74" s="41" t="inlineStr"/>
      <c r="Q74" s="42" t="inlineStr"/>
    </row>
    <row r="75" ht="20" customHeight="1">
      <c r="A75" s="39" t="inlineStr">
        <is>
          <t>QLED</t>
        </is>
      </c>
      <c r="B75" s="39" t="inlineStr">
        <is>
          <t>43QN70H</t>
        </is>
      </c>
      <c r="C75" s="40" t="inlineStr"/>
      <c r="D75" s="46" t="n"/>
      <c r="E75" s="47" t="inlineStr"/>
      <c r="F75" s="47" t="inlineStr"/>
      <c r="G75" s="42" t="inlineStr"/>
      <c r="H75" s="40" t="inlineStr"/>
      <c r="I75" s="46" t="n"/>
      <c r="J75" s="47" t="inlineStr"/>
      <c r="K75" s="47" t="inlineStr"/>
      <c r="L75" s="42" t="inlineStr"/>
      <c r="M75" s="40" t="inlineStr"/>
      <c r="N75" s="46" t="n"/>
      <c r="O75" s="47" t="inlineStr"/>
      <c r="P75" s="47" t="inlineStr"/>
      <c r="Q75" s="42" t="inlineStr"/>
    </row>
    <row r="76" ht="20" customHeight="1">
      <c r="A76" s="39" t="inlineStr">
        <is>
          <t>QLED</t>
        </is>
      </c>
      <c r="B76" s="39" t="inlineStr">
        <is>
          <t>85M70H</t>
        </is>
      </c>
      <c r="C76" s="40" t="inlineStr">
        <is>
          <t>UE85M70H</t>
        </is>
      </c>
      <c r="D76" s="41">
        <f>E76-F76</f>
        <v/>
      </c>
      <c r="E76" s="41" t="n">
        <v>2499</v>
      </c>
      <c r="F76" s="41" t="n">
        <v>0</v>
      </c>
      <c r="G76" s="42" t="inlineStr"/>
      <c r="H76" s="40" t="inlineStr">
        <is>
          <t>UE85M70H</t>
        </is>
      </c>
      <c r="I76" s="41">
        <f>J76-K76</f>
        <v/>
      </c>
      <c r="J76" s="41" t="n">
        <v>1299.95</v>
      </c>
      <c r="K76" s="41" t="n">
        <v>0</v>
      </c>
      <c r="L76" s="42" t="inlineStr"/>
      <c r="M76" s="40" t="inlineStr"/>
      <c r="N76" s="41">
        <f>O76-P76</f>
        <v/>
      </c>
      <c r="O76" s="41" t="inlineStr"/>
      <c r="P76" s="41" t="inlineStr"/>
      <c r="Q76" s="42" t="inlineStr"/>
    </row>
    <row r="77" ht="20" customHeight="1">
      <c r="A77" s="39" t="inlineStr">
        <is>
          <t>QLED</t>
        </is>
      </c>
      <c r="B77" s="39" t="inlineStr">
        <is>
          <t>75M70H</t>
        </is>
      </c>
      <c r="C77" s="40" t="inlineStr">
        <is>
          <t>UE75M70H</t>
        </is>
      </c>
      <c r="D77" s="41">
        <f>E77-F77</f>
        <v/>
      </c>
      <c r="E77" s="41" t="n">
        <v>1999</v>
      </c>
      <c r="F77" s="41" t="n">
        <v>0</v>
      </c>
      <c r="G77" s="42" t="inlineStr"/>
      <c r="H77" s="40" t="inlineStr">
        <is>
          <t>UE75M70H</t>
        </is>
      </c>
      <c r="I77" s="41">
        <f>J77-K77</f>
        <v/>
      </c>
      <c r="J77" s="41" t="n">
        <v>1999.95</v>
      </c>
      <c r="K77" s="41" t="n">
        <v>0</v>
      </c>
      <c r="L77" s="42" t="inlineStr"/>
      <c r="M77" s="40" t="inlineStr">
        <is>
          <t>UE75M70HAUXXN</t>
        </is>
      </c>
      <c r="N77" s="41">
        <f>O77-P77</f>
        <v/>
      </c>
      <c r="O77" s="41" t="n">
        <v>1199</v>
      </c>
      <c r="P77" s="41" t="n">
        <v>0</v>
      </c>
      <c r="Q77" s="42" t="inlineStr"/>
    </row>
    <row r="78" ht="20" customHeight="1">
      <c r="A78" s="39" t="inlineStr">
        <is>
          <t>QLED</t>
        </is>
      </c>
      <c r="B78" s="39" t="inlineStr">
        <is>
          <t>65M70H</t>
        </is>
      </c>
      <c r="C78" s="40" t="inlineStr">
        <is>
          <t>UE65M70H</t>
        </is>
      </c>
      <c r="D78" s="41">
        <f>E78-F78</f>
        <v/>
      </c>
      <c r="E78" s="41" t="n">
        <v>1399</v>
      </c>
      <c r="F78" s="41" t="n">
        <v>0</v>
      </c>
      <c r="G78" s="42" t="inlineStr"/>
      <c r="H78" s="40" t="inlineStr">
        <is>
          <t>UE65M70H</t>
        </is>
      </c>
      <c r="I78" s="41">
        <f>J78-K78</f>
        <v/>
      </c>
      <c r="J78" s="41" t="n">
        <v>1399.95</v>
      </c>
      <c r="K78" s="41" t="n">
        <v>0</v>
      </c>
      <c r="L78" s="42" t="inlineStr"/>
      <c r="M78" s="40" t="inlineStr"/>
      <c r="N78" s="41">
        <f>O78-P78</f>
        <v/>
      </c>
      <c r="O78" s="41" t="inlineStr"/>
      <c r="P78" s="41" t="inlineStr"/>
      <c r="Q78" s="42" t="inlineStr"/>
    </row>
    <row r="79" ht="20" customHeight="1">
      <c r="A79" s="39" t="inlineStr">
        <is>
          <t>QLED</t>
        </is>
      </c>
      <c r="B79" s="39" t="inlineStr">
        <is>
          <t>55M70H</t>
        </is>
      </c>
      <c r="C79" s="40" t="inlineStr">
        <is>
          <t>UE55M70H</t>
        </is>
      </c>
      <c r="D79" s="41">
        <f>E79-F79</f>
        <v/>
      </c>
      <c r="E79" s="41" t="n">
        <v>1199</v>
      </c>
      <c r="F79" s="41" t="n">
        <v>0</v>
      </c>
      <c r="G79" s="42" t="inlineStr"/>
      <c r="H79" s="40" t="inlineStr">
        <is>
          <t>UE55M70H</t>
        </is>
      </c>
      <c r="I79" s="41">
        <f>J79-K79</f>
        <v/>
      </c>
      <c r="J79" s="41" t="n">
        <v>899.95</v>
      </c>
      <c r="K79" s="41" t="n">
        <v>0</v>
      </c>
      <c r="L79" s="42" t="inlineStr"/>
      <c r="M79" s="40" t="inlineStr"/>
      <c r="N79" s="41">
        <f>O79-P79</f>
        <v/>
      </c>
      <c r="O79" s="41" t="inlineStr"/>
      <c r="P79" s="41" t="inlineStr"/>
      <c r="Q79" s="42" t="inlineStr"/>
    </row>
    <row r="80" ht="20" customHeight="1">
      <c r="A80" s="39" t="inlineStr">
        <is>
          <t>QLED</t>
        </is>
      </c>
      <c r="B80" s="39" t="inlineStr">
        <is>
          <t>50M70H</t>
        </is>
      </c>
      <c r="C80" s="40" t="inlineStr">
        <is>
          <t>UE50M70H</t>
        </is>
      </c>
      <c r="D80" s="41">
        <f>E80-F80</f>
        <v/>
      </c>
      <c r="E80" s="41" t="n">
        <v>1099</v>
      </c>
      <c r="F80" s="41" t="n">
        <v>0</v>
      </c>
      <c r="G80" s="42" t="inlineStr"/>
      <c r="H80" s="40" t="inlineStr">
        <is>
          <t>UE50M70H</t>
        </is>
      </c>
      <c r="I80" s="41">
        <f>J80-K80</f>
        <v/>
      </c>
      <c r="J80" s="41" t="n">
        <v>1099.95</v>
      </c>
      <c r="K80" s="41" t="n">
        <v>0</v>
      </c>
      <c r="L80" s="42" t="inlineStr"/>
      <c r="M80" s="40" t="inlineStr">
        <is>
          <t>UE50M70HAUXXN</t>
        </is>
      </c>
      <c r="N80" s="41">
        <f>O80-P80</f>
        <v/>
      </c>
      <c r="O80" s="41" t="n">
        <v>599</v>
      </c>
      <c r="P80" s="41" t="n">
        <v>0</v>
      </c>
      <c r="Q80" s="42" t="inlineStr"/>
    </row>
    <row r="81" ht="20" customHeight="1">
      <c r="A81" s="39" t="inlineStr">
        <is>
          <t>QLED</t>
        </is>
      </c>
      <c r="B81" s="39" t="inlineStr">
        <is>
          <t>43M70H</t>
        </is>
      </c>
      <c r="C81" s="40" t="inlineStr">
        <is>
          <t>UE43M70H</t>
        </is>
      </c>
      <c r="D81" s="41">
        <f>E81-F81</f>
        <v/>
      </c>
      <c r="E81" s="41" t="n">
        <v>999</v>
      </c>
      <c r="F81" s="41" t="n">
        <v>0</v>
      </c>
      <c r="G81" s="42" t="inlineStr"/>
      <c r="H81" s="40" t="inlineStr">
        <is>
          <t>UE43M70H</t>
        </is>
      </c>
      <c r="I81" s="41">
        <f>J81-K81</f>
        <v/>
      </c>
      <c r="J81" s="41" t="n">
        <v>999.95</v>
      </c>
      <c r="K81" s="41" t="n">
        <v>0</v>
      </c>
      <c r="L81" s="42" t="inlineStr"/>
      <c r="M81" s="40" t="inlineStr">
        <is>
          <t>UE43M70HAUXXN</t>
        </is>
      </c>
      <c r="N81" s="41">
        <f>O81-P81</f>
        <v/>
      </c>
      <c r="O81" s="41" t="n">
        <v>549</v>
      </c>
      <c r="P81" s="41" t="n">
        <v>0</v>
      </c>
      <c r="Q81" s="42" t="inlineStr"/>
    </row>
    <row r="82" ht="20" customHeight="1">
      <c r="A82" s="34" t="inlineStr">
        <is>
          <t>UHD 4K</t>
        </is>
      </c>
      <c r="B82" s="34" t="inlineStr">
        <is>
          <t>86NU85</t>
        </is>
      </c>
      <c r="C82" s="35" t="inlineStr"/>
      <c r="D82" s="44" t="n"/>
      <c r="E82" s="45" t="inlineStr"/>
      <c r="F82" s="45" t="inlineStr"/>
      <c r="G82" s="37">
        <f>IFERROR(E82/E4,"")</f>
        <v/>
      </c>
      <c r="H82" s="35" t="inlineStr"/>
      <c r="I82" s="44" t="n"/>
      <c r="J82" s="45" t="inlineStr"/>
      <c r="K82" s="45" t="inlineStr"/>
      <c r="L82" s="37">
        <f>IFERROR(J82/J4,"")</f>
        <v/>
      </c>
      <c r="M82" s="35" t="inlineStr"/>
      <c r="N82" s="44" t="n"/>
      <c r="O82" s="45" t="inlineStr"/>
      <c r="P82" s="45" t="inlineStr"/>
      <c r="Q82" s="37">
        <f>IFERROR(O82/O4,"")</f>
        <v/>
      </c>
    </row>
    <row r="83" ht="20" customHeight="1">
      <c r="A83" s="34" t="inlineStr">
        <is>
          <t>UHD 4K</t>
        </is>
      </c>
      <c r="B83" s="34" t="inlineStr">
        <is>
          <t>75NU85</t>
        </is>
      </c>
      <c r="C83" s="35" t="inlineStr"/>
      <c r="D83" s="36">
        <f>E83-F83</f>
        <v/>
      </c>
      <c r="E83" s="36" t="inlineStr"/>
      <c r="F83" s="36" t="inlineStr"/>
      <c r="G83" s="37">
        <f>IFERROR(E83/E5,"")</f>
        <v/>
      </c>
      <c r="H83" s="35" t="inlineStr"/>
      <c r="I83" s="36">
        <f>J83-K83</f>
        <v/>
      </c>
      <c r="J83" s="36" t="inlineStr"/>
      <c r="K83" s="36" t="inlineStr"/>
      <c r="L83" s="37">
        <f>IFERROR(J83/J5,"")</f>
        <v/>
      </c>
      <c r="M83" s="35" t="inlineStr"/>
      <c r="N83" s="36">
        <f>O83-P83</f>
        <v/>
      </c>
      <c r="O83" s="36" t="inlineStr"/>
      <c r="P83" s="36" t="inlineStr"/>
      <c r="Q83" s="37">
        <f>IFERROR(O83/O5,"")</f>
        <v/>
      </c>
    </row>
    <row r="84" ht="20" customHeight="1">
      <c r="A84" s="34" t="inlineStr">
        <is>
          <t>UHD 4K</t>
        </is>
      </c>
      <c r="B84" s="34" t="inlineStr">
        <is>
          <t>65NU85</t>
        </is>
      </c>
      <c r="C84" s="35" t="inlineStr"/>
      <c r="D84" s="36">
        <f>E84-F84</f>
        <v/>
      </c>
      <c r="E84" s="36" t="inlineStr"/>
      <c r="F84" s="36" t="inlineStr"/>
      <c r="G84" s="37">
        <f>IFERROR(E84/E6,"")</f>
        <v/>
      </c>
      <c r="H84" s="35" t="inlineStr"/>
      <c r="I84" s="36">
        <f>J84-K84</f>
        <v/>
      </c>
      <c r="J84" s="36" t="inlineStr"/>
      <c r="K84" s="36" t="inlineStr"/>
      <c r="L84" s="37">
        <f>IFERROR(J84/J6,"")</f>
        <v/>
      </c>
      <c r="M84" s="35" t="inlineStr"/>
      <c r="N84" s="36">
        <f>O84-P84</f>
        <v/>
      </c>
      <c r="O84" s="36" t="inlineStr"/>
      <c r="P84" s="36" t="inlineStr"/>
      <c r="Q84" s="37">
        <f>IFERROR(O84/O6,"")</f>
        <v/>
      </c>
    </row>
    <row r="85" ht="20" customHeight="1">
      <c r="A85" s="34" t="inlineStr">
        <is>
          <t>UHD 4K</t>
        </is>
      </c>
      <c r="B85" s="34" t="inlineStr">
        <is>
          <t>55NU85</t>
        </is>
      </c>
      <c r="C85" s="35" t="inlineStr"/>
      <c r="D85" s="36">
        <f>E85-F85</f>
        <v/>
      </c>
      <c r="E85" s="36" t="inlineStr"/>
      <c r="F85" s="36" t="inlineStr"/>
      <c r="G85" s="37">
        <f>IFERROR(E85/E7,"")</f>
        <v/>
      </c>
      <c r="H85" s="35" t="inlineStr"/>
      <c r="I85" s="36">
        <f>J85-K85</f>
        <v/>
      </c>
      <c r="J85" s="36" t="inlineStr"/>
      <c r="K85" s="36" t="inlineStr"/>
      <c r="L85" s="37">
        <f>IFERROR(J85/J7,"")</f>
        <v/>
      </c>
      <c r="M85" s="35" t="inlineStr"/>
      <c r="N85" s="36">
        <f>O85-P85</f>
        <v/>
      </c>
      <c r="O85" s="36" t="inlineStr"/>
      <c r="P85" s="36" t="inlineStr"/>
      <c r="Q85" s="37">
        <f>IFERROR(O85/O7,"")</f>
        <v/>
      </c>
    </row>
    <row r="86" ht="20" customHeight="1">
      <c r="A86" s="34" t="inlineStr">
        <is>
          <t>UHD 4K</t>
        </is>
      </c>
      <c r="B86" s="34" t="inlineStr">
        <is>
          <t>50NU85</t>
        </is>
      </c>
      <c r="C86" s="35" t="inlineStr"/>
      <c r="D86" s="45" t="n"/>
      <c r="E86" s="45" t="inlineStr"/>
      <c r="F86" s="45" t="inlineStr"/>
      <c r="G86" s="37">
        <f>IFERROR(E86/E7,"")</f>
        <v/>
      </c>
      <c r="H86" s="35" t="inlineStr"/>
      <c r="I86" s="45" t="n"/>
      <c r="J86" s="45" t="inlineStr"/>
      <c r="K86" s="45" t="inlineStr"/>
      <c r="L86" s="37">
        <f>IFERROR(J86/J7,"")</f>
        <v/>
      </c>
      <c r="M86" s="35" t="inlineStr"/>
      <c r="N86" s="45" t="n"/>
      <c r="O86" s="45" t="inlineStr"/>
      <c r="P86" s="45" t="inlineStr"/>
      <c r="Q86" s="37">
        <f>IFERROR(O86/O7,"")</f>
        <v/>
      </c>
    </row>
    <row r="87" ht="20" customHeight="1">
      <c r="A87" s="34" t="inlineStr">
        <is>
          <t>UHD 4K</t>
        </is>
      </c>
      <c r="B87" s="34" t="inlineStr">
        <is>
          <t>43NU85</t>
        </is>
      </c>
      <c r="C87" s="35" t="inlineStr"/>
      <c r="D87" s="45" t="n"/>
      <c r="E87" s="45" t="inlineStr"/>
      <c r="F87" s="45" t="inlineStr"/>
      <c r="G87" s="37">
        <f>IFERROR(E87/E7,"")</f>
        <v/>
      </c>
      <c r="H87" s="35" t="inlineStr"/>
      <c r="I87" s="45" t="n"/>
      <c r="J87" s="45" t="inlineStr"/>
      <c r="K87" s="45" t="inlineStr"/>
      <c r="L87" s="37">
        <f>IFERROR(J87/J7,"")</f>
        <v/>
      </c>
      <c r="M87" s="35" t="inlineStr"/>
      <c r="N87" s="45" t="n"/>
      <c r="O87" s="45" t="inlineStr"/>
      <c r="P87" s="45" t="inlineStr"/>
      <c r="Q87" s="37">
        <f>IFERROR(O87/O7,"")</f>
        <v/>
      </c>
    </row>
    <row r="88" ht="20" customHeight="1">
      <c r="A88" s="39" t="inlineStr">
        <is>
          <t>UHD 4K</t>
        </is>
      </c>
      <c r="B88" s="39" t="inlineStr">
        <is>
          <t>85U8000H</t>
        </is>
      </c>
      <c r="C88" s="40" t="inlineStr">
        <is>
          <t>UE85U8090H</t>
        </is>
      </c>
      <c r="D88" s="47" t="n"/>
      <c r="E88" s="41" t="n">
        <v>1599</v>
      </c>
      <c r="F88" s="41" t="n">
        <v>0</v>
      </c>
      <c r="G88" s="42" t="inlineStr"/>
      <c r="H88" s="40" t="inlineStr"/>
      <c r="I88" s="47" t="n"/>
      <c r="J88" s="47" t="inlineStr"/>
      <c r="K88" s="47" t="inlineStr"/>
      <c r="L88" s="42" t="inlineStr"/>
      <c r="M88" s="40" t="inlineStr"/>
      <c r="N88" s="47" t="n"/>
      <c r="O88" s="47" t="inlineStr"/>
      <c r="P88" s="47" t="inlineStr"/>
      <c r="Q88" s="42" t="inlineStr"/>
    </row>
    <row r="89" ht="20" customHeight="1">
      <c r="A89" s="39" t="inlineStr">
        <is>
          <t>UHD 4K</t>
        </is>
      </c>
      <c r="B89" s="39" t="inlineStr">
        <is>
          <t>75U8000H</t>
        </is>
      </c>
      <c r="C89" s="40" t="inlineStr">
        <is>
          <t>UE75U8090H</t>
        </is>
      </c>
      <c r="D89" s="47" t="n"/>
      <c r="E89" s="41" t="n">
        <v>1199</v>
      </c>
      <c r="F89" s="41" t="n">
        <v>0</v>
      </c>
      <c r="G89" s="42" t="inlineStr"/>
      <c r="H89" s="40" t="inlineStr">
        <is>
          <t>UE75U8090H</t>
        </is>
      </c>
      <c r="I89" s="47" t="n"/>
      <c r="J89" s="41" t="n">
        <v>1199.95</v>
      </c>
      <c r="K89" s="41" t="n">
        <v>0</v>
      </c>
      <c r="L89" s="42" t="inlineStr"/>
      <c r="M89" s="40" t="inlineStr"/>
      <c r="N89" s="47" t="n"/>
      <c r="O89" s="47" t="inlineStr"/>
      <c r="P89" s="47" t="inlineStr"/>
      <c r="Q89" s="42" t="inlineStr"/>
    </row>
    <row r="90" ht="20" customHeight="1">
      <c r="A90" s="39" t="inlineStr">
        <is>
          <t>UHD 4K</t>
        </is>
      </c>
      <c r="B90" s="39" t="inlineStr">
        <is>
          <t>65U8000H</t>
        </is>
      </c>
      <c r="C90" s="40" t="inlineStr">
        <is>
          <t>UE65U8090H</t>
        </is>
      </c>
      <c r="D90" s="47" t="n"/>
      <c r="E90" s="41" t="n">
        <v>799</v>
      </c>
      <c r="F90" s="41" t="n">
        <v>0</v>
      </c>
      <c r="G90" s="42" t="inlineStr"/>
      <c r="H90" s="40" t="inlineStr">
        <is>
          <t>UE65U8090H</t>
        </is>
      </c>
      <c r="I90" s="47" t="n"/>
      <c r="J90" s="41" t="n">
        <v>799.95</v>
      </c>
      <c r="K90" s="41" t="n">
        <v>0</v>
      </c>
      <c r="L90" s="42" t="inlineStr"/>
      <c r="M90" s="40" t="inlineStr"/>
      <c r="N90" s="47" t="n"/>
      <c r="O90" s="47" t="inlineStr"/>
      <c r="P90" s="47" t="inlineStr"/>
      <c r="Q90" s="42" t="inlineStr"/>
    </row>
    <row r="91" ht="20" customHeight="1">
      <c r="A91" s="39" t="inlineStr">
        <is>
          <t>UHD 4K</t>
        </is>
      </c>
      <c r="B91" s="39" t="inlineStr">
        <is>
          <t>55U8000H</t>
        </is>
      </c>
      <c r="C91" s="40" t="inlineStr">
        <is>
          <t>UE55U8090H</t>
        </is>
      </c>
      <c r="D91" s="47" t="n"/>
      <c r="E91" s="41" t="n">
        <v>699</v>
      </c>
      <c r="F91" s="41" t="n">
        <v>0</v>
      </c>
      <c r="G91" s="42" t="inlineStr"/>
      <c r="H91" s="40" t="inlineStr">
        <is>
          <t>UE55U8090H</t>
        </is>
      </c>
      <c r="I91" s="47" t="n"/>
      <c r="J91" s="41" t="n">
        <v>699.95</v>
      </c>
      <c r="K91" s="41" t="n">
        <v>0</v>
      </c>
      <c r="L91" s="42" t="inlineStr"/>
      <c r="M91" s="40" t="inlineStr"/>
      <c r="N91" s="47" t="n"/>
      <c r="O91" s="47" t="inlineStr"/>
      <c r="P91" s="47" t="inlineStr"/>
      <c r="Q91" s="42" t="inlineStr"/>
    </row>
    <row r="92" ht="20" customHeight="1">
      <c r="A92" s="39" t="inlineStr">
        <is>
          <t>UHD 4K</t>
        </is>
      </c>
      <c r="B92" s="39" t="inlineStr">
        <is>
          <t>50U8000H</t>
        </is>
      </c>
      <c r="C92" s="40" t="inlineStr">
        <is>
          <t>UE50U8090H</t>
        </is>
      </c>
      <c r="D92" s="47" t="n"/>
      <c r="E92" s="41" t="n">
        <v>599</v>
      </c>
      <c r="F92" s="41" t="n">
        <v>0</v>
      </c>
      <c r="G92" s="42" t="inlineStr"/>
      <c r="H92" s="40" t="inlineStr">
        <is>
          <t>UE50U8090H</t>
        </is>
      </c>
      <c r="I92" s="47" t="n"/>
      <c r="J92" s="41" t="n">
        <v>599.95</v>
      </c>
      <c r="K92" s="41" t="n">
        <v>0</v>
      </c>
      <c r="L92" s="42" t="inlineStr"/>
      <c r="M92" s="40" t="inlineStr"/>
      <c r="N92" s="47" t="n"/>
      <c r="O92" s="47" t="inlineStr"/>
      <c r="P92" s="47" t="inlineStr"/>
      <c r="Q92" s="42" t="inlineStr"/>
    </row>
    <row r="93" ht="20" customHeight="1">
      <c r="A93" s="39" t="inlineStr">
        <is>
          <t>UHD 4K</t>
        </is>
      </c>
      <c r="B93" s="39" t="inlineStr">
        <is>
          <t>43U8000H</t>
        </is>
      </c>
      <c r="C93" s="40" t="inlineStr">
        <is>
          <t>UE43U8090H</t>
        </is>
      </c>
      <c r="D93" s="47" t="n"/>
      <c r="E93" s="41" t="n">
        <v>499</v>
      </c>
      <c r="F93" s="41" t="n">
        <v>0</v>
      </c>
      <c r="G93" s="42" t="inlineStr"/>
      <c r="H93" s="40" t="inlineStr">
        <is>
          <t>UE43U8090H</t>
        </is>
      </c>
      <c r="I93" s="47" t="n"/>
      <c r="J93" s="41" t="n">
        <v>499.95</v>
      </c>
      <c r="K93" s="41" t="n">
        <v>0</v>
      </c>
      <c r="L93" s="42" t="inlineStr"/>
      <c r="M93" s="40" t="inlineStr"/>
      <c r="N93" s="47" t="n"/>
      <c r="O93" s="47" t="inlineStr"/>
      <c r="P93" s="47" t="inlineStr"/>
      <c r="Q93" s="42" t="inlineStr"/>
    </row>
    <row r="94" ht="24" customHeight="1">
      <c r="A94" s="43" t="inlineStr">
        <is>
          <t>Display</t>
        </is>
      </c>
      <c r="B94" s="43" t="inlineStr">
        <is>
          <t>Series</t>
        </is>
      </c>
      <c r="C94" s="43" t="inlineStr">
        <is>
          <t>VLOOKUP Summary</t>
        </is>
      </c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</row>
    <row r="95" ht="20" customHeight="1">
      <c r="A95" s="34" t="inlineStr">
        <is>
          <t>OLED</t>
        </is>
      </c>
      <c r="B95" s="34" t="inlineStr">
        <is>
          <t>55G6</t>
        </is>
      </c>
      <c r="C95" s="35">
        <f>IF(VLOOKUP($B95,$B$4:$Q$93,2,FALSE)=0,"",VLOOKUP($B95,$B$4:$Q$93,2,FALSE))</f>
        <v/>
      </c>
      <c r="D95" s="36">
        <f>VLOOKUP($B87,$B$4:$Q$85,3,FALSE)</f>
        <v/>
      </c>
      <c r="E95" s="36">
        <f>VLOOKUP($B87,$B$4:$Q$85,4,FALSE)</f>
        <v/>
      </c>
      <c r="F95" s="36">
        <f>VLOOKUP($B87,$B$4:$Q$85,5,FALSE)</f>
        <v/>
      </c>
      <c r="G95" s="37">
        <f>VLOOKUP($B87,$B$4:$Q$85,6,FALSE)</f>
        <v/>
      </c>
      <c r="H95" s="35">
        <f>IF(VLOOKUP($B95,$B$4:$Q$93,7,FALSE)=0,"",VLOOKUP($B95,$B$4:$Q$93,7,FALSE))</f>
        <v/>
      </c>
      <c r="I95" s="36">
        <f>VLOOKUP($B87,$B$4:$Q$85,8,FALSE)</f>
        <v/>
      </c>
      <c r="J95" s="36">
        <f>VLOOKUP($B87,$B$4:$Q$85,9,FALSE)</f>
        <v/>
      </c>
      <c r="K95" s="36">
        <f>VLOOKUP($B87,$B$4:$Q$85,10,FALSE)</f>
        <v/>
      </c>
      <c r="L95" s="37">
        <f>VLOOKUP($B87,$B$4:$Q$85,11,FALSE)</f>
        <v/>
      </c>
      <c r="M95" s="35">
        <f>IF(VLOOKUP($B95,$B$4:$Q$93,12,FALSE)=0,"",VLOOKUP($B95,$B$4:$Q$93,12,FALSE))</f>
        <v/>
      </c>
      <c r="N95" s="36">
        <f>VLOOKUP($B87,$B$4:$Q$85,13,FALSE)</f>
        <v/>
      </c>
      <c r="O95" s="36">
        <f>VLOOKUP($B87,$B$4:$Q$85,14,FALSE)</f>
        <v/>
      </c>
      <c r="P95" s="36">
        <f>VLOOKUP($B87,$B$4:$Q$85,15,FALSE)</f>
        <v/>
      </c>
      <c r="Q95" s="37">
        <f>VLOOKUP($B87,$B$4:$Q$85,16,FALSE)</f>
        <v/>
      </c>
    </row>
    <row r="96" ht="20" customHeight="1">
      <c r="A96" s="34" t="inlineStr">
        <is>
          <t>OLED</t>
        </is>
      </c>
      <c r="B96" s="34" t="inlineStr">
        <is>
          <t>55C6</t>
        </is>
      </c>
      <c r="C96" s="35">
        <f>IF(VLOOKUP($B96,$B$4:$Q$93,2,FALSE)=0,"",VLOOKUP($B96,$B$4:$Q$93,2,FALSE))</f>
        <v/>
      </c>
      <c r="D96" s="36">
        <f>VLOOKUP($B88,$B$4:$Q$85,3,FALSE)</f>
        <v/>
      </c>
      <c r="E96" s="36">
        <f>VLOOKUP($B88,$B$4:$Q$85,4,FALSE)</f>
        <v/>
      </c>
      <c r="F96" s="36">
        <f>VLOOKUP($B88,$B$4:$Q$85,5,FALSE)</f>
        <v/>
      </c>
      <c r="G96" s="37">
        <f>VLOOKUP($B88,$B$4:$Q$85,6,FALSE)</f>
        <v/>
      </c>
      <c r="H96" s="35">
        <f>IF(VLOOKUP($B96,$B$4:$Q$93,7,FALSE)=0,"",VLOOKUP($B96,$B$4:$Q$93,7,FALSE))</f>
        <v/>
      </c>
      <c r="I96" s="36">
        <f>VLOOKUP($B88,$B$4:$Q$85,8,FALSE)</f>
        <v/>
      </c>
      <c r="J96" s="36">
        <f>VLOOKUP($B88,$B$4:$Q$85,9,FALSE)</f>
        <v/>
      </c>
      <c r="K96" s="36">
        <f>VLOOKUP($B88,$B$4:$Q$85,10,FALSE)</f>
        <v/>
      </c>
      <c r="L96" s="37">
        <f>VLOOKUP($B88,$B$4:$Q$85,11,FALSE)</f>
        <v/>
      </c>
      <c r="M96" s="35">
        <f>IF(VLOOKUP($B96,$B$4:$Q$93,12,FALSE)=0,"",VLOOKUP($B96,$B$4:$Q$93,12,FALSE))</f>
        <v/>
      </c>
      <c r="N96" s="36">
        <f>VLOOKUP($B88,$B$4:$Q$85,13,FALSE)</f>
        <v/>
      </c>
      <c r="O96" s="36">
        <f>VLOOKUP($B88,$B$4:$Q$85,14,FALSE)</f>
        <v/>
      </c>
      <c r="P96" s="36">
        <f>VLOOKUP($B88,$B$4:$Q$85,15,FALSE)</f>
        <v/>
      </c>
      <c r="Q96" s="37">
        <f>VLOOKUP($B88,$B$4:$Q$85,16,FALSE)</f>
        <v/>
      </c>
    </row>
    <row r="97" ht="20" customHeight="1">
      <c r="A97" s="34" t="inlineStr">
        <is>
          <t>OLED</t>
        </is>
      </c>
      <c r="B97" s="34" t="inlineStr">
        <is>
          <t>55B6</t>
        </is>
      </c>
      <c r="C97" s="35">
        <f>IF(VLOOKUP($B97,$B$4:$Q$93,2,FALSE)=0,"",VLOOKUP($B97,$B$4:$Q$93,2,FALSE))</f>
        <v/>
      </c>
      <c r="D97" s="36">
        <f>VLOOKUP($B89,$B$4:$Q$85,3,FALSE)</f>
        <v/>
      </c>
      <c r="E97" s="36">
        <f>VLOOKUP($B89,$B$4:$Q$85,4,FALSE)</f>
        <v/>
      </c>
      <c r="F97" s="36">
        <f>VLOOKUP($B89,$B$4:$Q$85,5,FALSE)</f>
        <v/>
      </c>
      <c r="G97" s="37">
        <f>VLOOKUP($B89,$B$4:$Q$85,6,FALSE)</f>
        <v/>
      </c>
      <c r="H97" s="35">
        <f>IF(VLOOKUP($B97,$B$4:$Q$93,7,FALSE)=0,"",VLOOKUP($B97,$B$4:$Q$93,7,FALSE))</f>
        <v/>
      </c>
      <c r="I97" s="36">
        <f>VLOOKUP($B89,$B$4:$Q$85,8,FALSE)</f>
        <v/>
      </c>
      <c r="J97" s="36">
        <f>VLOOKUP($B89,$B$4:$Q$85,9,FALSE)</f>
        <v/>
      </c>
      <c r="K97" s="36">
        <f>VLOOKUP($B89,$B$4:$Q$85,10,FALSE)</f>
        <v/>
      </c>
      <c r="L97" s="37">
        <f>VLOOKUP($B89,$B$4:$Q$85,11,FALSE)</f>
        <v/>
      </c>
      <c r="M97" s="35">
        <f>IF(VLOOKUP($B97,$B$4:$Q$93,12,FALSE)=0,"",VLOOKUP($B97,$B$4:$Q$93,12,FALSE))</f>
        <v/>
      </c>
      <c r="N97" s="36">
        <f>VLOOKUP($B89,$B$4:$Q$85,13,FALSE)</f>
        <v/>
      </c>
      <c r="O97" s="36">
        <f>VLOOKUP($B89,$B$4:$Q$85,14,FALSE)</f>
        <v/>
      </c>
      <c r="P97" s="36">
        <f>VLOOKUP($B89,$B$4:$Q$85,15,FALSE)</f>
        <v/>
      </c>
      <c r="Q97" s="37">
        <f>VLOOKUP($B89,$B$4:$Q$85,16,FALSE)</f>
        <v/>
      </c>
    </row>
    <row r="98" ht="20" customHeight="1">
      <c r="A98" s="34" t="inlineStr">
        <is>
          <t>QNED</t>
        </is>
      </c>
      <c r="B98" s="34" t="inlineStr">
        <is>
          <t>55QNED85</t>
        </is>
      </c>
      <c r="C98" s="35">
        <f>IF(VLOOKUP($B98,$B$4:$Q$93,2,FALSE)=0,"",VLOOKUP($B98,$B$4:$Q$93,2,FALSE))</f>
        <v/>
      </c>
      <c r="D98" s="36">
        <f>VLOOKUP($B90,$B$4:$Q$85,3,FALSE)</f>
        <v/>
      </c>
      <c r="E98" s="36">
        <f>VLOOKUP($B90,$B$4:$Q$85,4,FALSE)</f>
        <v/>
      </c>
      <c r="F98" s="36">
        <f>VLOOKUP($B90,$B$4:$Q$85,5,FALSE)</f>
        <v/>
      </c>
      <c r="G98" s="37">
        <f>VLOOKUP($B90,$B$4:$Q$85,6,FALSE)</f>
        <v/>
      </c>
      <c r="H98" s="35">
        <f>IF(VLOOKUP($B98,$B$4:$Q$93,7,FALSE)=0,"",VLOOKUP($B98,$B$4:$Q$93,7,FALSE))</f>
        <v/>
      </c>
      <c r="I98" s="36">
        <f>VLOOKUP($B90,$B$4:$Q$85,8,FALSE)</f>
        <v/>
      </c>
      <c r="J98" s="36">
        <f>VLOOKUP($B90,$B$4:$Q$85,9,FALSE)</f>
        <v/>
      </c>
      <c r="K98" s="36">
        <f>VLOOKUP($B90,$B$4:$Q$85,10,FALSE)</f>
        <v/>
      </c>
      <c r="L98" s="37">
        <f>VLOOKUP($B90,$B$4:$Q$85,11,FALSE)</f>
        <v/>
      </c>
      <c r="M98" s="35">
        <f>IF(VLOOKUP($B98,$B$4:$Q$93,12,FALSE)=0,"",VLOOKUP($B98,$B$4:$Q$93,12,FALSE))</f>
        <v/>
      </c>
      <c r="N98" s="36">
        <f>VLOOKUP($B90,$B$4:$Q$85,13,FALSE)</f>
        <v/>
      </c>
      <c r="O98" s="36">
        <f>VLOOKUP($B90,$B$4:$Q$85,14,FALSE)</f>
        <v/>
      </c>
      <c r="P98" s="36">
        <f>VLOOKUP($B90,$B$4:$Q$85,15,FALSE)</f>
        <v/>
      </c>
      <c r="Q98" s="37">
        <f>VLOOKUP($B90,$B$4:$Q$85,16,FALSE)</f>
        <v/>
      </c>
    </row>
    <row r="99" ht="20" customHeight="1">
      <c r="A99" s="34" t="inlineStr">
        <is>
          <t>QNED</t>
        </is>
      </c>
      <c r="B99" s="34" t="inlineStr">
        <is>
          <t>55QNED80</t>
        </is>
      </c>
      <c r="C99" s="35">
        <f>IF(VLOOKUP($B99,$B$4:$Q$93,2,FALSE)=0,"",VLOOKUP($B99,$B$4:$Q$93,2,FALSE))</f>
        <v/>
      </c>
      <c r="D99" s="36">
        <f>VLOOKUP($B91,$B$4:$Q$85,3,FALSE)</f>
        <v/>
      </c>
      <c r="E99" s="36">
        <f>VLOOKUP($B91,$B$4:$Q$85,4,FALSE)</f>
        <v/>
      </c>
      <c r="F99" s="36">
        <f>VLOOKUP($B91,$B$4:$Q$85,5,FALSE)</f>
        <v/>
      </c>
      <c r="G99" s="37">
        <f>VLOOKUP($B91,$B$4:$Q$85,6,FALSE)</f>
        <v/>
      </c>
      <c r="H99" s="35">
        <f>IF(VLOOKUP($B99,$B$4:$Q$93,7,FALSE)=0,"",VLOOKUP($B99,$B$4:$Q$93,7,FALSE))</f>
        <v/>
      </c>
      <c r="I99" s="36">
        <f>VLOOKUP($B91,$B$4:$Q$85,8,FALSE)</f>
        <v/>
      </c>
      <c r="J99" s="36">
        <f>VLOOKUP($B91,$B$4:$Q$85,9,FALSE)</f>
        <v/>
      </c>
      <c r="K99" s="36">
        <f>VLOOKUP($B91,$B$4:$Q$85,10,FALSE)</f>
        <v/>
      </c>
      <c r="L99" s="37">
        <f>VLOOKUP($B91,$B$4:$Q$85,11,FALSE)</f>
        <v/>
      </c>
      <c r="M99" s="35">
        <f>IF(VLOOKUP($B99,$B$4:$Q$93,12,FALSE)=0,"",VLOOKUP($B99,$B$4:$Q$93,12,FALSE))</f>
        <v/>
      </c>
      <c r="N99" s="36">
        <f>VLOOKUP($B91,$B$4:$Q$85,13,FALSE)</f>
        <v/>
      </c>
      <c r="O99" s="36">
        <f>VLOOKUP($B91,$B$4:$Q$85,14,FALSE)</f>
        <v/>
      </c>
      <c r="P99" s="36">
        <f>VLOOKUP($B91,$B$4:$Q$85,15,FALSE)</f>
        <v/>
      </c>
      <c r="Q99" s="37">
        <f>VLOOKUP($B91,$B$4:$Q$85,16,FALSE)</f>
        <v/>
      </c>
    </row>
    <row r="100" ht="20" customHeight="1">
      <c r="A100" s="34" t="inlineStr">
        <is>
          <t>UHD 4K</t>
        </is>
      </c>
      <c r="B100" s="34" t="inlineStr">
        <is>
          <t>55NU85</t>
        </is>
      </c>
      <c r="C100" s="35">
        <f>IF(VLOOKUP($B100,$B$4:$Q$93,2,FALSE)=0,"",VLOOKUP($B100,$B$4:$Q$93,2,FALSE))</f>
        <v/>
      </c>
      <c r="D100" s="36">
        <f>VLOOKUP($B92,$B$4:$Q$85,3,FALSE)</f>
        <v/>
      </c>
      <c r="E100" s="36">
        <f>VLOOKUP($B92,$B$4:$Q$85,4,FALSE)</f>
        <v/>
      </c>
      <c r="F100" s="36">
        <f>VLOOKUP($B92,$B$4:$Q$85,5,FALSE)</f>
        <v/>
      </c>
      <c r="G100" s="37">
        <f>VLOOKUP($B92,$B$4:$Q$85,6,FALSE)</f>
        <v/>
      </c>
      <c r="H100" s="35">
        <f>IF(VLOOKUP($B100,$B$4:$Q$93,7,FALSE)=0,"",VLOOKUP($B100,$B$4:$Q$93,7,FALSE))</f>
        <v/>
      </c>
      <c r="I100" s="36">
        <f>VLOOKUP($B92,$B$4:$Q$85,8,FALSE)</f>
        <v/>
      </c>
      <c r="J100" s="36">
        <f>VLOOKUP($B92,$B$4:$Q$85,9,FALSE)</f>
        <v/>
      </c>
      <c r="K100" s="36">
        <f>VLOOKUP($B92,$B$4:$Q$85,10,FALSE)</f>
        <v/>
      </c>
      <c r="L100" s="37">
        <f>VLOOKUP($B92,$B$4:$Q$85,11,FALSE)</f>
        <v/>
      </c>
      <c r="M100" s="35">
        <f>IF(VLOOKUP($B100,$B$4:$Q$93,12,FALSE)=0,"",VLOOKUP($B100,$B$4:$Q$93,12,FALSE))</f>
        <v/>
      </c>
      <c r="N100" s="36">
        <f>VLOOKUP($B92,$B$4:$Q$85,13,FALSE)</f>
        <v/>
      </c>
      <c r="O100" s="36">
        <f>VLOOKUP($B92,$B$4:$Q$85,14,FALSE)</f>
        <v/>
      </c>
      <c r="P100" s="36">
        <f>VLOOKUP($B92,$B$4:$Q$85,15,FALSE)</f>
        <v/>
      </c>
      <c r="Q100" s="37">
        <f>VLOOKUP($B92,$B$4:$Q$85,16,FALSE)</f>
        <v/>
      </c>
    </row>
    <row r="101"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</row>
    <row r="102" ht="20" customHeight="1">
      <c r="A102" s="34" t="inlineStr">
        <is>
          <t>OLED</t>
        </is>
      </c>
      <c r="B102" s="34" t="inlineStr">
        <is>
          <t>65G6</t>
        </is>
      </c>
      <c r="C102" s="35">
        <f>IF(VLOOKUP($B102,$B$4:$Q$93,2,FALSE)=0,"",VLOOKUP($B102,$B$4:$Q$93,2,FALSE))</f>
        <v/>
      </c>
      <c r="D102" s="36">
        <f>VLOOKUP($B94,$B$4:$Q$85,3,FALSE)</f>
        <v/>
      </c>
      <c r="E102" s="36">
        <f>VLOOKUP($B94,$B$4:$Q$85,4,FALSE)</f>
        <v/>
      </c>
      <c r="F102" s="36">
        <f>VLOOKUP($B94,$B$4:$Q$85,5,FALSE)</f>
        <v/>
      </c>
      <c r="G102" s="37">
        <f>VLOOKUP($B94,$B$4:$Q$85,6,FALSE)</f>
        <v/>
      </c>
      <c r="H102" s="35">
        <f>IF(VLOOKUP($B102,$B$4:$Q$93,7,FALSE)=0,"",VLOOKUP($B102,$B$4:$Q$93,7,FALSE))</f>
        <v/>
      </c>
      <c r="I102" s="36">
        <f>VLOOKUP($B94,$B$4:$Q$85,8,FALSE)</f>
        <v/>
      </c>
      <c r="J102" s="36">
        <f>VLOOKUP($B94,$B$4:$Q$85,9,FALSE)</f>
        <v/>
      </c>
      <c r="K102" s="36">
        <f>VLOOKUP($B94,$B$4:$Q$85,10,FALSE)</f>
        <v/>
      </c>
      <c r="L102" s="37">
        <f>VLOOKUP($B94,$B$4:$Q$85,11,FALSE)</f>
        <v/>
      </c>
      <c r="M102" s="35">
        <f>IF(VLOOKUP($B102,$B$4:$Q$93,12,FALSE)=0,"",VLOOKUP($B102,$B$4:$Q$93,12,FALSE))</f>
        <v/>
      </c>
      <c r="N102" s="36">
        <f>VLOOKUP($B94,$B$4:$Q$85,13,FALSE)</f>
        <v/>
      </c>
      <c r="O102" s="36">
        <f>VLOOKUP($B94,$B$4:$Q$85,14,FALSE)</f>
        <v/>
      </c>
      <c r="P102" s="36">
        <f>VLOOKUP($B94,$B$4:$Q$85,15,FALSE)</f>
        <v/>
      </c>
      <c r="Q102" s="37">
        <f>VLOOKUP($B94,$B$4:$Q$85,16,FALSE)</f>
        <v/>
      </c>
    </row>
    <row r="103" ht="20" customHeight="1">
      <c r="A103" s="34" t="inlineStr">
        <is>
          <t>OLED</t>
        </is>
      </c>
      <c r="B103" s="34" t="inlineStr">
        <is>
          <t>65C6</t>
        </is>
      </c>
      <c r="C103" s="35">
        <f>IF(VLOOKUP($B103,$B$4:$Q$93,2,FALSE)=0,"",VLOOKUP($B103,$B$4:$Q$93,2,FALSE))</f>
        <v/>
      </c>
      <c r="D103" s="36">
        <f>VLOOKUP($B95,$B$4:$Q$85,3,FALSE)</f>
        <v/>
      </c>
      <c r="E103" s="36">
        <f>VLOOKUP($B95,$B$4:$Q$85,4,FALSE)</f>
        <v/>
      </c>
      <c r="F103" s="36">
        <f>VLOOKUP($B95,$B$4:$Q$85,5,FALSE)</f>
        <v/>
      </c>
      <c r="G103" s="37">
        <f>VLOOKUP($B95,$B$4:$Q$85,6,FALSE)</f>
        <v/>
      </c>
      <c r="H103" s="35">
        <f>IF(VLOOKUP($B103,$B$4:$Q$93,7,FALSE)=0,"",VLOOKUP($B103,$B$4:$Q$93,7,FALSE))</f>
        <v/>
      </c>
      <c r="I103" s="36">
        <f>VLOOKUP($B95,$B$4:$Q$85,8,FALSE)</f>
        <v/>
      </c>
      <c r="J103" s="36">
        <f>VLOOKUP($B95,$B$4:$Q$85,9,FALSE)</f>
        <v/>
      </c>
      <c r="K103" s="36">
        <f>VLOOKUP($B95,$B$4:$Q$85,10,FALSE)</f>
        <v/>
      </c>
      <c r="L103" s="37">
        <f>VLOOKUP($B95,$B$4:$Q$85,11,FALSE)</f>
        <v/>
      </c>
      <c r="M103" s="35">
        <f>IF(VLOOKUP($B103,$B$4:$Q$93,12,FALSE)=0,"",VLOOKUP($B103,$B$4:$Q$93,12,FALSE))</f>
        <v/>
      </c>
      <c r="N103" s="36">
        <f>VLOOKUP($B95,$B$4:$Q$85,13,FALSE)</f>
        <v/>
      </c>
      <c r="O103" s="36">
        <f>VLOOKUP($B95,$B$4:$Q$85,14,FALSE)</f>
        <v/>
      </c>
      <c r="P103" s="36">
        <f>VLOOKUP($B95,$B$4:$Q$85,15,FALSE)</f>
        <v/>
      </c>
      <c r="Q103" s="37">
        <f>VLOOKUP($B95,$B$4:$Q$85,16,FALSE)</f>
        <v/>
      </c>
    </row>
    <row r="104" ht="20" customHeight="1">
      <c r="A104" s="34" t="inlineStr">
        <is>
          <t>OLED</t>
        </is>
      </c>
      <c r="B104" s="34" t="inlineStr">
        <is>
          <t>65B6</t>
        </is>
      </c>
      <c r="C104" s="35">
        <f>IF(VLOOKUP($B104,$B$4:$Q$93,2,FALSE)=0,"",VLOOKUP($B104,$B$4:$Q$93,2,FALSE))</f>
        <v/>
      </c>
      <c r="D104" s="36">
        <f>VLOOKUP($B96,$B$4:$Q$85,3,FALSE)</f>
        <v/>
      </c>
      <c r="E104" s="36">
        <f>VLOOKUP($B96,$B$4:$Q$85,4,FALSE)</f>
        <v/>
      </c>
      <c r="F104" s="36">
        <f>VLOOKUP($B96,$B$4:$Q$85,5,FALSE)</f>
        <v/>
      </c>
      <c r="G104" s="37">
        <f>VLOOKUP($B96,$B$4:$Q$85,6,FALSE)</f>
        <v/>
      </c>
      <c r="H104" s="35">
        <f>IF(VLOOKUP($B104,$B$4:$Q$93,7,FALSE)=0,"",VLOOKUP($B104,$B$4:$Q$93,7,FALSE))</f>
        <v/>
      </c>
      <c r="I104" s="36">
        <f>VLOOKUP($B96,$B$4:$Q$85,8,FALSE)</f>
        <v/>
      </c>
      <c r="J104" s="36">
        <f>VLOOKUP($B96,$B$4:$Q$85,9,FALSE)</f>
        <v/>
      </c>
      <c r="K104" s="36">
        <f>VLOOKUP($B96,$B$4:$Q$85,10,FALSE)</f>
        <v/>
      </c>
      <c r="L104" s="37">
        <f>VLOOKUP($B96,$B$4:$Q$85,11,FALSE)</f>
        <v/>
      </c>
      <c r="M104" s="35">
        <f>IF(VLOOKUP($B104,$B$4:$Q$93,12,FALSE)=0,"",VLOOKUP($B104,$B$4:$Q$93,12,FALSE))</f>
        <v/>
      </c>
      <c r="N104" s="36">
        <f>VLOOKUP($B96,$B$4:$Q$85,13,FALSE)</f>
        <v/>
      </c>
      <c r="O104" s="36">
        <f>VLOOKUP($B96,$B$4:$Q$85,14,FALSE)</f>
        <v/>
      </c>
      <c r="P104" s="36">
        <f>VLOOKUP($B96,$B$4:$Q$85,15,FALSE)</f>
        <v/>
      </c>
      <c r="Q104" s="37">
        <f>VLOOKUP($B96,$B$4:$Q$85,16,FALSE)</f>
        <v/>
      </c>
    </row>
    <row r="105" ht="20" customHeight="1">
      <c r="A105" s="34" t="inlineStr">
        <is>
          <t>QNED</t>
        </is>
      </c>
      <c r="B105" s="34" t="inlineStr">
        <is>
          <t>65QNED85</t>
        </is>
      </c>
      <c r="C105" s="35">
        <f>IF(VLOOKUP($B105,$B$4:$Q$93,2,FALSE)=0,"",VLOOKUP($B105,$B$4:$Q$93,2,FALSE))</f>
        <v/>
      </c>
      <c r="D105" s="36">
        <f>VLOOKUP($B97,$B$4:$Q$85,3,FALSE)</f>
        <v/>
      </c>
      <c r="E105" s="36">
        <f>VLOOKUP($B97,$B$4:$Q$85,4,FALSE)</f>
        <v/>
      </c>
      <c r="F105" s="36">
        <f>VLOOKUP($B97,$B$4:$Q$85,5,FALSE)</f>
        <v/>
      </c>
      <c r="G105" s="37">
        <f>VLOOKUP($B97,$B$4:$Q$85,6,FALSE)</f>
        <v/>
      </c>
      <c r="H105" s="35">
        <f>IF(VLOOKUP($B105,$B$4:$Q$93,7,FALSE)=0,"",VLOOKUP($B105,$B$4:$Q$93,7,FALSE))</f>
        <v/>
      </c>
      <c r="I105" s="36">
        <f>VLOOKUP($B97,$B$4:$Q$85,8,FALSE)</f>
        <v/>
      </c>
      <c r="J105" s="36">
        <f>VLOOKUP($B97,$B$4:$Q$85,9,FALSE)</f>
        <v/>
      </c>
      <c r="K105" s="36">
        <f>VLOOKUP($B97,$B$4:$Q$85,10,FALSE)</f>
        <v/>
      </c>
      <c r="L105" s="37">
        <f>VLOOKUP($B97,$B$4:$Q$85,11,FALSE)</f>
        <v/>
      </c>
      <c r="M105" s="35">
        <f>IF(VLOOKUP($B105,$B$4:$Q$93,12,FALSE)=0,"",VLOOKUP($B105,$B$4:$Q$93,12,FALSE))</f>
        <v/>
      </c>
      <c r="N105" s="36">
        <f>VLOOKUP($B97,$B$4:$Q$85,13,FALSE)</f>
        <v/>
      </c>
      <c r="O105" s="36">
        <f>VLOOKUP($B97,$B$4:$Q$85,14,FALSE)</f>
        <v/>
      </c>
      <c r="P105" s="36">
        <f>VLOOKUP($B97,$B$4:$Q$85,15,FALSE)</f>
        <v/>
      </c>
      <c r="Q105" s="37">
        <f>VLOOKUP($B97,$B$4:$Q$85,16,FALSE)</f>
        <v/>
      </c>
    </row>
    <row r="106" ht="20" customHeight="1">
      <c r="A106" s="34" t="inlineStr">
        <is>
          <t>QNED</t>
        </is>
      </c>
      <c r="B106" s="34" t="inlineStr">
        <is>
          <t>65QNED80</t>
        </is>
      </c>
      <c r="C106" s="35">
        <f>IF(VLOOKUP($B106,$B$4:$Q$93,2,FALSE)=0,"",VLOOKUP($B106,$B$4:$Q$93,2,FALSE))</f>
        <v/>
      </c>
      <c r="D106" s="36">
        <f>VLOOKUP($B98,$B$4:$Q$85,3,FALSE)</f>
        <v/>
      </c>
      <c r="E106" s="36">
        <f>VLOOKUP($B98,$B$4:$Q$85,4,FALSE)</f>
        <v/>
      </c>
      <c r="F106" s="36">
        <f>VLOOKUP($B98,$B$4:$Q$85,5,FALSE)</f>
        <v/>
      </c>
      <c r="G106" s="37">
        <f>VLOOKUP($B98,$B$4:$Q$85,6,FALSE)</f>
        <v/>
      </c>
      <c r="H106" s="35">
        <f>IF(VLOOKUP($B106,$B$4:$Q$93,7,FALSE)=0,"",VLOOKUP($B106,$B$4:$Q$93,7,FALSE))</f>
        <v/>
      </c>
      <c r="I106" s="36">
        <f>VLOOKUP($B98,$B$4:$Q$85,8,FALSE)</f>
        <v/>
      </c>
      <c r="J106" s="36">
        <f>VLOOKUP($B98,$B$4:$Q$85,9,FALSE)</f>
        <v/>
      </c>
      <c r="K106" s="36">
        <f>VLOOKUP($B98,$B$4:$Q$85,10,FALSE)</f>
        <v/>
      </c>
      <c r="L106" s="37">
        <f>VLOOKUP($B98,$B$4:$Q$85,11,FALSE)</f>
        <v/>
      </c>
      <c r="M106" s="35">
        <f>IF(VLOOKUP($B106,$B$4:$Q$93,12,FALSE)=0,"",VLOOKUP($B106,$B$4:$Q$93,12,FALSE))</f>
        <v/>
      </c>
      <c r="N106" s="36">
        <f>VLOOKUP($B98,$B$4:$Q$85,13,FALSE)</f>
        <v/>
      </c>
      <c r="O106" s="36">
        <f>VLOOKUP($B98,$B$4:$Q$85,14,FALSE)</f>
        <v/>
      </c>
      <c r="P106" s="36">
        <f>VLOOKUP($B98,$B$4:$Q$85,15,FALSE)</f>
        <v/>
      </c>
      <c r="Q106" s="37">
        <f>VLOOKUP($B98,$B$4:$Q$85,16,FALSE)</f>
        <v/>
      </c>
    </row>
    <row r="107" ht="20" customHeight="1">
      <c r="A107" s="34" t="inlineStr">
        <is>
          <t>UHD 4K</t>
        </is>
      </c>
      <c r="B107" s="34" t="inlineStr">
        <is>
          <t>65NU85</t>
        </is>
      </c>
      <c r="C107" s="35">
        <f>IF(VLOOKUP($B107,$B$4:$Q$93,2,FALSE)=0,"",VLOOKUP($B107,$B$4:$Q$93,2,FALSE))</f>
        <v/>
      </c>
      <c r="D107" s="36">
        <f>VLOOKUP($B99,$B$4:$Q$85,3,FALSE)</f>
        <v/>
      </c>
      <c r="E107" s="36">
        <f>VLOOKUP($B99,$B$4:$Q$85,4,FALSE)</f>
        <v/>
      </c>
      <c r="F107" s="36">
        <f>VLOOKUP($B99,$B$4:$Q$85,5,FALSE)</f>
        <v/>
      </c>
      <c r="G107" s="37">
        <f>VLOOKUP($B99,$B$4:$Q$85,6,FALSE)</f>
        <v/>
      </c>
      <c r="H107" s="35">
        <f>IF(VLOOKUP($B107,$B$4:$Q$93,7,FALSE)=0,"",VLOOKUP($B107,$B$4:$Q$93,7,FALSE))</f>
        <v/>
      </c>
      <c r="I107" s="36">
        <f>VLOOKUP($B99,$B$4:$Q$85,8,FALSE)</f>
        <v/>
      </c>
      <c r="J107" s="36">
        <f>VLOOKUP($B99,$B$4:$Q$85,9,FALSE)</f>
        <v/>
      </c>
      <c r="K107" s="36">
        <f>VLOOKUP($B99,$B$4:$Q$85,10,FALSE)</f>
        <v/>
      </c>
      <c r="L107" s="37">
        <f>VLOOKUP($B99,$B$4:$Q$85,11,FALSE)</f>
        <v/>
      </c>
      <c r="M107" s="35">
        <f>IF(VLOOKUP($B107,$B$4:$Q$93,12,FALSE)=0,"",VLOOKUP($B107,$B$4:$Q$93,12,FALSE))</f>
        <v/>
      </c>
      <c r="N107" s="36">
        <f>VLOOKUP($B99,$B$4:$Q$85,13,FALSE)</f>
        <v/>
      </c>
      <c r="O107" s="36">
        <f>VLOOKUP($B99,$B$4:$Q$85,14,FALSE)</f>
        <v/>
      </c>
      <c r="P107" s="36">
        <f>VLOOKUP($B99,$B$4:$Q$85,15,FALSE)</f>
        <v/>
      </c>
      <c r="Q107" s="37">
        <f>VLOOKUP($B99,$B$4:$Q$85,16,FALSE)</f>
        <v/>
      </c>
    </row>
    <row r="108"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</row>
    <row r="109" ht="20" customHeight="1">
      <c r="A109" s="34" t="inlineStr">
        <is>
          <t>OLED</t>
        </is>
      </c>
      <c r="B109" s="34" t="inlineStr">
        <is>
          <t>77G6</t>
        </is>
      </c>
      <c r="C109" s="35">
        <f>IF(VLOOKUP($B109,$B$4:$Q$93,2,FALSE)=0,"",VLOOKUP($B109,$B$4:$Q$93,2,FALSE))</f>
        <v/>
      </c>
      <c r="D109" s="36">
        <f>VLOOKUP($B101,$B$4:$Q$85,3,FALSE)</f>
        <v/>
      </c>
      <c r="E109" s="36">
        <f>VLOOKUP($B101,$B$4:$Q$85,4,FALSE)</f>
        <v/>
      </c>
      <c r="F109" s="36">
        <f>VLOOKUP($B101,$B$4:$Q$85,5,FALSE)</f>
        <v/>
      </c>
      <c r="G109" s="37">
        <f>VLOOKUP($B101,$B$4:$Q$85,6,FALSE)</f>
        <v/>
      </c>
      <c r="H109" s="35">
        <f>IF(VLOOKUP($B109,$B$4:$Q$93,7,FALSE)=0,"",VLOOKUP($B109,$B$4:$Q$93,7,FALSE))</f>
        <v/>
      </c>
      <c r="I109" s="36">
        <f>VLOOKUP($B101,$B$4:$Q$85,8,FALSE)</f>
        <v/>
      </c>
      <c r="J109" s="36">
        <f>VLOOKUP($B101,$B$4:$Q$85,9,FALSE)</f>
        <v/>
      </c>
      <c r="K109" s="36">
        <f>VLOOKUP($B101,$B$4:$Q$85,10,FALSE)</f>
        <v/>
      </c>
      <c r="L109" s="37">
        <f>VLOOKUP($B101,$B$4:$Q$85,11,FALSE)</f>
        <v/>
      </c>
      <c r="M109" s="35">
        <f>IF(VLOOKUP($B109,$B$4:$Q$93,12,FALSE)=0,"",VLOOKUP($B109,$B$4:$Q$93,12,FALSE))</f>
        <v/>
      </c>
      <c r="N109" s="36">
        <f>VLOOKUP($B101,$B$4:$Q$85,13,FALSE)</f>
        <v/>
      </c>
      <c r="O109" s="36">
        <f>VLOOKUP($B101,$B$4:$Q$85,14,FALSE)</f>
        <v/>
      </c>
      <c r="P109" s="36">
        <f>VLOOKUP($B101,$B$4:$Q$85,15,FALSE)</f>
        <v/>
      </c>
      <c r="Q109" s="37">
        <f>VLOOKUP($B101,$B$4:$Q$85,16,FALSE)</f>
        <v/>
      </c>
    </row>
    <row r="110" ht="20" customHeight="1">
      <c r="A110" s="34" t="inlineStr">
        <is>
          <t>OLED</t>
        </is>
      </c>
      <c r="B110" s="34" t="inlineStr">
        <is>
          <t>77C6</t>
        </is>
      </c>
      <c r="C110" s="35">
        <f>IF(VLOOKUP($B110,$B$4:$Q$93,2,FALSE)=0,"",VLOOKUP($B110,$B$4:$Q$93,2,FALSE))</f>
        <v/>
      </c>
      <c r="D110" s="36">
        <f>VLOOKUP($B102,$B$4:$Q$85,3,FALSE)</f>
        <v/>
      </c>
      <c r="E110" s="36">
        <f>VLOOKUP($B102,$B$4:$Q$85,4,FALSE)</f>
        <v/>
      </c>
      <c r="F110" s="36">
        <f>VLOOKUP($B102,$B$4:$Q$85,5,FALSE)</f>
        <v/>
      </c>
      <c r="G110" s="37">
        <f>VLOOKUP($B102,$B$4:$Q$85,6,FALSE)</f>
        <v/>
      </c>
      <c r="H110" s="35">
        <f>IF(VLOOKUP($B110,$B$4:$Q$93,7,FALSE)=0,"",VLOOKUP($B110,$B$4:$Q$93,7,FALSE))</f>
        <v/>
      </c>
      <c r="I110" s="36">
        <f>VLOOKUP($B102,$B$4:$Q$85,8,FALSE)</f>
        <v/>
      </c>
      <c r="J110" s="36">
        <f>VLOOKUP($B102,$B$4:$Q$85,9,FALSE)</f>
        <v/>
      </c>
      <c r="K110" s="36">
        <f>VLOOKUP($B102,$B$4:$Q$85,10,FALSE)</f>
        <v/>
      </c>
      <c r="L110" s="37">
        <f>VLOOKUP($B102,$B$4:$Q$85,11,FALSE)</f>
        <v/>
      </c>
      <c r="M110" s="35">
        <f>IF(VLOOKUP($B110,$B$4:$Q$93,12,FALSE)=0,"",VLOOKUP($B110,$B$4:$Q$93,12,FALSE))</f>
        <v/>
      </c>
      <c r="N110" s="36">
        <f>VLOOKUP($B102,$B$4:$Q$85,13,FALSE)</f>
        <v/>
      </c>
      <c r="O110" s="36">
        <f>VLOOKUP($B102,$B$4:$Q$85,14,FALSE)</f>
        <v/>
      </c>
      <c r="P110" s="36">
        <f>VLOOKUP($B102,$B$4:$Q$85,15,FALSE)</f>
        <v/>
      </c>
      <c r="Q110" s="37">
        <f>VLOOKUP($B102,$B$4:$Q$85,16,FALSE)</f>
        <v/>
      </c>
    </row>
    <row r="111" ht="20" customHeight="1">
      <c r="A111" s="34" t="inlineStr">
        <is>
          <t>OLED</t>
        </is>
      </c>
      <c r="B111" s="34" t="inlineStr">
        <is>
          <t>77B6</t>
        </is>
      </c>
      <c r="C111" s="35">
        <f>IF(VLOOKUP($B111,$B$4:$Q$93,2,FALSE)=0,"",VLOOKUP($B111,$B$4:$Q$93,2,FALSE))</f>
        <v/>
      </c>
      <c r="D111" s="36">
        <f>VLOOKUP($B103,$B$4:$Q$85,3,FALSE)</f>
        <v/>
      </c>
      <c r="E111" s="36">
        <f>VLOOKUP($B103,$B$4:$Q$85,4,FALSE)</f>
        <v/>
      </c>
      <c r="F111" s="36">
        <f>VLOOKUP($B103,$B$4:$Q$85,5,FALSE)</f>
        <v/>
      </c>
      <c r="G111" s="37">
        <f>VLOOKUP($B103,$B$4:$Q$85,6,FALSE)</f>
        <v/>
      </c>
      <c r="H111" s="35">
        <f>IF(VLOOKUP($B111,$B$4:$Q$93,7,FALSE)=0,"",VLOOKUP($B111,$B$4:$Q$93,7,FALSE))</f>
        <v/>
      </c>
      <c r="I111" s="36">
        <f>VLOOKUP($B103,$B$4:$Q$85,8,FALSE)</f>
        <v/>
      </c>
      <c r="J111" s="36">
        <f>VLOOKUP($B103,$B$4:$Q$85,9,FALSE)</f>
        <v/>
      </c>
      <c r="K111" s="36">
        <f>VLOOKUP($B103,$B$4:$Q$85,10,FALSE)</f>
        <v/>
      </c>
      <c r="L111" s="37">
        <f>VLOOKUP($B103,$B$4:$Q$85,11,FALSE)</f>
        <v/>
      </c>
      <c r="M111" s="35">
        <f>IF(VLOOKUP($B111,$B$4:$Q$93,12,FALSE)=0,"",VLOOKUP($B111,$B$4:$Q$93,12,FALSE))</f>
        <v/>
      </c>
      <c r="N111" s="36">
        <f>VLOOKUP($B103,$B$4:$Q$85,13,FALSE)</f>
        <v/>
      </c>
      <c r="O111" s="36">
        <f>VLOOKUP($B103,$B$4:$Q$85,14,FALSE)</f>
        <v/>
      </c>
      <c r="P111" s="36">
        <f>VLOOKUP($B103,$B$4:$Q$85,15,FALSE)</f>
        <v/>
      </c>
      <c r="Q111" s="37">
        <f>VLOOKUP($B103,$B$4:$Q$85,16,FALSE)</f>
        <v/>
      </c>
    </row>
    <row r="112" ht="20" customHeight="1">
      <c r="A112" s="34" t="inlineStr">
        <is>
          <t>QNED</t>
        </is>
      </c>
      <c r="B112" s="34" t="inlineStr">
        <is>
          <t>75QNED85</t>
        </is>
      </c>
      <c r="C112" s="35">
        <f>IF(VLOOKUP($B112,$B$4:$Q$93,2,FALSE)=0,"",VLOOKUP($B112,$B$4:$Q$93,2,FALSE))</f>
        <v/>
      </c>
      <c r="D112" s="36">
        <f>VLOOKUP($B104,$B$4:$Q$85,3,FALSE)</f>
        <v/>
      </c>
      <c r="E112" s="36">
        <f>VLOOKUP($B104,$B$4:$Q$85,4,FALSE)</f>
        <v/>
      </c>
      <c r="F112" s="36">
        <f>VLOOKUP($B104,$B$4:$Q$85,5,FALSE)</f>
        <v/>
      </c>
      <c r="G112" s="37">
        <f>VLOOKUP($B104,$B$4:$Q$85,6,FALSE)</f>
        <v/>
      </c>
      <c r="H112" s="35">
        <f>IF(VLOOKUP($B112,$B$4:$Q$93,7,FALSE)=0,"",VLOOKUP($B112,$B$4:$Q$93,7,FALSE))</f>
        <v/>
      </c>
      <c r="I112" s="36">
        <f>VLOOKUP($B104,$B$4:$Q$85,8,FALSE)</f>
        <v/>
      </c>
      <c r="J112" s="36">
        <f>VLOOKUP($B104,$B$4:$Q$85,9,FALSE)</f>
        <v/>
      </c>
      <c r="K112" s="36">
        <f>VLOOKUP($B104,$B$4:$Q$85,10,FALSE)</f>
        <v/>
      </c>
      <c r="L112" s="37">
        <f>VLOOKUP($B104,$B$4:$Q$85,11,FALSE)</f>
        <v/>
      </c>
      <c r="M112" s="35">
        <f>IF(VLOOKUP($B112,$B$4:$Q$93,12,FALSE)=0,"",VLOOKUP($B112,$B$4:$Q$93,12,FALSE))</f>
        <v/>
      </c>
      <c r="N112" s="36">
        <f>VLOOKUP($B104,$B$4:$Q$85,13,FALSE)</f>
        <v/>
      </c>
      <c r="O112" s="36">
        <f>VLOOKUP($B104,$B$4:$Q$85,14,FALSE)</f>
        <v/>
      </c>
      <c r="P112" s="36">
        <f>VLOOKUP($B104,$B$4:$Q$85,15,FALSE)</f>
        <v/>
      </c>
      <c r="Q112" s="37">
        <f>VLOOKUP($B104,$B$4:$Q$85,16,FALSE)</f>
        <v/>
      </c>
    </row>
    <row r="113" ht="20" customHeight="1">
      <c r="A113" s="34" t="inlineStr">
        <is>
          <t>QNED</t>
        </is>
      </c>
      <c r="B113" s="34" t="inlineStr">
        <is>
          <t>75QNED80</t>
        </is>
      </c>
      <c r="C113" s="35">
        <f>IF(VLOOKUP($B113,$B$4:$Q$93,2,FALSE)=0,"",VLOOKUP($B113,$B$4:$Q$93,2,FALSE))</f>
        <v/>
      </c>
      <c r="D113" s="36">
        <f>VLOOKUP($B105,$B$4:$Q$85,3,FALSE)</f>
        <v/>
      </c>
      <c r="E113" s="36">
        <f>VLOOKUP($B105,$B$4:$Q$85,4,FALSE)</f>
        <v/>
      </c>
      <c r="F113" s="36">
        <f>VLOOKUP($B105,$B$4:$Q$85,5,FALSE)</f>
        <v/>
      </c>
      <c r="G113" s="37">
        <f>VLOOKUP($B105,$B$4:$Q$85,6,FALSE)</f>
        <v/>
      </c>
      <c r="H113" s="35">
        <f>IF(VLOOKUP($B113,$B$4:$Q$93,7,FALSE)=0,"",VLOOKUP($B113,$B$4:$Q$93,7,FALSE))</f>
        <v/>
      </c>
      <c r="I113" s="36">
        <f>VLOOKUP($B105,$B$4:$Q$85,8,FALSE)</f>
        <v/>
      </c>
      <c r="J113" s="36">
        <f>VLOOKUP($B105,$B$4:$Q$85,9,FALSE)</f>
        <v/>
      </c>
      <c r="K113" s="36">
        <f>VLOOKUP($B105,$B$4:$Q$85,10,FALSE)</f>
        <v/>
      </c>
      <c r="L113" s="37">
        <f>VLOOKUP($B105,$B$4:$Q$85,11,FALSE)</f>
        <v/>
      </c>
      <c r="M113" s="35">
        <f>IF(VLOOKUP($B113,$B$4:$Q$93,12,FALSE)=0,"",VLOOKUP($B113,$B$4:$Q$93,12,FALSE))</f>
        <v/>
      </c>
      <c r="N113" s="36">
        <f>VLOOKUP($B105,$B$4:$Q$85,13,FALSE)</f>
        <v/>
      </c>
      <c r="O113" s="36">
        <f>VLOOKUP($B105,$B$4:$Q$85,14,FALSE)</f>
        <v/>
      </c>
      <c r="P113" s="36">
        <f>VLOOKUP($B105,$B$4:$Q$85,15,FALSE)</f>
        <v/>
      </c>
      <c r="Q113" s="37">
        <f>VLOOKUP($B105,$B$4:$Q$85,16,FALSE)</f>
        <v/>
      </c>
    </row>
    <row r="114" ht="20" customHeight="1">
      <c r="A114" s="34" t="inlineStr">
        <is>
          <t>UHD 4K</t>
        </is>
      </c>
      <c r="B114" s="34" t="inlineStr">
        <is>
          <t>75NU85</t>
        </is>
      </c>
      <c r="C114" s="35">
        <f>IF(VLOOKUP($B114,$B$4:$Q$93,2,FALSE)=0,"",VLOOKUP($B114,$B$4:$Q$93,2,FALSE))</f>
        <v/>
      </c>
      <c r="D114" s="36">
        <f>VLOOKUP($B106,$B$4:$Q$85,3,FALSE)</f>
        <v/>
      </c>
      <c r="E114" s="36">
        <f>VLOOKUP($B106,$B$4:$Q$85,4,FALSE)</f>
        <v/>
      </c>
      <c r="F114" s="36">
        <f>VLOOKUP($B106,$B$4:$Q$85,5,FALSE)</f>
        <v/>
      </c>
      <c r="G114" s="37">
        <f>VLOOKUP($B106,$B$4:$Q$85,6,FALSE)</f>
        <v/>
      </c>
      <c r="H114" s="35">
        <f>IF(VLOOKUP($B114,$B$4:$Q$93,7,FALSE)=0,"",VLOOKUP($B114,$B$4:$Q$93,7,FALSE))</f>
        <v/>
      </c>
      <c r="I114" s="36">
        <f>VLOOKUP($B106,$B$4:$Q$85,8,FALSE)</f>
        <v/>
      </c>
      <c r="J114" s="36">
        <f>VLOOKUP($B106,$B$4:$Q$85,9,FALSE)</f>
        <v/>
      </c>
      <c r="K114" s="36">
        <f>VLOOKUP($B106,$B$4:$Q$85,10,FALSE)</f>
        <v/>
      </c>
      <c r="L114" s="37">
        <f>VLOOKUP($B106,$B$4:$Q$85,11,FALSE)</f>
        <v/>
      </c>
      <c r="M114" s="35">
        <f>IF(VLOOKUP($B114,$B$4:$Q$93,12,FALSE)=0,"",VLOOKUP($B114,$B$4:$Q$93,12,FALSE))</f>
        <v/>
      </c>
      <c r="N114" s="36">
        <f>VLOOKUP($B106,$B$4:$Q$85,13,FALSE)</f>
        <v/>
      </c>
      <c r="O114" s="36">
        <f>VLOOKUP($B106,$B$4:$Q$85,14,FALSE)</f>
        <v/>
      </c>
      <c r="P114" s="36">
        <f>VLOOKUP($B106,$B$4:$Q$85,15,FALSE)</f>
        <v/>
      </c>
      <c r="Q114" s="37">
        <f>VLOOKUP($B106,$B$4:$Q$85,16,FALSE)</f>
        <v/>
      </c>
    </row>
    <row r="115"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</row>
    <row r="116" ht="20" customHeight="1">
      <c r="A116" s="39" t="inlineStr">
        <is>
          <t>OLED</t>
        </is>
      </c>
      <c r="B116" s="39" t="inlineStr">
        <is>
          <t>55S99H</t>
        </is>
      </c>
      <c r="C116" s="40">
        <f>IF(VLOOKUP($B116,$B$4:$Q$93,2,FALSE)=0,"",VLOOKUP($B116,$B$4:$Q$93,2,FALSE))</f>
        <v/>
      </c>
      <c r="D116" s="41">
        <f>VLOOKUP($B108,$B$4:$Q$85,3,FALSE)</f>
        <v/>
      </c>
      <c r="E116" s="41">
        <f>VLOOKUP($B108,$B$4:$Q$85,4,FALSE)</f>
        <v/>
      </c>
      <c r="F116" s="41">
        <f>VLOOKUP($B108,$B$4:$Q$85,5,FALSE)</f>
        <v/>
      </c>
      <c r="G116" s="42" t="inlineStr"/>
      <c r="H116" s="40">
        <f>IF(VLOOKUP($B116,$B$4:$Q$93,7,FALSE)=0,"",VLOOKUP($B116,$B$4:$Q$93,7,FALSE))</f>
        <v/>
      </c>
      <c r="I116" s="41">
        <f>VLOOKUP($B108,$B$4:$Q$85,8,FALSE)</f>
        <v/>
      </c>
      <c r="J116" s="41">
        <f>VLOOKUP($B108,$B$4:$Q$85,9,FALSE)</f>
        <v/>
      </c>
      <c r="K116" s="41">
        <f>VLOOKUP($B108,$B$4:$Q$85,10,FALSE)</f>
        <v/>
      </c>
      <c r="L116" s="42" t="inlineStr"/>
      <c r="M116" s="40">
        <f>IF(VLOOKUP($B116,$B$4:$Q$93,12,FALSE)=0,"",VLOOKUP($B116,$B$4:$Q$93,12,FALSE))</f>
        <v/>
      </c>
      <c r="N116" s="41">
        <f>VLOOKUP($B108,$B$4:$Q$85,13,FALSE)</f>
        <v/>
      </c>
      <c r="O116" s="41">
        <f>VLOOKUP($B108,$B$4:$Q$85,14,FALSE)</f>
        <v/>
      </c>
      <c r="P116" s="41">
        <f>VLOOKUP($B108,$B$4:$Q$85,15,FALSE)</f>
        <v/>
      </c>
      <c r="Q116" s="42" t="inlineStr"/>
    </row>
    <row r="117" ht="20" customHeight="1">
      <c r="A117" s="39" t="inlineStr">
        <is>
          <t>OLED</t>
        </is>
      </c>
      <c r="B117" s="39" t="inlineStr">
        <is>
          <t>55S95H</t>
        </is>
      </c>
      <c r="C117" s="40">
        <f>IF(VLOOKUP($B117,$B$4:$Q$93,2,FALSE)=0,"",VLOOKUP($B117,$B$4:$Q$93,2,FALSE))</f>
        <v/>
      </c>
      <c r="D117" s="41">
        <f>VLOOKUP($B109,$B$4:$Q$85,3,FALSE)</f>
        <v/>
      </c>
      <c r="E117" s="41">
        <f>VLOOKUP($B109,$B$4:$Q$85,4,FALSE)</f>
        <v/>
      </c>
      <c r="F117" s="41">
        <f>VLOOKUP($B109,$B$4:$Q$85,5,FALSE)</f>
        <v/>
      </c>
      <c r="G117" s="42" t="inlineStr"/>
      <c r="H117" s="40">
        <f>IF(VLOOKUP($B117,$B$4:$Q$93,7,FALSE)=0,"",VLOOKUP($B117,$B$4:$Q$93,7,FALSE))</f>
        <v/>
      </c>
      <c r="I117" s="41">
        <f>VLOOKUP($B109,$B$4:$Q$85,8,FALSE)</f>
        <v/>
      </c>
      <c r="J117" s="41">
        <f>VLOOKUP($B109,$B$4:$Q$85,9,FALSE)</f>
        <v/>
      </c>
      <c r="K117" s="41">
        <f>VLOOKUP($B109,$B$4:$Q$85,10,FALSE)</f>
        <v/>
      </c>
      <c r="L117" s="42" t="inlineStr"/>
      <c r="M117" s="40">
        <f>IF(VLOOKUP($B117,$B$4:$Q$93,12,FALSE)=0,"",VLOOKUP($B117,$B$4:$Q$93,12,FALSE))</f>
        <v/>
      </c>
      <c r="N117" s="41">
        <f>VLOOKUP($B109,$B$4:$Q$85,13,FALSE)</f>
        <v/>
      </c>
      <c r="O117" s="41">
        <f>VLOOKUP($B109,$B$4:$Q$85,14,FALSE)</f>
        <v/>
      </c>
      <c r="P117" s="41">
        <f>VLOOKUP($B109,$B$4:$Q$85,15,FALSE)</f>
        <v/>
      </c>
      <c r="Q117" s="42" t="inlineStr"/>
    </row>
    <row r="118" ht="20" customHeight="1">
      <c r="A118" s="39" t="inlineStr">
        <is>
          <t>OLED</t>
        </is>
      </c>
      <c r="B118" s="39" t="inlineStr">
        <is>
          <t>55S90H</t>
        </is>
      </c>
      <c r="C118" s="40">
        <f>IF(VLOOKUP($B118,$B$4:$Q$93,2,FALSE)=0,"",VLOOKUP($B118,$B$4:$Q$93,2,FALSE))</f>
        <v/>
      </c>
      <c r="D118" s="41">
        <f>VLOOKUP($B110,$B$4:$Q$85,3,FALSE)</f>
        <v/>
      </c>
      <c r="E118" s="41">
        <f>VLOOKUP($B110,$B$4:$Q$85,4,FALSE)</f>
        <v/>
      </c>
      <c r="F118" s="41">
        <f>VLOOKUP($B110,$B$4:$Q$85,5,FALSE)</f>
        <v/>
      </c>
      <c r="G118" s="42" t="inlineStr"/>
      <c r="H118" s="40">
        <f>IF(VLOOKUP($B118,$B$4:$Q$93,7,FALSE)=0,"",VLOOKUP($B118,$B$4:$Q$93,7,FALSE))</f>
        <v/>
      </c>
      <c r="I118" s="41">
        <f>VLOOKUP($B110,$B$4:$Q$85,8,FALSE)</f>
        <v/>
      </c>
      <c r="J118" s="41">
        <f>VLOOKUP($B110,$B$4:$Q$85,9,FALSE)</f>
        <v/>
      </c>
      <c r="K118" s="41">
        <f>VLOOKUP($B110,$B$4:$Q$85,10,FALSE)</f>
        <v/>
      </c>
      <c r="L118" s="42" t="inlineStr"/>
      <c r="M118" s="40">
        <f>IF(VLOOKUP($B118,$B$4:$Q$93,12,FALSE)=0,"",VLOOKUP($B118,$B$4:$Q$93,12,FALSE))</f>
        <v/>
      </c>
      <c r="N118" s="41">
        <f>VLOOKUP($B110,$B$4:$Q$85,13,FALSE)</f>
        <v/>
      </c>
      <c r="O118" s="41">
        <f>VLOOKUP($B110,$B$4:$Q$85,14,FALSE)</f>
        <v/>
      </c>
      <c r="P118" s="41">
        <f>VLOOKUP($B110,$B$4:$Q$85,15,FALSE)</f>
        <v/>
      </c>
      <c r="Q118" s="42" t="inlineStr"/>
    </row>
    <row r="119" ht="20" customHeight="1">
      <c r="A119" s="39" t="inlineStr">
        <is>
          <t>OLED</t>
        </is>
      </c>
      <c r="B119" s="39" t="inlineStr">
        <is>
          <t>55S85H</t>
        </is>
      </c>
      <c r="C119" s="40">
        <f>IF(VLOOKUP($B119,$B$4:$Q$93,2,FALSE)=0,"",VLOOKUP($B119,$B$4:$Q$93,2,FALSE))</f>
        <v/>
      </c>
      <c r="D119" s="41">
        <f>VLOOKUP($B111,$B$4:$Q$85,3,FALSE)</f>
        <v/>
      </c>
      <c r="E119" s="41">
        <f>VLOOKUP($B111,$B$4:$Q$85,4,FALSE)</f>
        <v/>
      </c>
      <c r="F119" s="41">
        <f>VLOOKUP($B111,$B$4:$Q$85,5,FALSE)</f>
        <v/>
      </c>
      <c r="G119" s="42" t="inlineStr"/>
      <c r="H119" s="40">
        <f>IF(VLOOKUP($B119,$B$4:$Q$93,7,FALSE)=0,"",VLOOKUP($B119,$B$4:$Q$93,7,FALSE))</f>
        <v/>
      </c>
      <c r="I119" s="41">
        <f>VLOOKUP($B111,$B$4:$Q$85,8,FALSE)</f>
        <v/>
      </c>
      <c r="J119" s="41">
        <f>VLOOKUP($B111,$B$4:$Q$85,9,FALSE)</f>
        <v/>
      </c>
      <c r="K119" s="41">
        <f>VLOOKUP($B111,$B$4:$Q$85,10,FALSE)</f>
        <v/>
      </c>
      <c r="L119" s="42" t="inlineStr"/>
      <c r="M119" s="40">
        <f>IF(VLOOKUP($B119,$B$4:$Q$93,12,FALSE)=0,"",VLOOKUP($B119,$B$4:$Q$93,12,FALSE))</f>
        <v/>
      </c>
      <c r="N119" s="41">
        <f>VLOOKUP($B111,$B$4:$Q$85,13,FALSE)</f>
        <v/>
      </c>
      <c r="O119" s="41">
        <f>VLOOKUP($B111,$B$4:$Q$85,14,FALSE)</f>
        <v/>
      </c>
      <c r="P119" s="41">
        <f>VLOOKUP($B111,$B$4:$Q$85,15,FALSE)</f>
        <v/>
      </c>
      <c r="Q119" s="42" t="inlineStr"/>
    </row>
    <row r="120" ht="20" customHeight="1">
      <c r="A120" s="39" t="inlineStr">
        <is>
          <t>QLED</t>
        </is>
      </c>
      <c r="B120" s="39" t="inlineStr">
        <is>
          <t>55QN70H</t>
        </is>
      </c>
      <c r="C120" s="40">
        <f>IF(VLOOKUP($B120,$B$4:$Q$93,2,FALSE)=0,"",VLOOKUP($B120,$B$4:$Q$93,2,FALSE))</f>
        <v/>
      </c>
      <c r="D120" s="41">
        <f>VLOOKUP($B112,$B$4:$Q$85,3,FALSE)</f>
        <v/>
      </c>
      <c r="E120" s="41">
        <f>VLOOKUP($B112,$B$4:$Q$85,4,FALSE)</f>
        <v/>
      </c>
      <c r="F120" s="41">
        <f>VLOOKUP($B112,$B$4:$Q$85,5,FALSE)</f>
        <v/>
      </c>
      <c r="G120" s="42" t="inlineStr"/>
      <c r="H120" s="40">
        <f>IF(VLOOKUP($B120,$B$4:$Q$93,7,FALSE)=0,"",VLOOKUP($B120,$B$4:$Q$93,7,FALSE))</f>
        <v/>
      </c>
      <c r="I120" s="41">
        <f>VLOOKUP($B112,$B$4:$Q$85,8,FALSE)</f>
        <v/>
      </c>
      <c r="J120" s="41">
        <f>VLOOKUP($B112,$B$4:$Q$85,9,FALSE)</f>
        <v/>
      </c>
      <c r="K120" s="41">
        <f>VLOOKUP($B112,$B$4:$Q$85,10,FALSE)</f>
        <v/>
      </c>
      <c r="L120" s="42" t="inlineStr"/>
      <c r="M120" s="40">
        <f>IF(VLOOKUP($B120,$B$4:$Q$93,12,FALSE)=0,"",VLOOKUP($B120,$B$4:$Q$93,12,FALSE))</f>
        <v/>
      </c>
      <c r="N120" s="41">
        <f>VLOOKUP($B112,$B$4:$Q$85,13,FALSE)</f>
        <v/>
      </c>
      <c r="O120" s="41">
        <f>VLOOKUP($B112,$B$4:$Q$85,14,FALSE)</f>
        <v/>
      </c>
      <c r="P120" s="41">
        <f>VLOOKUP($B112,$B$4:$Q$85,15,FALSE)</f>
        <v/>
      </c>
      <c r="Q120" s="42" t="inlineStr"/>
    </row>
    <row r="121" ht="20" customHeight="1">
      <c r="A121" s="39" t="inlineStr">
        <is>
          <t>QLED</t>
        </is>
      </c>
      <c r="B121" s="39" t="inlineStr">
        <is>
          <t>55Q8H</t>
        </is>
      </c>
      <c r="C121" s="40">
        <f>IF(VLOOKUP($B121,$B$4:$Q$93,2,FALSE)=0,"",VLOOKUP($B121,$B$4:$Q$93,2,FALSE))</f>
        <v/>
      </c>
      <c r="D121" s="41">
        <f>VLOOKUP($B113,$B$4:$Q$85,3,FALSE)</f>
        <v/>
      </c>
      <c r="E121" s="41">
        <f>VLOOKUP($B113,$B$4:$Q$85,4,FALSE)</f>
        <v/>
      </c>
      <c r="F121" s="41">
        <f>VLOOKUP($B113,$B$4:$Q$85,5,FALSE)</f>
        <v/>
      </c>
      <c r="G121" s="42" t="inlineStr"/>
      <c r="H121" s="40">
        <f>IF(VLOOKUP($B121,$B$4:$Q$93,7,FALSE)=0,"",VLOOKUP($B121,$B$4:$Q$93,7,FALSE))</f>
        <v/>
      </c>
      <c r="I121" s="41">
        <f>VLOOKUP($B113,$B$4:$Q$85,8,FALSE)</f>
        <v/>
      </c>
      <c r="J121" s="41">
        <f>VLOOKUP($B113,$B$4:$Q$85,9,FALSE)</f>
        <v/>
      </c>
      <c r="K121" s="41">
        <f>VLOOKUP($B113,$B$4:$Q$85,10,FALSE)</f>
        <v/>
      </c>
      <c r="L121" s="42" t="inlineStr"/>
      <c r="M121" s="40">
        <f>IF(VLOOKUP($B121,$B$4:$Q$93,12,FALSE)=0,"",VLOOKUP($B121,$B$4:$Q$93,12,FALSE))</f>
        <v/>
      </c>
      <c r="N121" s="41">
        <f>VLOOKUP($B113,$B$4:$Q$85,13,FALSE)</f>
        <v/>
      </c>
      <c r="O121" s="41">
        <f>VLOOKUP($B113,$B$4:$Q$85,14,FALSE)</f>
        <v/>
      </c>
      <c r="P121" s="41">
        <f>VLOOKUP($B113,$B$4:$Q$85,15,FALSE)</f>
        <v/>
      </c>
      <c r="Q121" s="42" t="inlineStr"/>
    </row>
    <row r="122" ht="20" customHeight="1">
      <c r="A122" s="39" t="inlineStr">
        <is>
          <t>QLED</t>
        </is>
      </c>
      <c r="B122" s="39" t="inlineStr">
        <is>
          <t>55Q7H</t>
        </is>
      </c>
      <c r="C122" s="40">
        <f>IF(VLOOKUP($B122,$B$4:$Q$93,2,FALSE)=0,"",VLOOKUP($B122,$B$4:$Q$93,2,FALSE))</f>
        <v/>
      </c>
      <c r="D122" s="41">
        <f>VLOOKUP($B114,$B$4:$Q$85,3,FALSE)</f>
        <v/>
      </c>
      <c r="E122" s="41">
        <f>VLOOKUP($B114,$B$4:$Q$85,4,FALSE)</f>
        <v/>
      </c>
      <c r="F122" s="41">
        <f>VLOOKUP($B114,$B$4:$Q$85,5,FALSE)</f>
        <v/>
      </c>
      <c r="G122" s="42" t="inlineStr"/>
      <c r="H122" s="40">
        <f>IF(VLOOKUP($B122,$B$4:$Q$93,7,FALSE)=0,"",VLOOKUP($B122,$B$4:$Q$93,7,FALSE))</f>
        <v/>
      </c>
      <c r="I122" s="41">
        <f>VLOOKUP($B114,$B$4:$Q$85,8,FALSE)</f>
        <v/>
      </c>
      <c r="J122" s="41">
        <f>VLOOKUP($B114,$B$4:$Q$85,9,FALSE)</f>
        <v/>
      </c>
      <c r="K122" s="41">
        <f>VLOOKUP($B114,$B$4:$Q$85,10,FALSE)</f>
        <v/>
      </c>
      <c r="L122" s="42" t="inlineStr"/>
      <c r="M122" s="40">
        <f>IF(VLOOKUP($B122,$B$4:$Q$93,12,FALSE)=0,"",VLOOKUP($B122,$B$4:$Q$93,12,FALSE))</f>
        <v/>
      </c>
      <c r="N122" s="41">
        <f>VLOOKUP($B114,$B$4:$Q$85,13,FALSE)</f>
        <v/>
      </c>
      <c r="O122" s="41">
        <f>VLOOKUP($B114,$B$4:$Q$85,14,FALSE)</f>
        <v/>
      </c>
      <c r="P122" s="41">
        <f>VLOOKUP($B114,$B$4:$Q$85,15,FALSE)</f>
        <v/>
      </c>
      <c r="Q122" s="42" t="inlineStr"/>
    </row>
    <row r="123" ht="20" customHeight="1">
      <c r="A123" s="39" t="inlineStr">
        <is>
          <t>UHD 4K</t>
        </is>
      </c>
      <c r="B123" s="39" t="inlineStr">
        <is>
          <t>55U8000H</t>
        </is>
      </c>
      <c r="C123" s="40">
        <f>IF(VLOOKUP($B123,$B$4:$Q$93,2,FALSE)=0,"",VLOOKUP($B123,$B$4:$Q$93,2,FALSE))</f>
        <v/>
      </c>
      <c r="D123" s="41">
        <f>VLOOKUP($B115,$B$4:$Q$85,3,FALSE)</f>
        <v/>
      </c>
      <c r="E123" s="41">
        <f>VLOOKUP($B115,$B$4:$Q$85,4,FALSE)</f>
        <v/>
      </c>
      <c r="F123" s="41">
        <f>VLOOKUP($B115,$B$4:$Q$85,5,FALSE)</f>
        <v/>
      </c>
      <c r="G123" s="42" t="inlineStr"/>
      <c r="H123" s="40">
        <f>IF(VLOOKUP($B123,$B$4:$Q$93,7,FALSE)=0,"",VLOOKUP($B123,$B$4:$Q$93,7,FALSE))</f>
        <v/>
      </c>
      <c r="I123" s="41">
        <f>VLOOKUP($B115,$B$4:$Q$85,8,FALSE)</f>
        <v/>
      </c>
      <c r="J123" s="41">
        <f>VLOOKUP($B115,$B$4:$Q$85,9,FALSE)</f>
        <v/>
      </c>
      <c r="K123" s="41">
        <f>VLOOKUP($B115,$B$4:$Q$85,10,FALSE)</f>
        <v/>
      </c>
      <c r="L123" s="42" t="inlineStr"/>
      <c r="M123" s="40">
        <f>IF(VLOOKUP($B123,$B$4:$Q$93,12,FALSE)=0,"",VLOOKUP($B123,$B$4:$Q$93,12,FALSE))</f>
        <v/>
      </c>
      <c r="N123" s="41">
        <f>VLOOKUP($B115,$B$4:$Q$85,13,FALSE)</f>
        <v/>
      </c>
      <c r="O123" s="41">
        <f>VLOOKUP($B115,$B$4:$Q$85,14,FALSE)</f>
        <v/>
      </c>
      <c r="P123" s="41">
        <f>VLOOKUP($B115,$B$4:$Q$85,15,FALSE)</f>
        <v/>
      </c>
      <c r="Q123" s="42" t="inlineStr"/>
    </row>
    <row r="124"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</row>
    <row r="125" ht="20" customHeight="1">
      <c r="A125" s="39" t="inlineStr">
        <is>
          <t>OLED</t>
        </is>
      </c>
      <c r="B125" s="39" t="inlineStr">
        <is>
          <t>65S99H</t>
        </is>
      </c>
      <c r="C125" s="40">
        <f>IF(VLOOKUP($B125,$B$4:$Q$93,2,FALSE)=0,"",VLOOKUP($B125,$B$4:$Q$93,2,FALSE))</f>
        <v/>
      </c>
      <c r="D125" s="41">
        <f>VLOOKUP($B117,$B$4:$Q$85,3,FALSE)</f>
        <v/>
      </c>
      <c r="E125" s="41">
        <f>VLOOKUP($B117,$B$4:$Q$85,4,FALSE)</f>
        <v/>
      </c>
      <c r="F125" s="41">
        <f>VLOOKUP($B117,$B$4:$Q$85,5,FALSE)</f>
        <v/>
      </c>
      <c r="G125" s="42" t="inlineStr"/>
      <c r="H125" s="40">
        <f>IF(VLOOKUP($B125,$B$4:$Q$93,7,FALSE)=0,"",VLOOKUP($B125,$B$4:$Q$93,7,FALSE))</f>
        <v/>
      </c>
      <c r="I125" s="41">
        <f>VLOOKUP($B117,$B$4:$Q$85,8,FALSE)</f>
        <v/>
      </c>
      <c r="J125" s="41">
        <f>VLOOKUP($B117,$B$4:$Q$85,9,FALSE)</f>
        <v/>
      </c>
      <c r="K125" s="41">
        <f>VLOOKUP($B117,$B$4:$Q$85,10,FALSE)</f>
        <v/>
      </c>
      <c r="L125" s="42" t="inlineStr"/>
      <c r="M125" s="40">
        <f>IF(VLOOKUP($B125,$B$4:$Q$93,12,FALSE)=0,"",VLOOKUP($B125,$B$4:$Q$93,12,FALSE))</f>
        <v/>
      </c>
      <c r="N125" s="41">
        <f>VLOOKUP($B117,$B$4:$Q$85,13,FALSE)</f>
        <v/>
      </c>
      <c r="O125" s="41">
        <f>VLOOKUP($B117,$B$4:$Q$85,14,FALSE)</f>
        <v/>
      </c>
      <c r="P125" s="41">
        <f>VLOOKUP($B117,$B$4:$Q$85,15,FALSE)</f>
        <v/>
      </c>
      <c r="Q125" s="42" t="inlineStr"/>
    </row>
    <row r="126" ht="20" customHeight="1">
      <c r="A126" s="39" t="inlineStr">
        <is>
          <t>OLED</t>
        </is>
      </c>
      <c r="B126" s="39" t="inlineStr">
        <is>
          <t>65S95H</t>
        </is>
      </c>
      <c r="C126" s="40">
        <f>IF(VLOOKUP($B126,$B$4:$Q$93,2,FALSE)=0,"",VLOOKUP($B126,$B$4:$Q$93,2,FALSE))</f>
        <v/>
      </c>
      <c r="D126" s="41">
        <f>VLOOKUP($B118,$B$4:$Q$85,3,FALSE)</f>
        <v/>
      </c>
      <c r="E126" s="41">
        <f>VLOOKUP($B118,$B$4:$Q$85,4,FALSE)</f>
        <v/>
      </c>
      <c r="F126" s="41">
        <f>VLOOKUP($B118,$B$4:$Q$85,5,FALSE)</f>
        <v/>
      </c>
      <c r="G126" s="42" t="inlineStr"/>
      <c r="H126" s="40">
        <f>IF(VLOOKUP($B126,$B$4:$Q$93,7,FALSE)=0,"",VLOOKUP($B126,$B$4:$Q$93,7,FALSE))</f>
        <v/>
      </c>
      <c r="I126" s="41">
        <f>VLOOKUP($B118,$B$4:$Q$85,8,FALSE)</f>
        <v/>
      </c>
      <c r="J126" s="41">
        <f>VLOOKUP($B118,$B$4:$Q$85,9,FALSE)</f>
        <v/>
      </c>
      <c r="K126" s="41">
        <f>VLOOKUP($B118,$B$4:$Q$85,10,FALSE)</f>
        <v/>
      </c>
      <c r="L126" s="42" t="inlineStr"/>
      <c r="M126" s="40">
        <f>IF(VLOOKUP($B126,$B$4:$Q$93,12,FALSE)=0,"",VLOOKUP($B126,$B$4:$Q$93,12,FALSE))</f>
        <v/>
      </c>
      <c r="N126" s="41">
        <f>VLOOKUP($B118,$B$4:$Q$85,13,FALSE)</f>
        <v/>
      </c>
      <c r="O126" s="41">
        <f>VLOOKUP($B118,$B$4:$Q$85,14,FALSE)</f>
        <v/>
      </c>
      <c r="P126" s="41">
        <f>VLOOKUP($B118,$B$4:$Q$85,15,FALSE)</f>
        <v/>
      </c>
      <c r="Q126" s="42" t="inlineStr"/>
    </row>
    <row r="127" ht="20" customHeight="1">
      <c r="A127" s="39" t="inlineStr">
        <is>
          <t>OLED</t>
        </is>
      </c>
      <c r="B127" s="39" t="inlineStr">
        <is>
          <t>65S90H</t>
        </is>
      </c>
      <c r="C127" s="40">
        <f>IF(VLOOKUP($B127,$B$4:$Q$93,2,FALSE)=0,"",VLOOKUP($B127,$B$4:$Q$93,2,FALSE))</f>
        <v/>
      </c>
      <c r="D127" s="41">
        <f>VLOOKUP($B119,$B$4:$Q$85,3,FALSE)</f>
        <v/>
      </c>
      <c r="E127" s="41">
        <f>VLOOKUP($B119,$B$4:$Q$85,4,FALSE)</f>
        <v/>
      </c>
      <c r="F127" s="41">
        <f>VLOOKUP($B119,$B$4:$Q$85,5,FALSE)</f>
        <v/>
      </c>
      <c r="G127" s="42" t="inlineStr"/>
      <c r="H127" s="40">
        <f>IF(VLOOKUP($B127,$B$4:$Q$93,7,FALSE)=0,"",VLOOKUP($B127,$B$4:$Q$93,7,FALSE))</f>
        <v/>
      </c>
      <c r="I127" s="41">
        <f>VLOOKUP($B119,$B$4:$Q$85,8,FALSE)</f>
        <v/>
      </c>
      <c r="J127" s="41">
        <f>VLOOKUP($B119,$B$4:$Q$85,9,FALSE)</f>
        <v/>
      </c>
      <c r="K127" s="41">
        <f>VLOOKUP($B119,$B$4:$Q$85,10,FALSE)</f>
        <v/>
      </c>
      <c r="L127" s="42" t="inlineStr"/>
      <c r="M127" s="40">
        <f>IF(VLOOKUP($B127,$B$4:$Q$93,12,FALSE)=0,"",VLOOKUP($B127,$B$4:$Q$93,12,FALSE))</f>
        <v/>
      </c>
      <c r="N127" s="41">
        <f>VLOOKUP($B119,$B$4:$Q$85,13,FALSE)</f>
        <v/>
      </c>
      <c r="O127" s="41">
        <f>VLOOKUP($B119,$B$4:$Q$85,14,FALSE)</f>
        <v/>
      </c>
      <c r="P127" s="41">
        <f>VLOOKUP($B119,$B$4:$Q$85,15,FALSE)</f>
        <v/>
      </c>
      <c r="Q127" s="42" t="inlineStr"/>
    </row>
    <row r="128" ht="20" customHeight="1">
      <c r="A128" s="39" t="inlineStr">
        <is>
          <t>OLED</t>
        </is>
      </c>
      <c r="B128" s="39" t="inlineStr">
        <is>
          <t>65S85H</t>
        </is>
      </c>
      <c r="C128" s="40">
        <f>IF(VLOOKUP($B128,$B$4:$Q$93,2,FALSE)=0,"",VLOOKUP($B128,$B$4:$Q$93,2,FALSE))</f>
        <v/>
      </c>
      <c r="D128" s="41">
        <f>VLOOKUP($B120,$B$4:$Q$85,3,FALSE)</f>
        <v/>
      </c>
      <c r="E128" s="41">
        <f>VLOOKUP($B120,$B$4:$Q$85,4,FALSE)</f>
        <v/>
      </c>
      <c r="F128" s="41">
        <f>VLOOKUP($B120,$B$4:$Q$85,5,FALSE)</f>
        <v/>
      </c>
      <c r="G128" s="42" t="inlineStr"/>
      <c r="H128" s="40">
        <f>IF(VLOOKUP($B128,$B$4:$Q$93,7,FALSE)=0,"",VLOOKUP($B128,$B$4:$Q$93,7,FALSE))</f>
        <v/>
      </c>
      <c r="I128" s="41">
        <f>VLOOKUP($B120,$B$4:$Q$85,8,FALSE)</f>
        <v/>
      </c>
      <c r="J128" s="41">
        <f>VLOOKUP($B120,$B$4:$Q$85,9,FALSE)</f>
        <v/>
      </c>
      <c r="K128" s="41">
        <f>VLOOKUP($B120,$B$4:$Q$85,10,FALSE)</f>
        <v/>
      </c>
      <c r="L128" s="42" t="inlineStr"/>
      <c r="M128" s="40">
        <f>IF(VLOOKUP($B128,$B$4:$Q$93,12,FALSE)=0,"",VLOOKUP($B128,$B$4:$Q$93,12,FALSE))</f>
        <v/>
      </c>
      <c r="N128" s="41">
        <f>VLOOKUP($B120,$B$4:$Q$85,13,FALSE)</f>
        <v/>
      </c>
      <c r="O128" s="41">
        <f>VLOOKUP($B120,$B$4:$Q$85,14,FALSE)</f>
        <v/>
      </c>
      <c r="P128" s="41">
        <f>VLOOKUP($B120,$B$4:$Q$85,15,FALSE)</f>
        <v/>
      </c>
      <c r="Q128" s="42" t="inlineStr"/>
    </row>
    <row r="129" ht="20" customHeight="1">
      <c r="A129" s="39" t="inlineStr">
        <is>
          <t>QLED</t>
        </is>
      </c>
      <c r="B129" s="39" t="inlineStr">
        <is>
          <t>65QN70H</t>
        </is>
      </c>
      <c r="C129" s="40">
        <f>IF(VLOOKUP($B129,$B$4:$Q$93,2,FALSE)=0,"",VLOOKUP($B129,$B$4:$Q$93,2,FALSE))</f>
        <v/>
      </c>
      <c r="D129" s="41">
        <f>VLOOKUP($B121,$B$4:$Q$85,3,FALSE)</f>
        <v/>
      </c>
      <c r="E129" s="41">
        <f>VLOOKUP($B121,$B$4:$Q$85,4,FALSE)</f>
        <v/>
      </c>
      <c r="F129" s="41">
        <f>VLOOKUP($B121,$B$4:$Q$85,5,FALSE)</f>
        <v/>
      </c>
      <c r="G129" s="42" t="inlineStr"/>
      <c r="H129" s="40">
        <f>IF(VLOOKUP($B129,$B$4:$Q$93,7,FALSE)=0,"",VLOOKUP($B129,$B$4:$Q$93,7,FALSE))</f>
        <v/>
      </c>
      <c r="I129" s="41">
        <f>VLOOKUP($B121,$B$4:$Q$85,8,FALSE)</f>
        <v/>
      </c>
      <c r="J129" s="41">
        <f>VLOOKUP($B121,$B$4:$Q$85,9,FALSE)</f>
        <v/>
      </c>
      <c r="K129" s="41">
        <f>VLOOKUP($B121,$B$4:$Q$85,10,FALSE)</f>
        <v/>
      </c>
      <c r="L129" s="42" t="inlineStr"/>
      <c r="M129" s="40">
        <f>IF(VLOOKUP($B129,$B$4:$Q$93,12,FALSE)=0,"",VLOOKUP($B129,$B$4:$Q$93,12,FALSE))</f>
        <v/>
      </c>
      <c r="N129" s="41">
        <f>VLOOKUP($B121,$B$4:$Q$85,13,FALSE)</f>
        <v/>
      </c>
      <c r="O129" s="41">
        <f>VLOOKUP($B121,$B$4:$Q$85,14,FALSE)</f>
        <v/>
      </c>
      <c r="P129" s="41">
        <f>VLOOKUP($B121,$B$4:$Q$85,15,FALSE)</f>
        <v/>
      </c>
      <c r="Q129" s="42" t="inlineStr"/>
    </row>
    <row r="130" ht="20" customHeight="1">
      <c r="A130" s="39" t="inlineStr">
        <is>
          <t>QLED</t>
        </is>
      </c>
      <c r="B130" s="39" t="inlineStr">
        <is>
          <t>65Q8H</t>
        </is>
      </c>
      <c r="C130" s="40">
        <f>IF(VLOOKUP($B130,$B$4:$Q$93,2,FALSE)=0,"",VLOOKUP($B130,$B$4:$Q$93,2,FALSE))</f>
        <v/>
      </c>
      <c r="D130" s="41">
        <f>VLOOKUP($B122,$B$4:$Q$85,3,FALSE)</f>
        <v/>
      </c>
      <c r="E130" s="41">
        <f>VLOOKUP($B122,$B$4:$Q$85,4,FALSE)</f>
        <v/>
      </c>
      <c r="F130" s="41">
        <f>VLOOKUP($B122,$B$4:$Q$85,5,FALSE)</f>
        <v/>
      </c>
      <c r="G130" s="42" t="inlineStr"/>
      <c r="H130" s="40">
        <f>IF(VLOOKUP($B130,$B$4:$Q$93,7,FALSE)=0,"",VLOOKUP($B130,$B$4:$Q$93,7,FALSE))</f>
        <v/>
      </c>
      <c r="I130" s="41">
        <f>VLOOKUP($B122,$B$4:$Q$85,8,FALSE)</f>
        <v/>
      </c>
      <c r="J130" s="41">
        <f>VLOOKUP($B122,$B$4:$Q$85,9,FALSE)</f>
        <v/>
      </c>
      <c r="K130" s="41">
        <f>VLOOKUP($B122,$B$4:$Q$85,10,FALSE)</f>
        <v/>
      </c>
      <c r="L130" s="42" t="inlineStr"/>
      <c r="M130" s="40">
        <f>IF(VLOOKUP($B130,$B$4:$Q$93,12,FALSE)=0,"",VLOOKUP($B130,$B$4:$Q$93,12,FALSE))</f>
        <v/>
      </c>
      <c r="N130" s="41">
        <f>VLOOKUP($B122,$B$4:$Q$85,13,FALSE)</f>
        <v/>
      </c>
      <c r="O130" s="41">
        <f>VLOOKUP($B122,$B$4:$Q$85,14,FALSE)</f>
        <v/>
      </c>
      <c r="P130" s="41">
        <f>VLOOKUP($B122,$B$4:$Q$85,15,FALSE)</f>
        <v/>
      </c>
      <c r="Q130" s="42" t="inlineStr"/>
    </row>
    <row r="131" ht="20" customHeight="1">
      <c r="A131" s="39" t="inlineStr">
        <is>
          <t>QLED</t>
        </is>
      </c>
      <c r="B131" s="39" t="inlineStr">
        <is>
          <t>65Q7H</t>
        </is>
      </c>
      <c r="C131" s="40">
        <f>IF(VLOOKUP($B131,$B$4:$Q$93,2,FALSE)=0,"",VLOOKUP($B131,$B$4:$Q$93,2,FALSE))</f>
        <v/>
      </c>
      <c r="D131" s="41">
        <f>VLOOKUP($B123,$B$4:$Q$85,3,FALSE)</f>
        <v/>
      </c>
      <c r="E131" s="41">
        <f>VLOOKUP($B123,$B$4:$Q$85,4,FALSE)</f>
        <v/>
      </c>
      <c r="F131" s="41">
        <f>VLOOKUP($B123,$B$4:$Q$85,5,FALSE)</f>
        <v/>
      </c>
      <c r="G131" s="42" t="inlineStr"/>
      <c r="H131" s="40">
        <f>IF(VLOOKUP($B131,$B$4:$Q$93,7,FALSE)=0,"",VLOOKUP($B131,$B$4:$Q$93,7,FALSE))</f>
        <v/>
      </c>
      <c r="I131" s="41">
        <f>VLOOKUP($B123,$B$4:$Q$85,8,FALSE)</f>
        <v/>
      </c>
      <c r="J131" s="41">
        <f>VLOOKUP($B123,$B$4:$Q$85,9,FALSE)</f>
        <v/>
      </c>
      <c r="K131" s="41">
        <f>VLOOKUP($B123,$B$4:$Q$85,10,FALSE)</f>
        <v/>
      </c>
      <c r="L131" s="42" t="inlineStr"/>
      <c r="M131" s="40">
        <f>IF(VLOOKUP($B131,$B$4:$Q$93,12,FALSE)=0,"",VLOOKUP($B131,$B$4:$Q$93,12,FALSE))</f>
        <v/>
      </c>
      <c r="N131" s="41">
        <f>VLOOKUP($B123,$B$4:$Q$85,13,FALSE)</f>
        <v/>
      </c>
      <c r="O131" s="41">
        <f>VLOOKUP($B123,$B$4:$Q$85,14,FALSE)</f>
        <v/>
      </c>
      <c r="P131" s="41">
        <f>VLOOKUP($B123,$B$4:$Q$85,15,FALSE)</f>
        <v/>
      </c>
      <c r="Q131" s="42" t="inlineStr"/>
    </row>
    <row r="132" ht="20" customHeight="1">
      <c r="A132" s="39" t="inlineStr">
        <is>
          <t>UHD 4K</t>
        </is>
      </c>
      <c r="B132" s="39" t="inlineStr">
        <is>
          <t>65U8000H</t>
        </is>
      </c>
      <c r="C132" s="40">
        <f>IF(VLOOKUP($B132,$B$4:$Q$93,2,FALSE)=0,"",VLOOKUP($B132,$B$4:$Q$93,2,FALSE))</f>
        <v/>
      </c>
      <c r="D132" s="41">
        <f>VLOOKUP($B124,$B$4:$Q$85,3,FALSE)</f>
        <v/>
      </c>
      <c r="E132" s="41" t="n">
        <v>799</v>
      </c>
      <c r="F132" s="41" t="n">
        <v>0</v>
      </c>
      <c r="G132" s="42" t="inlineStr"/>
      <c r="H132" s="40">
        <f>IF(VLOOKUP($B132,$B$4:$Q$93,7,FALSE)=0,"",VLOOKUP($B132,$B$4:$Q$93,7,FALSE))</f>
        <v/>
      </c>
      <c r="I132" s="41">
        <f>VLOOKUP($B124,$B$4:$Q$85,8,FALSE)</f>
        <v/>
      </c>
      <c r="J132" s="41">
        <f>VLOOKUP($B124,$B$4:$Q$85,9,FALSE)</f>
        <v/>
      </c>
      <c r="K132" s="41">
        <f>VLOOKUP($B124,$B$4:$Q$85,10,FALSE)</f>
        <v/>
      </c>
      <c r="L132" s="42" t="inlineStr"/>
      <c r="M132" s="40">
        <f>IF(VLOOKUP($B132,$B$4:$Q$93,12,FALSE)=0,"",VLOOKUP($B132,$B$4:$Q$93,12,FALSE))</f>
        <v/>
      </c>
      <c r="N132" s="41">
        <f>VLOOKUP($B124,$B$4:$Q$85,13,FALSE)</f>
        <v/>
      </c>
      <c r="O132" s="41">
        <f>VLOOKUP($B124,$B$4:$Q$85,14,FALSE)</f>
        <v/>
      </c>
      <c r="P132" s="41">
        <f>VLOOKUP($B124,$B$4:$Q$85,15,FALSE)</f>
        <v/>
      </c>
      <c r="Q132" s="42" t="inlineStr"/>
    </row>
    <row r="133"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</row>
    <row r="134" ht="20" customHeight="1">
      <c r="A134" s="39" t="inlineStr">
        <is>
          <t>OLED</t>
        </is>
      </c>
      <c r="B134" s="39" t="inlineStr">
        <is>
          <t>77S99H</t>
        </is>
      </c>
      <c r="C134" s="40">
        <f>IF(VLOOKUP($B134,$B$4:$Q$93,2,FALSE)=0,"",VLOOKUP($B134,$B$4:$Q$93,2,FALSE))</f>
        <v/>
      </c>
      <c r="D134" s="41">
        <f>VLOOKUP($B126,$B$4:$Q$85,3,FALSE)</f>
        <v/>
      </c>
      <c r="E134" s="41">
        <f>VLOOKUP($B126,$B$4:$Q$85,4,FALSE)</f>
        <v/>
      </c>
      <c r="F134" s="41">
        <f>VLOOKUP($B126,$B$4:$Q$85,5,FALSE)</f>
        <v/>
      </c>
      <c r="G134" s="42" t="inlineStr"/>
      <c r="H134" s="40">
        <f>IF(VLOOKUP($B134,$B$4:$Q$93,7,FALSE)=0,"",VLOOKUP($B134,$B$4:$Q$93,7,FALSE))</f>
        <v/>
      </c>
      <c r="I134" s="41">
        <f>VLOOKUP($B126,$B$4:$Q$85,8,FALSE)</f>
        <v/>
      </c>
      <c r="J134" s="41">
        <f>VLOOKUP($B126,$B$4:$Q$85,9,FALSE)</f>
        <v/>
      </c>
      <c r="K134" s="41">
        <f>VLOOKUP($B126,$B$4:$Q$85,10,FALSE)</f>
        <v/>
      </c>
      <c r="L134" s="42" t="inlineStr"/>
      <c r="M134" s="40">
        <f>IF(VLOOKUP($B134,$B$4:$Q$93,12,FALSE)=0,"",VLOOKUP($B134,$B$4:$Q$93,12,FALSE))</f>
        <v/>
      </c>
      <c r="N134" s="41">
        <f>VLOOKUP($B126,$B$4:$Q$85,13,FALSE)</f>
        <v/>
      </c>
      <c r="O134" s="41">
        <f>VLOOKUP($B126,$B$4:$Q$85,14,FALSE)</f>
        <v/>
      </c>
      <c r="P134" s="41">
        <f>VLOOKUP($B126,$B$4:$Q$85,15,FALSE)</f>
        <v/>
      </c>
      <c r="Q134" s="42" t="inlineStr"/>
    </row>
    <row r="135" ht="20" customHeight="1">
      <c r="A135" s="39" t="inlineStr">
        <is>
          <t>OLED</t>
        </is>
      </c>
      <c r="B135" s="39" t="inlineStr">
        <is>
          <t>77S95H</t>
        </is>
      </c>
      <c r="C135" s="40">
        <f>IF(VLOOKUP($B135,$B$4:$Q$93,2,FALSE)=0,"",VLOOKUP($B135,$B$4:$Q$93,2,FALSE))</f>
        <v/>
      </c>
      <c r="D135" s="41">
        <f>VLOOKUP($B127,$B$4:$Q$85,3,FALSE)</f>
        <v/>
      </c>
      <c r="E135" s="41">
        <f>VLOOKUP($B127,$B$4:$Q$85,4,FALSE)</f>
        <v/>
      </c>
      <c r="F135" s="41">
        <f>VLOOKUP($B127,$B$4:$Q$85,5,FALSE)</f>
        <v/>
      </c>
      <c r="G135" s="42" t="inlineStr"/>
      <c r="H135" s="40">
        <f>IF(VLOOKUP($B135,$B$4:$Q$93,7,FALSE)=0,"",VLOOKUP($B135,$B$4:$Q$93,7,FALSE))</f>
        <v/>
      </c>
      <c r="I135" s="41">
        <f>VLOOKUP($B127,$B$4:$Q$85,8,FALSE)</f>
        <v/>
      </c>
      <c r="J135" s="41">
        <f>VLOOKUP($B127,$B$4:$Q$85,9,FALSE)</f>
        <v/>
      </c>
      <c r="K135" s="41">
        <f>VLOOKUP($B127,$B$4:$Q$85,10,FALSE)</f>
        <v/>
      </c>
      <c r="L135" s="42" t="inlineStr"/>
      <c r="M135" s="40">
        <f>IF(VLOOKUP($B135,$B$4:$Q$93,12,FALSE)=0,"",VLOOKUP($B135,$B$4:$Q$93,12,FALSE))</f>
        <v/>
      </c>
      <c r="N135" s="41">
        <f>VLOOKUP($B127,$B$4:$Q$85,13,FALSE)</f>
        <v/>
      </c>
      <c r="O135" s="41">
        <f>VLOOKUP($B127,$B$4:$Q$85,14,FALSE)</f>
        <v/>
      </c>
      <c r="P135" s="41">
        <f>VLOOKUP($B127,$B$4:$Q$85,15,FALSE)</f>
        <v/>
      </c>
      <c r="Q135" s="42" t="inlineStr"/>
    </row>
    <row r="136" ht="20" customHeight="1">
      <c r="A136" s="39" t="inlineStr">
        <is>
          <t>OLED</t>
        </is>
      </c>
      <c r="B136" s="39" t="inlineStr">
        <is>
          <t>77S90H</t>
        </is>
      </c>
      <c r="C136" s="40">
        <f>IF(VLOOKUP($B136,$B$4:$Q$93,2,FALSE)=0,"",VLOOKUP($B136,$B$4:$Q$93,2,FALSE))</f>
        <v/>
      </c>
      <c r="D136" s="41">
        <f>VLOOKUP($B128,$B$4:$Q$85,3,FALSE)</f>
        <v/>
      </c>
      <c r="E136" s="41">
        <f>VLOOKUP($B128,$B$4:$Q$85,4,FALSE)</f>
        <v/>
      </c>
      <c r="F136" s="41">
        <f>VLOOKUP($B128,$B$4:$Q$85,5,FALSE)</f>
        <v/>
      </c>
      <c r="G136" s="42" t="inlineStr"/>
      <c r="H136" s="40">
        <f>IF(VLOOKUP($B136,$B$4:$Q$93,7,FALSE)=0,"",VLOOKUP($B136,$B$4:$Q$93,7,FALSE))</f>
        <v/>
      </c>
      <c r="I136" s="41">
        <f>VLOOKUP($B128,$B$4:$Q$85,8,FALSE)</f>
        <v/>
      </c>
      <c r="J136" s="41">
        <f>VLOOKUP($B128,$B$4:$Q$85,9,FALSE)</f>
        <v/>
      </c>
      <c r="K136" s="41">
        <f>VLOOKUP($B128,$B$4:$Q$85,10,FALSE)</f>
        <v/>
      </c>
      <c r="L136" s="42" t="inlineStr"/>
      <c r="M136" s="40">
        <f>IF(VLOOKUP($B136,$B$4:$Q$93,12,FALSE)=0,"",VLOOKUP($B136,$B$4:$Q$93,12,FALSE))</f>
        <v/>
      </c>
      <c r="N136" s="41">
        <f>VLOOKUP($B128,$B$4:$Q$85,13,FALSE)</f>
        <v/>
      </c>
      <c r="O136" s="41">
        <f>VLOOKUP($B128,$B$4:$Q$85,14,FALSE)</f>
        <v/>
      </c>
      <c r="P136" s="41">
        <f>VLOOKUP($B128,$B$4:$Q$85,15,FALSE)</f>
        <v/>
      </c>
      <c r="Q136" s="42" t="inlineStr"/>
    </row>
    <row r="137" ht="20" customHeight="1">
      <c r="A137" s="39" t="inlineStr">
        <is>
          <t>OLED</t>
        </is>
      </c>
      <c r="B137" s="39" t="inlineStr">
        <is>
          <t>77S85H</t>
        </is>
      </c>
      <c r="C137" s="40">
        <f>IF(VLOOKUP($B137,$B$4:$Q$93,2,FALSE)=0,"",VLOOKUP($B137,$B$4:$Q$93,2,FALSE))</f>
        <v/>
      </c>
      <c r="D137" s="41">
        <f>VLOOKUP($B129,$B$4:$Q$85,3,FALSE)</f>
        <v/>
      </c>
      <c r="E137" s="41">
        <f>VLOOKUP($B129,$B$4:$Q$85,4,FALSE)</f>
        <v/>
      </c>
      <c r="F137" s="41">
        <f>VLOOKUP($B129,$B$4:$Q$85,5,FALSE)</f>
        <v/>
      </c>
      <c r="G137" s="42" t="inlineStr"/>
      <c r="H137" s="40">
        <f>IF(VLOOKUP($B137,$B$4:$Q$93,7,FALSE)=0,"",VLOOKUP($B137,$B$4:$Q$93,7,FALSE))</f>
        <v/>
      </c>
      <c r="I137" s="41">
        <f>VLOOKUP($B129,$B$4:$Q$85,8,FALSE)</f>
        <v/>
      </c>
      <c r="J137" s="41">
        <f>VLOOKUP($B129,$B$4:$Q$85,9,FALSE)</f>
        <v/>
      </c>
      <c r="K137" s="41">
        <f>VLOOKUP($B129,$B$4:$Q$85,10,FALSE)</f>
        <v/>
      </c>
      <c r="L137" s="42" t="inlineStr"/>
      <c r="M137" s="40">
        <f>IF(VLOOKUP($B137,$B$4:$Q$93,12,FALSE)=0,"",VLOOKUP($B137,$B$4:$Q$93,12,FALSE))</f>
        <v/>
      </c>
      <c r="N137" s="41">
        <f>VLOOKUP($B129,$B$4:$Q$85,13,FALSE)</f>
        <v/>
      </c>
      <c r="O137" s="41">
        <f>VLOOKUP($B129,$B$4:$Q$85,14,FALSE)</f>
        <v/>
      </c>
      <c r="P137" s="41">
        <f>VLOOKUP($B129,$B$4:$Q$85,15,FALSE)</f>
        <v/>
      </c>
      <c r="Q137" s="42" t="inlineStr"/>
    </row>
    <row r="138" ht="20" customHeight="1">
      <c r="A138" s="39" t="inlineStr">
        <is>
          <t>QLED</t>
        </is>
      </c>
      <c r="B138" s="39" t="inlineStr">
        <is>
          <t>75QN70H</t>
        </is>
      </c>
      <c r="C138" s="40">
        <f>IF(VLOOKUP($B138,$B$4:$Q$93,2,FALSE)=0,"",VLOOKUP($B138,$B$4:$Q$93,2,FALSE))</f>
        <v/>
      </c>
      <c r="D138" s="41">
        <f>VLOOKUP($B130,$B$4:$Q$85,3,FALSE)</f>
        <v/>
      </c>
      <c r="E138" s="41">
        <f>VLOOKUP($B130,$B$4:$Q$85,4,FALSE)</f>
        <v/>
      </c>
      <c r="F138" s="41">
        <f>VLOOKUP($B130,$B$4:$Q$85,5,FALSE)</f>
        <v/>
      </c>
      <c r="G138" s="42" t="inlineStr"/>
      <c r="H138" s="40">
        <f>IF(VLOOKUP($B138,$B$4:$Q$93,7,FALSE)=0,"",VLOOKUP($B138,$B$4:$Q$93,7,FALSE))</f>
        <v/>
      </c>
      <c r="I138" s="41">
        <f>VLOOKUP($B130,$B$4:$Q$85,8,FALSE)</f>
        <v/>
      </c>
      <c r="J138" s="41">
        <f>VLOOKUP($B130,$B$4:$Q$85,9,FALSE)</f>
        <v/>
      </c>
      <c r="K138" s="41">
        <f>VLOOKUP($B130,$B$4:$Q$85,10,FALSE)</f>
        <v/>
      </c>
      <c r="L138" s="42" t="inlineStr"/>
      <c r="M138" s="40">
        <f>IF(VLOOKUP($B138,$B$4:$Q$93,12,FALSE)=0,"",VLOOKUP($B138,$B$4:$Q$93,12,FALSE))</f>
        <v/>
      </c>
      <c r="N138" s="41">
        <f>VLOOKUP($B130,$B$4:$Q$85,13,FALSE)</f>
        <v/>
      </c>
      <c r="O138" s="41">
        <f>VLOOKUP($B130,$B$4:$Q$85,14,FALSE)</f>
        <v/>
      </c>
      <c r="P138" s="41">
        <f>VLOOKUP($B130,$B$4:$Q$85,15,FALSE)</f>
        <v/>
      </c>
      <c r="Q138" s="42" t="inlineStr"/>
    </row>
    <row r="139" ht="20" customHeight="1">
      <c r="A139" s="39" t="inlineStr">
        <is>
          <t>QLED</t>
        </is>
      </c>
      <c r="B139" s="39" t="inlineStr">
        <is>
          <t>75Q8H</t>
        </is>
      </c>
      <c r="C139" s="40">
        <f>IF(VLOOKUP($B139,$B$4:$Q$93,2,FALSE)=0,"",VLOOKUP($B139,$B$4:$Q$93,2,FALSE))</f>
        <v/>
      </c>
      <c r="D139" s="41">
        <f>VLOOKUP($B131,$B$4:$Q$85,3,FALSE)</f>
        <v/>
      </c>
      <c r="E139" s="41">
        <f>VLOOKUP($B131,$B$4:$Q$85,4,FALSE)</f>
        <v/>
      </c>
      <c r="F139" s="41">
        <f>VLOOKUP($B131,$B$4:$Q$85,5,FALSE)</f>
        <v/>
      </c>
      <c r="G139" s="42" t="inlineStr"/>
      <c r="H139" s="40">
        <f>IF(VLOOKUP($B139,$B$4:$Q$93,7,FALSE)=0,"",VLOOKUP($B139,$B$4:$Q$93,7,FALSE))</f>
        <v/>
      </c>
      <c r="I139" s="41">
        <f>VLOOKUP($B131,$B$4:$Q$85,8,FALSE)</f>
        <v/>
      </c>
      <c r="J139" s="41">
        <f>VLOOKUP($B131,$B$4:$Q$85,9,FALSE)</f>
        <v/>
      </c>
      <c r="K139" s="41">
        <f>VLOOKUP($B131,$B$4:$Q$85,10,FALSE)</f>
        <v/>
      </c>
      <c r="L139" s="42" t="inlineStr"/>
      <c r="M139" s="40">
        <f>IF(VLOOKUP($B139,$B$4:$Q$93,12,FALSE)=0,"",VLOOKUP($B139,$B$4:$Q$93,12,FALSE))</f>
        <v/>
      </c>
      <c r="N139" s="41">
        <f>VLOOKUP($B131,$B$4:$Q$85,13,FALSE)</f>
        <v/>
      </c>
      <c r="O139" s="41">
        <f>VLOOKUP($B131,$B$4:$Q$85,14,FALSE)</f>
        <v/>
      </c>
      <c r="P139" s="41">
        <f>VLOOKUP($B131,$B$4:$Q$85,15,FALSE)</f>
        <v/>
      </c>
      <c r="Q139" s="42" t="inlineStr"/>
    </row>
    <row r="140" ht="20" customHeight="1">
      <c r="A140" s="39" t="inlineStr">
        <is>
          <t>QLED</t>
        </is>
      </c>
      <c r="B140" s="39" t="inlineStr">
        <is>
          <t>75Q7H</t>
        </is>
      </c>
      <c r="C140" s="40">
        <f>IF(VLOOKUP($B140,$B$4:$Q$93,2,FALSE)=0,"",VLOOKUP($B140,$B$4:$Q$93,2,FALSE))</f>
        <v/>
      </c>
      <c r="D140" s="41">
        <f>VLOOKUP($B132,$B$4:$Q$85,3,FALSE)</f>
        <v/>
      </c>
      <c r="E140" s="41">
        <f>VLOOKUP($B132,$B$4:$Q$85,4,FALSE)</f>
        <v/>
      </c>
      <c r="F140" s="41">
        <f>VLOOKUP($B132,$B$4:$Q$85,5,FALSE)</f>
        <v/>
      </c>
      <c r="G140" s="42" t="inlineStr"/>
      <c r="H140" s="40">
        <f>IF(VLOOKUP($B140,$B$4:$Q$93,7,FALSE)=0,"",VLOOKUP($B140,$B$4:$Q$93,7,FALSE))</f>
        <v/>
      </c>
      <c r="I140" s="41">
        <f>VLOOKUP($B132,$B$4:$Q$85,8,FALSE)</f>
        <v/>
      </c>
      <c r="J140" s="41">
        <f>VLOOKUP($B132,$B$4:$Q$85,9,FALSE)</f>
        <v/>
      </c>
      <c r="K140" s="41">
        <f>VLOOKUP($B132,$B$4:$Q$85,10,FALSE)</f>
        <v/>
      </c>
      <c r="L140" s="42" t="inlineStr"/>
      <c r="M140" s="40">
        <f>IF(VLOOKUP($B140,$B$4:$Q$93,12,FALSE)=0,"",VLOOKUP($B140,$B$4:$Q$93,12,FALSE))</f>
        <v/>
      </c>
      <c r="N140" s="41">
        <f>VLOOKUP($B132,$B$4:$Q$85,13,FALSE)</f>
        <v/>
      </c>
      <c r="O140" s="41">
        <f>VLOOKUP($B132,$B$4:$Q$85,14,FALSE)</f>
        <v/>
      </c>
      <c r="P140" s="41">
        <f>VLOOKUP($B132,$B$4:$Q$85,15,FALSE)</f>
        <v/>
      </c>
      <c r="Q140" s="42" t="inlineStr"/>
    </row>
    <row r="141" ht="20" customHeight="1">
      <c r="A141" s="39" t="inlineStr">
        <is>
          <t>UHD 4K</t>
        </is>
      </c>
      <c r="B141" s="39" t="inlineStr">
        <is>
          <t>75U8000H</t>
        </is>
      </c>
      <c r="C141" s="40">
        <f>IF(VLOOKUP($B141,$B$4:$Q$93,2,FALSE)=0,"",VLOOKUP($B141,$B$4:$Q$93,2,FALSE))</f>
        <v/>
      </c>
      <c r="D141" s="41">
        <f>VLOOKUP($B133,$B$4:$Q$85,3,FALSE)</f>
        <v/>
      </c>
      <c r="E141" s="41" t="n">
        <v>1199</v>
      </c>
      <c r="F141" s="41" t="n">
        <v>0</v>
      </c>
      <c r="G141" s="42" t="inlineStr"/>
      <c r="H141" s="40">
        <f>IF(VLOOKUP($B141,$B$4:$Q$93,7,FALSE)=0,"",VLOOKUP($B141,$B$4:$Q$93,7,FALSE))</f>
        <v/>
      </c>
      <c r="I141" s="41">
        <f>VLOOKUP($B133,$B$4:$Q$85,8,FALSE)</f>
        <v/>
      </c>
      <c r="J141" s="41">
        <f>VLOOKUP($B133,$B$4:$Q$85,9,FALSE)</f>
        <v/>
      </c>
      <c r="K141" s="41">
        <f>VLOOKUP($B133,$B$4:$Q$85,10,FALSE)</f>
        <v/>
      </c>
      <c r="L141" s="42" t="inlineStr"/>
      <c r="M141" s="40">
        <f>IF(VLOOKUP($B141,$B$4:$Q$93,12,FALSE)=0,"",VLOOKUP($B141,$B$4:$Q$93,12,FALSE))</f>
        <v/>
      </c>
      <c r="N141" s="41">
        <f>VLOOKUP($B133,$B$4:$Q$85,13,FALSE)</f>
        <v/>
      </c>
      <c r="O141" s="41">
        <f>VLOOKUP($B133,$B$4:$Q$85,14,FALSE)</f>
        <v/>
      </c>
      <c r="P141" s="41">
        <f>VLOOKUP($B133,$B$4:$Q$85,15,FALSE)</f>
        <v/>
      </c>
      <c r="Q141" s="42" t="inlineStr"/>
    </row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</sheetData>
  <mergeCells count="5">
    <mergeCell ref="H2:L2"/>
    <mergeCell ref="C1:Q1"/>
    <mergeCell ref="C94:Q94"/>
    <mergeCell ref="M2:Q2"/>
    <mergeCell ref="C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2026-07-04T23:42:25Z</dcterms:modified>
</cp:coreProperties>
</file>