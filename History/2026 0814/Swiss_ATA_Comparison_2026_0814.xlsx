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OLED77G57LW</t>
        </is>
      </c>
      <c r="N5" s="84">
        <f>IF(O5="","",O5-P5)</f>
        <v/>
      </c>
      <c r="O5" s="84" t="n">
        <v>2308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1599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1599.95</v>
      </c>
      <c r="K6" s="84" t="n">
        <v>0</v>
      </c>
      <c r="L6" s="85">
        <f>IFERROR(I6/I6,"")</f>
        <v/>
      </c>
      <c r="M6" s="83" t="inlineStr">
        <is>
          <t>OLED65G51LW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1449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1399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/>
      <c r="D13" s="84">
        <f>IF(E13="","",E13-F13)</f>
        <v/>
      </c>
      <c r="E13" s="84" t="inlineStr"/>
      <c r="F13" s="84" t="inlineStr"/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689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2022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1799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4999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3999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2759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2749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2299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1599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2549.95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1899.95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949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1849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1199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749.95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699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>
        <is>
          <t>QE85QN80FAU</t>
        </is>
      </c>
      <c r="D54" s="95">
        <f>IF(E54="","",E54-F54)</f>
        <v/>
      </c>
      <c r="E54" s="89" t="n">
        <v>1827</v>
      </c>
      <c r="F54" s="89" t="n">
        <v>0</v>
      </c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1349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889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709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699.95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489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857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449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849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729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489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717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398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1049.95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743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1047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499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479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429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349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379.95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OLED55G69LS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3999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3999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2999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2199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1599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1499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1399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2649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2126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1248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889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4277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5497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3869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3849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3089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3089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2222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2205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1788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1506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1503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1455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1783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4499.95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4289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2600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2299.95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949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4759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1699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/>
      <c r="I52" s="89">
        <f>IF(J52="","",J52-K52)</f>
        <v/>
      </c>
      <c r="J52" s="89" t="inlineStr"/>
      <c r="K52" s="89" t="inlineStr"/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900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599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784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479.95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823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1099.95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3250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3249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2299.95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1666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1699.95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1666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1352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1399.95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1658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2600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2599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2392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2926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1439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1499.95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1439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1149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1199.95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1138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966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959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1250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1250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1100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1099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774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774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629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629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449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421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422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/>
      <c r="N126" s="96">
        <f>IF(O126="","",O126-P126)</f>
        <v/>
      </c>
      <c r="O126" s="89" t="inlineStr"/>
      <c r="P126" s="89" t="inlineStr"/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778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/>
      <c r="N128" s="96">
        <f>IF(O128="","",O128-P128)</f>
        <v/>
      </c>
      <c r="O128" s="89" t="inlineStr"/>
      <c r="P128" s="89" t="inlineStr"/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740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549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2026-08-14T04:29:53Z</dcterms:modified>
  <cp:lastModifiedBy>박대호/책임/TV유럽영업2팀</cp:lastModifiedBy>
</cp:coreProperties>
</file>