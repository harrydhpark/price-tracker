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3899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2699.95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OLED65G59LS</t>
        </is>
      </c>
      <c r="D6" s="84">
        <f>IF(E6="","",E6-F6)</f>
        <v/>
      </c>
      <c r="E6" s="84" t="n">
        <v>1869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1799.95</v>
      </c>
      <c r="K6" s="84" t="n">
        <v>0</v>
      </c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1749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1499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1449.95</v>
      </c>
      <c r="K7" s="84" t="n">
        <v>0</v>
      </c>
      <c r="L7" s="85">
        <f>IFERROR(I7/I7,"")</f>
        <v/>
      </c>
      <c r="M7" s="83" t="inlineStr">
        <is>
          <t>OLED55G56LS</t>
        </is>
      </c>
      <c r="N7" s="84">
        <f>IF(O7="","",O7-P7)</f>
        <v/>
      </c>
      <c r="O7" s="84" t="n">
        <v>1199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2299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2199.95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1999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1879</v>
      </c>
      <c r="F10" s="84" t="n">
        <v>0</v>
      </c>
      <c r="G10" s="85">
        <f>IFERROR(D10/D5,"")</f>
        <v/>
      </c>
      <c r="H10" s="83" t="inlineStr">
        <is>
          <t>OLED77C58LA</t>
        </is>
      </c>
      <c r="I10" s="84">
        <f>IF(J10="","",J10-K10)</f>
        <v/>
      </c>
      <c r="J10" s="84" t="n">
        <v>1699.95</v>
      </c>
      <c r="K10" s="84" t="n">
        <v>0</v>
      </c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1859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1249.95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/>
      <c r="D12" s="84">
        <f>IF(E12="","",E12-F12)</f>
        <v/>
      </c>
      <c r="E12" s="84" t="inlineStr"/>
      <c r="F12" s="84" t="inlineStr"/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949.95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969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839</v>
      </c>
      <c r="F13" s="84" t="n">
        <v>0</v>
      </c>
      <c r="G13" s="85">
        <f>IFERROR(D13/D7,"")</f>
        <v/>
      </c>
      <c r="H13" s="83" t="inlineStr">
        <is>
          <t>OLED48C58</t>
        </is>
      </c>
      <c r="I13" s="84">
        <f>IF(J13="","",J13-K13)</f>
        <v/>
      </c>
      <c r="J13" s="84" t="n">
        <v>769.95</v>
      </c>
      <c r="K13" s="84" t="n">
        <v>0</v>
      </c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729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699.95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1889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1819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OLED77B56LA</t>
        </is>
      </c>
      <c r="N17" s="84">
        <f>IF(O17="","",O17-P17)</f>
        <v/>
      </c>
      <c r="O17" s="84" t="n">
        <v>1516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999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1171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799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OLED55B59LA</t>
        </is>
      </c>
      <c r="N19" s="84">
        <f>IF(O19="","",O19-P19)</f>
        <v/>
      </c>
      <c r="O19" s="84" t="n">
        <v>792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689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649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5706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4499.95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3999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4802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3499.95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2999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3356</v>
      </c>
      <c r="F24" s="89" t="n">
        <v>0</v>
      </c>
      <c r="G24" s="90" t="inlineStr"/>
      <c r="H24" s="125" t="inlineStr"/>
      <c r="I24" s="89">
        <f>IF(J24="","",J24-K24)</f>
        <v/>
      </c>
      <c r="J24" s="89" t="inlineStr"/>
      <c r="K24" s="89" t="inlineStr"/>
      <c r="L24" s="90" t="inlineStr"/>
      <c r="M24" s="125" t="inlineStr">
        <is>
          <t>QE65S95F</t>
        </is>
      </c>
      <c r="N24" s="89">
        <f>IF(O24="","",O24-P24)</f>
        <v/>
      </c>
      <c r="O24" s="89" t="n">
        <v>1999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2595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2608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2199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2999.95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1799.95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1779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999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699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769.95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729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3807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1624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1338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2799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2299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>
        <is>
          <t>75QNED86A6A</t>
        </is>
      </c>
      <c r="N41" s="84">
        <f>IF(O41="","",O41-P41)</f>
        <v/>
      </c>
      <c r="O41" s="84" t="n">
        <v>899</v>
      </c>
      <c r="P41" s="84" t="n">
        <v>0</v>
      </c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739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699.95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55QNED85A3C</t>
        </is>
      </c>
      <c r="N43" s="84">
        <f>IF(O43="","",O43-P43)</f>
        <v/>
      </c>
      <c r="O43" s="84" t="n">
        <v>469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499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899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599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666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499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475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409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399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379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379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1749.95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2281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1439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2143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/>
      <c r="D56" s="95">
        <f>IF(E56="","",E56-F56)</f>
        <v/>
      </c>
      <c r="E56" s="89" t="inlineStr"/>
      <c r="F56" s="89" t="inlineStr"/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/>
      <c r="D57" s="95">
        <f>IF(E57="","",E57-F57)</f>
        <v/>
      </c>
      <c r="E57" s="89" t="inlineStr"/>
      <c r="F57" s="89" t="inlineStr"/>
      <c r="G57" s="90" t="inlineStr"/>
      <c r="H57" s="125" t="inlineStr">
        <is>
          <t>QE55QN80F</t>
        </is>
      </c>
      <c r="I57" s="95">
        <f>IF(J57="","",J57-K57)</f>
        <v/>
      </c>
      <c r="J57" s="89" t="n">
        <v>799.95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1034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699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749.95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715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1449.95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599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/>
      <c r="D65" s="89">
        <f>IF(E65="","",E65-F65)</f>
        <v/>
      </c>
      <c r="E65" s="89" t="inlineStr"/>
      <c r="F65" s="89" t="inlineStr"/>
      <c r="G65" s="90" t="inlineStr"/>
      <c r="H65" s="125" t="inlineStr">
        <is>
          <t>QE85Q8F</t>
        </is>
      </c>
      <c r="I65" s="89">
        <f>IF(J65="","",J65-K65)</f>
        <v/>
      </c>
      <c r="J65" s="89" t="n">
        <v>1499.95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949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999.95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713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699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479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499.95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389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/>
      <c r="D70" s="95">
        <f>IF(E70="","",E70-F70)</f>
        <v/>
      </c>
      <c r="E70" s="89" t="inlineStr"/>
      <c r="F70" s="89" t="inlineStr"/>
      <c r="G70" s="90" t="inlineStr"/>
      <c r="H70" s="125" t="inlineStr">
        <is>
          <t>QE43Q8FAAUXXN</t>
        </is>
      </c>
      <c r="I70" s="95">
        <f>IF(J70="","",J70-K70)</f>
        <v/>
      </c>
      <c r="J70" s="89" t="n">
        <v>449.95</v>
      </c>
      <c r="K70" s="89" t="n">
        <v>0</v>
      </c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2407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1292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706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>
        <is>
          <t>QE55Q7FAAU</t>
        </is>
      </c>
      <c r="N75" s="89">
        <f>IF(O75="","",O75-P75)</f>
        <v/>
      </c>
      <c r="O75" s="89" t="n">
        <v>492</v>
      </c>
      <c r="P75" s="89" t="n">
        <v>0</v>
      </c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469.95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500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589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1079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799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449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338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319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43UA73003LA</t>
        </is>
      </c>
      <c r="N84" s="84">
        <f>IF(O84="","",O84-P84)</f>
        <v/>
      </c>
      <c r="O84" s="84" t="n">
        <v>286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999.95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1079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746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761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/>
      <c r="D88" s="89">
        <f>IF(E88="","",E88-F88)</f>
        <v/>
      </c>
      <c r="E88" s="89" t="inlineStr"/>
      <c r="F88" s="89" t="inlineStr"/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605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459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399.95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443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429</v>
      </c>
      <c r="F90" s="89" t="n">
        <v>0</v>
      </c>
      <c r="G90" s="90" t="inlineStr"/>
      <c r="H90" s="125" t="inlineStr">
        <is>
          <t>UE50U8000F</t>
        </is>
      </c>
      <c r="I90" s="89">
        <f>IF(J90="","",J90-K90)</f>
        <v/>
      </c>
      <c r="J90" s="89" t="n">
        <v>379.95</v>
      </c>
      <c r="K90" s="89" t="n">
        <v>0</v>
      </c>
      <c r="L90" s="90" t="inlineStr"/>
      <c r="M90" s="125" t="inlineStr">
        <is>
          <t>UE50U8000F</t>
        </is>
      </c>
      <c r="N90" s="89">
        <f>IF(O90="","",O90-P90)</f>
        <v/>
      </c>
      <c r="O90" s="89" t="n">
        <v>466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/>
      <c r="D91" s="89">
        <f>IF(E91="","",E91-F91)</f>
        <v/>
      </c>
      <c r="E91" s="89" t="inlineStr"/>
      <c r="F91" s="89" t="inlineStr"/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OLED65G69LS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4499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4499.95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3499.95</v>
      </c>
      <c r="K10" s="84" t="n">
        <v>0</v>
      </c>
      <c r="L10" s="85">
        <f>IFERROR(I10/I5,"")</f>
        <v/>
      </c>
      <c r="M10" s="83" t="inlineStr">
        <is>
          <t>OLED77C6ELB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2599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2599.95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2599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1799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OLED55C6ELB</t>
        </is>
      </c>
      <c r="N12" s="84">
        <f>IF(O12="","",O12-P12)</f>
        <v/>
      </c>
      <c r="O12" s="84" t="n">
        <v>1799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OLED48C6ELB</t>
        </is>
      </c>
      <c r="N13" s="84">
        <f>IF(O13="","",O13-P13)</f>
        <v/>
      </c>
      <c r="O13" s="84" t="n">
        <v>1599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1499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3699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2999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2399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1599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1399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5266.05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5266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4067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3279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2405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/>
      <c r="N28" s="89">
        <f>IF(O28="","",O28-P28)</f>
        <v/>
      </c>
      <c r="O28" s="89" t="inlineStr"/>
      <c r="P28" s="89" t="inlineStr"/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/>
      <c r="I29" s="109">
        <f>IF(J29="","",J29-K29)</f>
        <v/>
      </c>
      <c r="J29" s="89" t="inlineStr"/>
      <c r="K29" s="89" t="inlineStr"/>
      <c r="L29" s="90" t="inlineStr"/>
      <c r="M29" s="125" t="inlineStr">
        <is>
          <t>QE65S95HFTXZU</t>
        </is>
      </c>
      <c r="N29" s="89">
        <f>IF(O29="","",O29-P29)</f>
        <v/>
      </c>
      <c r="O29" s="89" t="n">
        <v>3279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2405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4465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4999.95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4293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3292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3237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2417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2375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1729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1729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1553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1541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1499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1499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4799.95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4611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3299.95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3150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2499.95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2278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>
        <is>
          <t>QE55S85HAEXZU</t>
        </is>
      </c>
      <c r="N42" s="89">
        <f>IF(O42="","",O42-P42)</f>
        <v/>
      </c>
      <c r="O42" s="89" t="n">
        <v>1633</v>
      </c>
      <c r="P42" s="89" t="n">
        <v>0</v>
      </c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1339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4999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2999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/>
      <c r="N48" s="89">
        <f>IF(O48="","",O48-P48)</f>
        <v/>
      </c>
      <c r="O48" s="89" t="inlineStr"/>
      <c r="P48" s="89" t="inlineStr"/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1999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2399.95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/>
      <c r="N50" s="95">
        <f>IF(O50="","",O50-P50)</f>
        <v/>
      </c>
      <c r="O50" s="96" t="inlineStr"/>
      <c r="P50" s="96" t="inlineStr"/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/>
      <c r="N51" s="89">
        <f>IF(O51="","",O51-P51)</f>
        <v/>
      </c>
      <c r="O51" s="89" t="inlineStr"/>
      <c r="P51" s="89" t="inlineStr"/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899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1099.95</v>
      </c>
      <c r="K52" s="89" t="n">
        <v>0</v>
      </c>
      <c r="L52" s="90">
        <f>IFERROR(I52/I7,"")</f>
        <v/>
      </c>
      <c r="M52" s="88" t="inlineStr"/>
      <c r="N52" s="89">
        <f>IF(O52="","",O52-P52)</f>
        <v/>
      </c>
      <c r="O52" s="89" t="inlineStr"/>
      <c r="P52" s="89" t="inlineStr"/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/>
      <c r="D59" s="84">
        <f>IF(E59="","",E59-F59)</f>
        <v/>
      </c>
      <c r="E59" s="84" t="inlineStr"/>
      <c r="F59" s="84" t="inlineStr"/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1849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1099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999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999.95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499</v>
      </c>
      <c r="F64" s="84" t="n">
        <v>0</v>
      </c>
      <c r="G64" s="85">
        <f>IFERROR(D64/D7,"")</f>
        <v/>
      </c>
      <c r="H64" s="83" t="inlineStr"/>
      <c r="I64" s="84">
        <f>IF(J64="","",J64-K64)</f>
        <v/>
      </c>
      <c r="J64" s="84" t="inlineStr"/>
      <c r="K64" s="84" t="inlineStr"/>
      <c r="L64" s="85">
        <f>IFERROR(I64/I7,"")</f>
        <v/>
      </c>
      <c r="M64" s="83" t="inlineStr"/>
      <c r="N64" s="84">
        <f>IF(O64="","",O64-P64)</f>
        <v/>
      </c>
      <c r="O64" s="84" t="inlineStr"/>
      <c r="P64" s="84" t="inlineStr"/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1349</v>
      </c>
      <c r="F74" s="84" t="n">
        <v>0</v>
      </c>
      <c r="G74" s="85">
        <f>IFERROR(D74/D5,"")</f>
        <v/>
      </c>
      <c r="H74" s="83" t="inlineStr">
        <is>
          <t>75QNED7EB</t>
        </is>
      </c>
      <c r="I74" s="84">
        <f>IF(J74="","",J74-K74)</f>
        <v/>
      </c>
      <c r="J74" s="84" t="n">
        <v>699.95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841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55QNED7EB</t>
        </is>
      </c>
      <c r="I76" s="103">
        <f>IF(J76="","",J76-K76)</f>
        <v/>
      </c>
      <c r="J76" s="84" t="n">
        <v>399.95</v>
      </c>
      <c r="K76" s="84" t="n">
        <v>0</v>
      </c>
      <c r="L76" s="85">
        <f>IFERROR(I76/I7,"")</f>
        <v/>
      </c>
      <c r="M76" s="83" t="inlineStr">
        <is>
          <t>55QNED7EB3C</t>
        </is>
      </c>
      <c r="N76" s="103">
        <f>IF(O76="","",O76-P76)</f>
        <v/>
      </c>
      <c r="O76" s="84" t="n">
        <v>458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50QNED7EB</t>
        </is>
      </c>
      <c r="I77" s="84">
        <f>IF(J77="","",J77-K77)</f>
        <v/>
      </c>
      <c r="J77" s="84" t="n">
        <v>349.95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376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342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5266.05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5266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4283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3322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3719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3999.95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3563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2396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2394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1916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1999.95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1914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1500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1499.95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1498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2999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2786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2349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1616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1799.95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1566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1329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1499.95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1282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1149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1299.95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1104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1300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1328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1888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1196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1329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UE65M70HAUXXN</t>
        </is>
      </c>
      <c r="N114" s="89">
        <f>IF(O114="","",O114-P114)</f>
        <v/>
      </c>
      <c r="O114" s="89" t="n">
        <v>699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699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688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1098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1099.95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599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999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999.95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549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1537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1146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>
        <is>
          <t>UE65U8090HUXXN</t>
        </is>
      </c>
      <c r="N128" s="96">
        <f>IF(O128="","",O128-P128)</f>
        <v/>
      </c>
      <c r="O128" s="89" t="n">
        <v>776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699.95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647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>
        <is>
          <t>U8090H</t>
        </is>
      </c>
      <c r="D131" s="89">
        <f>IF(E131="","",E131-F131)</f>
        <v/>
      </c>
      <c r="E131" s="89" t="n">
        <v>499</v>
      </c>
      <c r="F131" s="89" t="n">
        <v>0</v>
      </c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509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2026-07-20T07:34:00Z</dcterms:modified>
  <cp:lastModifiedBy>박대호/책임/TV유럽영업2팀</cp:lastModifiedBy>
</cp:coreProperties>
</file>