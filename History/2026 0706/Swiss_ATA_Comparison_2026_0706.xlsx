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family val="2"/>
      <b val="1"/>
      <color theme="0"/>
      <sz val="15"/>
    </font>
    <font>
      <name val="맑은 고딕"/>
      <family val="2"/>
      <color theme="0"/>
      <sz val="11"/>
      <scheme val="minor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color rgb="FF2C2C2C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</fonts>
  <fills count="12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F8F9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right" vertical="center"/>
    </xf>
    <xf numFmtId="9" fontId="6" fillId="7" borderId="1" applyAlignment="1" pivotButton="0" quotePrefix="0" xfId="0">
      <alignment horizontal="right" vertical="center"/>
    </xf>
    <xf numFmtId="0" fontId="0" fillId="8" borderId="1" pivotButton="0" quotePrefix="0" xfId="0"/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9" fontId="3" fillId="8" borderId="1" applyAlignment="1" pivotButton="0" quotePrefix="0" xfId="0">
      <alignment horizontal="right" vertical="center"/>
    </xf>
    <xf numFmtId="0" fontId="3" fillId="8" borderId="1" pivotButton="0" quotePrefix="0" xfId="0"/>
    <xf numFmtId="0" fontId="3" fillId="8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0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right" vertical="center"/>
    </xf>
    <xf numFmtId="9" fontId="6" fillId="9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1" pivotButton="0" quotePrefix="0" xfId="0"/>
    <xf numFmtId="0" fontId="6" fillId="11" borderId="1" applyAlignment="1" pivotButton="0" quotePrefix="0" xfId="0">
      <alignment horizontal="right" vertical="center"/>
    </xf>
    <xf numFmtId="9" fontId="6" fillId="11" borderId="1" applyAlignment="1" pivotButton="0" quotePrefix="0" xfId="0">
      <alignment horizontal="right" vertical="center"/>
    </xf>
    <xf numFmtId="3" fontId="6" fillId="11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9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topLeftCell="C1" zoomScale="70" zoomScaleNormal="70" workbookViewId="0">
      <selection activeCell="D4" sqref="D4"/>
    </sheetView>
  </sheetViews>
  <sheetFormatPr baseColWidth="8" defaultRowHeight="17.4"/>
  <cols>
    <col width="16" customWidth="1" style="14" min="2" max="2"/>
    <col width="18" customWidth="1" style="14" min="3" max="3"/>
    <col width="12" customWidth="1" style="14" min="4" max="7"/>
    <col width="18" customWidth="1" style="14" min="8" max="8"/>
    <col width="12" customWidth="1" style="14" min="9" max="12"/>
    <col width="18" customWidth="1" style="14" min="13" max="13"/>
    <col width="12" customWidth="1" style="14" min="14" max="17"/>
  </cols>
  <sheetData>
    <row r="1" ht="19.8" customHeight="1" s="14">
      <c r="C1" s="17" t="inlineStr">
        <is>
          <t>July(3rd)</t>
        </is>
      </c>
    </row>
    <row r="2">
      <c r="C2" s="16" t="inlineStr">
        <is>
          <t>MSH</t>
        </is>
      </c>
      <c r="H2" s="13" t="inlineStr">
        <is>
          <t>Interdiscount</t>
        </is>
      </c>
      <c r="M2" s="15" t="inlineStr">
        <is>
          <t>Digitec</t>
        </is>
      </c>
    </row>
    <row r="3" ht="25.05" customHeight="1" s="14">
      <c r="A3" s="33" t="inlineStr">
        <is>
          <t>Display</t>
        </is>
      </c>
      <c r="B3" s="1" t="inlineStr">
        <is>
          <t>Series</t>
        </is>
      </c>
      <c r="C3" s="1" t="inlineStr">
        <is>
          <t>Model</t>
        </is>
      </c>
      <c r="D3" s="1" t="inlineStr">
        <is>
          <t>Net Value</t>
        </is>
      </c>
      <c r="E3" s="1" t="inlineStr">
        <is>
          <t>판촉가</t>
        </is>
      </c>
      <c r="F3" s="1" t="inlineStr">
        <is>
          <t>Cashback</t>
        </is>
      </c>
      <c r="G3" s="1" t="inlineStr">
        <is>
          <t>ATA</t>
        </is>
      </c>
      <c r="H3" s="1" t="inlineStr">
        <is>
          <t>Model</t>
        </is>
      </c>
      <c r="I3" s="1" t="inlineStr">
        <is>
          <t>Net Value</t>
        </is>
      </c>
      <c r="J3" s="1" t="inlineStr">
        <is>
          <t>판촉가</t>
        </is>
      </c>
      <c r="K3" s="1" t="inlineStr">
        <is>
          <t>Cashback</t>
        </is>
      </c>
      <c r="L3" s="1" t="inlineStr">
        <is>
          <t>ATA</t>
        </is>
      </c>
      <c r="M3" s="1" t="inlineStr">
        <is>
          <t>Model</t>
        </is>
      </c>
      <c r="N3" s="1" t="inlineStr">
        <is>
          <t>Net Value</t>
        </is>
      </c>
      <c r="O3" s="1" t="inlineStr">
        <is>
          <t>판촉가</t>
        </is>
      </c>
      <c r="P3" s="1" t="inlineStr">
        <is>
          <t>Cashback</t>
        </is>
      </c>
      <c r="Q3" s="1" t="inlineStr">
        <is>
          <t>ATA</t>
        </is>
      </c>
    </row>
    <row r="4" ht="19.95" customHeight="1" s="14">
      <c r="A4" s="34" t="inlineStr">
        <is>
          <t>OLED</t>
        </is>
      </c>
      <c r="B4" s="34" t="inlineStr">
        <is>
          <t>83G5</t>
        </is>
      </c>
      <c r="C4" s="26" t="inlineStr">
        <is>
          <t>OLED83G57LW</t>
        </is>
      </c>
      <c r="D4" s="30">
        <f>IF(E4="","",E4-F4)</f>
        <v/>
      </c>
      <c r="E4" s="30" t="n">
        <v>3899</v>
      </c>
      <c r="F4" s="30" t="n">
        <v>0</v>
      </c>
      <c r="G4" s="29">
        <f>IFERROR(D4/D4,"")</f>
        <v/>
      </c>
      <c r="H4" s="26" t="inlineStr"/>
      <c r="I4" s="30">
        <f>IF(J4="","",J4-K4)</f>
        <v/>
      </c>
      <c r="J4" s="30" t="inlineStr"/>
      <c r="K4" s="30" t="inlineStr"/>
      <c r="L4" s="29">
        <f>IFERROR(I4/I4,"")</f>
        <v/>
      </c>
      <c r="M4" s="26" t="inlineStr">
        <is>
          <t>OLED83G58LW</t>
        </is>
      </c>
      <c r="N4" s="30">
        <f>IF(O4="","",O4-P4)</f>
        <v/>
      </c>
      <c r="O4" s="30" t="n">
        <v>3699</v>
      </c>
      <c r="P4" s="30" t="n">
        <v>0</v>
      </c>
      <c r="Q4" s="29">
        <f>IFERROR(N4/N4,"")</f>
        <v/>
      </c>
    </row>
    <row r="5" ht="19.95" customHeight="1" s="14">
      <c r="A5" s="34" t="inlineStr">
        <is>
          <t>OLED</t>
        </is>
      </c>
      <c r="B5" s="34" t="inlineStr">
        <is>
          <t>77G5</t>
        </is>
      </c>
      <c r="C5" s="26" t="inlineStr">
        <is>
          <t>OLED77G57LW</t>
        </is>
      </c>
      <c r="D5" s="30">
        <f>IF(E5="","",E5-F5)</f>
        <v/>
      </c>
      <c r="E5" s="30" t="n">
        <v>2699</v>
      </c>
      <c r="F5" s="30" t="n">
        <v>0</v>
      </c>
      <c r="G5" s="29">
        <f>IFERROR(D5/D5,"")</f>
        <v/>
      </c>
      <c r="H5" s="26" t="inlineStr">
        <is>
          <t>OLED77G57LW</t>
        </is>
      </c>
      <c r="I5" s="30">
        <f>IF(J5="","",J5-K5)</f>
        <v/>
      </c>
      <c r="J5" s="30" t="n">
        <v>2699.95</v>
      </c>
      <c r="K5" s="30" t="n">
        <v>0</v>
      </c>
      <c r="L5" s="29">
        <f>IFERROR(I5/I5,"")</f>
        <v/>
      </c>
      <c r="M5" s="26" t="inlineStr">
        <is>
          <t>OLED77G57LW</t>
        </is>
      </c>
      <c r="N5" s="30">
        <f>IF(O5="","",O5-P5)</f>
        <v/>
      </c>
      <c r="O5" s="30" t="n">
        <v>2799</v>
      </c>
      <c r="P5" s="30" t="n">
        <v>0</v>
      </c>
      <c r="Q5" s="29">
        <f>IFERROR(N5/N5,"")</f>
        <v/>
      </c>
    </row>
    <row r="6" ht="19.95" customHeight="1" s="14">
      <c r="A6" s="34" t="inlineStr">
        <is>
          <t>OLED</t>
        </is>
      </c>
      <c r="B6" s="34" t="inlineStr">
        <is>
          <t>65G5</t>
        </is>
      </c>
      <c r="C6" s="26" t="inlineStr">
        <is>
          <t>OLED65G59LS</t>
        </is>
      </c>
      <c r="D6" s="30">
        <f>IF(E6="","",E6-F6)</f>
        <v/>
      </c>
      <c r="E6" s="30" t="n">
        <v>1869</v>
      </c>
      <c r="F6" s="30" t="n">
        <v>0</v>
      </c>
      <c r="G6" s="29">
        <f>IFERROR(D6/D6,"")</f>
        <v/>
      </c>
      <c r="H6" s="26" t="inlineStr">
        <is>
          <t>OLED65G57LW</t>
        </is>
      </c>
      <c r="I6" s="30">
        <f>IF(J6="","",J6-K6)</f>
        <v/>
      </c>
      <c r="J6" s="30" t="n">
        <v>1799.95</v>
      </c>
      <c r="K6" s="30" t="n">
        <v>0</v>
      </c>
      <c r="L6" s="29">
        <f>IFERROR(I6/I6,"")</f>
        <v/>
      </c>
      <c r="M6" s="26" t="inlineStr">
        <is>
          <t>OLED65G59LS</t>
        </is>
      </c>
      <c r="N6" s="30">
        <f>IF(O6="","",O6-P6)</f>
        <v/>
      </c>
      <c r="O6" s="30" t="n">
        <v>1799</v>
      </c>
      <c r="P6" s="30" t="n">
        <v>0</v>
      </c>
      <c r="Q6" s="29">
        <f>IFERROR(N6/N6,"")</f>
        <v/>
      </c>
    </row>
    <row r="7" ht="19.95" customHeight="1" s="14">
      <c r="A7" s="34" t="inlineStr">
        <is>
          <t>OLED</t>
        </is>
      </c>
      <c r="B7" s="34" t="inlineStr">
        <is>
          <t>55G5</t>
        </is>
      </c>
      <c r="C7" s="26" t="inlineStr">
        <is>
          <t>OLED55G57LW</t>
        </is>
      </c>
      <c r="D7" s="30">
        <f>IF(E7="","",E7-F7)</f>
        <v/>
      </c>
      <c r="E7" s="30" t="n">
        <v>1499</v>
      </c>
      <c r="F7" s="30" t="n">
        <v>0</v>
      </c>
      <c r="G7" s="29">
        <f>IFERROR(D7/D7,"")</f>
        <v/>
      </c>
      <c r="H7" s="26" t="inlineStr">
        <is>
          <t>OLED55G57LW</t>
        </is>
      </c>
      <c r="I7" s="30">
        <f>IF(J7="","",J7-K7)</f>
        <v/>
      </c>
      <c r="J7" s="30" t="n">
        <v>1449.95</v>
      </c>
      <c r="K7" s="30" t="n">
        <v>0</v>
      </c>
      <c r="L7" s="29">
        <f>IFERROR(I7/I7,"")</f>
        <v/>
      </c>
      <c r="M7" s="26" t="inlineStr">
        <is>
          <t>OLED55G57LW</t>
        </is>
      </c>
      <c r="N7" s="30">
        <f>IF(O7="","",O7-P7)</f>
        <v/>
      </c>
      <c r="O7" s="30" t="n">
        <v>1499</v>
      </c>
      <c r="P7" s="30" t="n">
        <v>0</v>
      </c>
      <c r="Q7" s="29">
        <f>IFERROR(N7/N7,"")</f>
        <v/>
      </c>
    </row>
    <row r="8">
      <c r="A8" s="6" t="inlineStr"/>
      <c r="B8" s="6" t="n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 ht="19.95" customHeight="1" s="14">
      <c r="A9" s="34" t="inlineStr">
        <is>
          <t>OLED</t>
        </is>
      </c>
      <c r="B9" s="34" t="inlineStr">
        <is>
          <t>83C5</t>
        </is>
      </c>
      <c r="C9" s="26" t="inlineStr">
        <is>
          <t>OLED83C57LA</t>
        </is>
      </c>
      <c r="D9" s="30">
        <f>IF(E9="","",E9-F9)</f>
        <v/>
      </c>
      <c r="E9" s="30" t="n">
        <v>2239</v>
      </c>
      <c r="F9" s="30" t="n">
        <v>0</v>
      </c>
      <c r="G9" s="29">
        <f>IFERROR(D9/D4,"")</f>
        <v/>
      </c>
      <c r="H9" s="26" t="inlineStr">
        <is>
          <t>OLED83C57LA</t>
        </is>
      </c>
      <c r="I9" s="30">
        <f>IF(J9="","",J9-K9)</f>
        <v/>
      </c>
      <c r="J9" s="30" t="n">
        <v>2499.95</v>
      </c>
      <c r="K9" s="30" t="n">
        <v>0</v>
      </c>
      <c r="L9" s="29">
        <f>IFERROR(I9/I4,"")</f>
        <v/>
      </c>
      <c r="M9" s="26" t="inlineStr">
        <is>
          <t>OLED83C57LA</t>
        </is>
      </c>
      <c r="N9" s="30">
        <f>IF(O9="","",O9-P9)</f>
        <v/>
      </c>
      <c r="O9" s="30" t="n">
        <v>2199</v>
      </c>
      <c r="P9" s="30" t="n">
        <v>0</v>
      </c>
      <c r="Q9" s="29">
        <f>IFERROR(N9/N4,"")</f>
        <v/>
      </c>
    </row>
    <row r="10" ht="19.95" customHeight="1" s="14">
      <c r="A10" s="34" t="inlineStr">
        <is>
          <t>OLED</t>
        </is>
      </c>
      <c r="B10" s="34" t="inlineStr">
        <is>
          <t>77C5</t>
        </is>
      </c>
      <c r="C10" s="26" t="inlineStr">
        <is>
          <t>OLED77C57LA</t>
        </is>
      </c>
      <c r="D10" s="30">
        <f>IF(E10="","",E10-F10)</f>
        <v/>
      </c>
      <c r="E10" s="30" t="n">
        <v>1779</v>
      </c>
      <c r="F10" s="30" t="n">
        <v>0</v>
      </c>
      <c r="G10" s="29">
        <f>IFERROR(D10/D5,"")</f>
        <v/>
      </c>
      <c r="H10" s="26" t="inlineStr">
        <is>
          <t>OLED77C58LA</t>
        </is>
      </c>
      <c r="I10" s="30">
        <f>IF(J10="","",J10-K10)</f>
        <v/>
      </c>
      <c r="J10" s="30" t="n">
        <v>1879.95</v>
      </c>
      <c r="K10" s="30" t="n">
        <v>0</v>
      </c>
      <c r="L10" s="29">
        <f>IFERROR(I10/I5,"")</f>
        <v/>
      </c>
      <c r="M10" s="26" t="inlineStr">
        <is>
          <t>OLED77C57LA</t>
        </is>
      </c>
      <c r="N10" s="30">
        <f>IF(O10="","",O10-P10)</f>
        <v/>
      </c>
      <c r="O10" s="30" t="n">
        <v>1799</v>
      </c>
      <c r="P10" s="30" t="n">
        <v>0</v>
      </c>
      <c r="Q10" s="29">
        <f>IFERROR(N10/N5,"")</f>
        <v/>
      </c>
    </row>
    <row r="11" ht="19.95" customHeight="1" s="14">
      <c r="A11" s="34" t="inlineStr">
        <is>
          <t>OLED</t>
        </is>
      </c>
      <c r="B11" s="34" t="inlineStr">
        <is>
          <t>65C5</t>
        </is>
      </c>
      <c r="C11" s="26" t="inlineStr">
        <is>
          <t>OLED65C57LA</t>
        </is>
      </c>
      <c r="D11" s="30">
        <f>IF(E11="","",E11-F11)</f>
        <v/>
      </c>
      <c r="E11" s="30" t="n">
        <v>1239</v>
      </c>
      <c r="F11" s="30" t="n">
        <v>0</v>
      </c>
      <c r="G11" s="29">
        <f>IFERROR(D11/D6,"")</f>
        <v/>
      </c>
      <c r="H11" s="26" t="inlineStr">
        <is>
          <t>OLED65C58LA</t>
        </is>
      </c>
      <c r="I11" s="30">
        <f>IF(J11="","",J11-K11)</f>
        <v/>
      </c>
      <c r="J11" s="30" t="n">
        <v>1279.95</v>
      </c>
      <c r="K11" s="30" t="n">
        <v>0</v>
      </c>
      <c r="L11" s="29">
        <f>IFERROR(I11/I6,"")</f>
        <v/>
      </c>
      <c r="M11" s="26" t="inlineStr">
        <is>
          <t>OLED65C57LA</t>
        </is>
      </c>
      <c r="N11" s="30">
        <f>IF(O11="","",O11-P11)</f>
        <v/>
      </c>
      <c r="O11" s="30" t="n">
        <v>1249</v>
      </c>
      <c r="P11" s="30" t="n">
        <v>0</v>
      </c>
      <c r="Q11" s="29">
        <f>IFERROR(N11/N6,"")</f>
        <v/>
      </c>
    </row>
    <row r="12" ht="19.95" customHeight="1" s="14">
      <c r="A12" s="34" t="inlineStr">
        <is>
          <t>OLED</t>
        </is>
      </c>
      <c r="B12" s="34" t="inlineStr">
        <is>
          <t>55C5</t>
        </is>
      </c>
      <c r="C12" s="26" t="inlineStr"/>
      <c r="D12" s="30">
        <f>IF(E12="","",E12-F12)</f>
        <v/>
      </c>
      <c r="E12" s="30" t="inlineStr"/>
      <c r="F12" s="30" t="inlineStr"/>
      <c r="G12" s="29">
        <f>IFERROR(D12/D7,"")</f>
        <v/>
      </c>
      <c r="H12" s="26" t="inlineStr">
        <is>
          <t>OLED55C58LA</t>
        </is>
      </c>
      <c r="I12" s="30">
        <f>IF(J12="","",J12-K12)</f>
        <v/>
      </c>
      <c r="J12" s="30" t="n">
        <v>979.95</v>
      </c>
      <c r="K12" s="30" t="n">
        <v>0</v>
      </c>
      <c r="L12" s="29">
        <f>IFERROR(I12/I7,"")</f>
        <v/>
      </c>
      <c r="M12" s="26" t="inlineStr">
        <is>
          <t>OLED55C57LA</t>
        </is>
      </c>
      <c r="N12" s="30">
        <f>IF(O12="","",O12-P12)</f>
        <v/>
      </c>
      <c r="O12" s="30" t="n">
        <v>979</v>
      </c>
      <c r="P12" s="30" t="n">
        <v>0</v>
      </c>
      <c r="Q12" s="29">
        <f>IFERROR(N12/N7,"")</f>
        <v/>
      </c>
    </row>
    <row r="13" ht="19.95" customHeight="1" s="14">
      <c r="A13" s="34" t="inlineStr">
        <is>
          <t>OLED</t>
        </is>
      </c>
      <c r="B13" s="34" t="inlineStr">
        <is>
          <t>48C5</t>
        </is>
      </c>
      <c r="C13" s="26" t="inlineStr">
        <is>
          <t>OLED48C57LA</t>
        </is>
      </c>
      <c r="D13" s="30">
        <f>IF(E13="","",E13-F13)</f>
        <v/>
      </c>
      <c r="E13" s="30" t="n">
        <v>819</v>
      </c>
      <c r="F13" s="30" t="n">
        <v>0</v>
      </c>
      <c r="G13" s="29">
        <f>IFERROR(D13/D7,"")</f>
        <v/>
      </c>
      <c r="H13" s="26" t="inlineStr">
        <is>
          <t>OLED48C58</t>
        </is>
      </c>
      <c r="I13" s="30">
        <f>IF(J13="","",J13-K13)</f>
        <v/>
      </c>
      <c r="J13" s="30" t="n">
        <v>849.95</v>
      </c>
      <c r="K13" s="30" t="n">
        <v>0</v>
      </c>
      <c r="L13" s="29">
        <f>IFERROR(I13/I7,"")</f>
        <v/>
      </c>
      <c r="M13" s="26" t="inlineStr">
        <is>
          <t>OLED48C57LA</t>
        </is>
      </c>
      <c r="N13" s="30">
        <f>IF(O13="","",O13-P13)</f>
        <v/>
      </c>
      <c r="O13" s="30" t="n">
        <v>839</v>
      </c>
      <c r="P13" s="30" t="n">
        <v>0</v>
      </c>
      <c r="Q13" s="29">
        <f>IFERROR(N13/N7,"")</f>
        <v/>
      </c>
    </row>
    <row r="14" ht="19.95" customHeight="1" s="14">
      <c r="A14" s="34" t="inlineStr">
        <is>
          <t>OLED</t>
        </is>
      </c>
      <c r="B14" s="34" t="inlineStr">
        <is>
          <t>42C5</t>
        </is>
      </c>
      <c r="C14" s="26" t="inlineStr">
        <is>
          <t>OLED42C57LA</t>
        </is>
      </c>
      <c r="D14" s="30">
        <f>IF(E14="","",E14-F14)</f>
        <v/>
      </c>
      <c r="E14" s="30" t="n">
        <v>709</v>
      </c>
      <c r="F14" s="30" t="n">
        <v>0</v>
      </c>
      <c r="G14" s="29">
        <f>IFERROR(D14/D7,"")</f>
        <v/>
      </c>
      <c r="H14" s="26" t="inlineStr">
        <is>
          <t>OLED42C57LA</t>
        </is>
      </c>
      <c r="I14" s="30">
        <f>IF(J14="","",J14-K14)</f>
        <v/>
      </c>
      <c r="J14" s="30" t="n">
        <v>729.95</v>
      </c>
      <c r="K14" s="30" t="n">
        <v>0</v>
      </c>
      <c r="L14" s="29">
        <f>IFERROR(I14/I7,"")</f>
        <v/>
      </c>
      <c r="M14" s="26" t="inlineStr">
        <is>
          <t>OLED42C57LA</t>
        </is>
      </c>
      <c r="N14" s="30">
        <f>IF(O14="","",O14-P14)</f>
        <v/>
      </c>
      <c r="O14" s="30" t="n">
        <v>729</v>
      </c>
      <c r="P14" s="30" t="n">
        <v>0</v>
      </c>
      <c r="Q14" s="29">
        <f>IFERROR(N14/N7,"")</f>
        <v/>
      </c>
    </row>
    <row r="15">
      <c r="A15" s="6" t="inlineStr"/>
      <c r="B15" s="6" t="n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</row>
    <row r="16" ht="19.95" customHeight="1" s="14">
      <c r="A16" s="34" t="inlineStr">
        <is>
          <t>OLED</t>
        </is>
      </c>
      <c r="B16" s="34" t="inlineStr">
        <is>
          <t>83B5</t>
        </is>
      </c>
      <c r="C16" s="26" t="inlineStr">
        <is>
          <t>OLED83B59LA</t>
        </is>
      </c>
      <c r="D16" s="30">
        <f>IF(E16="","",E16-F16)</f>
        <v/>
      </c>
      <c r="E16" s="30" t="n">
        <v>1849</v>
      </c>
      <c r="F16" s="30" t="n">
        <v>0</v>
      </c>
      <c r="G16" s="29">
        <f>IFERROR(D16/D4,"")</f>
        <v/>
      </c>
      <c r="H16" s="26" t="inlineStr"/>
      <c r="I16" s="30">
        <f>IF(J16="","",J16-K16)</f>
        <v/>
      </c>
      <c r="J16" s="30" t="inlineStr"/>
      <c r="K16" s="30" t="inlineStr"/>
      <c r="L16" s="29">
        <f>IFERROR(I16/I4,"")</f>
        <v/>
      </c>
      <c r="M16" s="26" t="inlineStr">
        <is>
          <t>OLED83B59LA</t>
        </is>
      </c>
      <c r="N16" s="30">
        <f>IF(O16="","",O16-P16)</f>
        <v/>
      </c>
      <c r="O16" s="30" t="n">
        <v>1818</v>
      </c>
      <c r="P16" s="30" t="n">
        <v>0</v>
      </c>
      <c r="Q16" s="29">
        <f>IFERROR(N16/N4,"")</f>
        <v/>
      </c>
    </row>
    <row r="17" ht="19.95" customHeight="1" s="14">
      <c r="A17" s="34" t="inlineStr">
        <is>
          <t>OLED</t>
        </is>
      </c>
      <c r="B17" s="34" t="inlineStr">
        <is>
          <t>77B5</t>
        </is>
      </c>
      <c r="C17" s="26" t="inlineStr"/>
      <c r="D17" s="30">
        <f>IF(E17="","",E17-F17)</f>
        <v/>
      </c>
      <c r="E17" s="30" t="inlineStr"/>
      <c r="F17" s="30" t="inlineStr"/>
      <c r="G17" s="29">
        <f>IFERROR(D17/D5,"")</f>
        <v/>
      </c>
      <c r="H17" s="26" t="inlineStr"/>
      <c r="I17" s="30">
        <f>IF(J17="","",J17-K17)</f>
        <v/>
      </c>
      <c r="J17" s="30" t="inlineStr"/>
      <c r="K17" s="30" t="inlineStr"/>
      <c r="L17" s="29">
        <f>IFERROR(I17/I5,"")</f>
        <v/>
      </c>
      <c r="M17" s="26" t="inlineStr">
        <is>
          <t>OLED77B56LA</t>
        </is>
      </c>
      <c r="N17" s="30">
        <f>IF(O17="","",O17-P17)</f>
        <v/>
      </c>
      <c r="O17" s="30" t="n">
        <v>1494</v>
      </c>
      <c r="P17" s="30" t="n">
        <v>0</v>
      </c>
      <c r="Q17" s="29">
        <f>IFERROR(N17/N5,"")</f>
        <v/>
      </c>
    </row>
    <row r="18" ht="19.95" customHeight="1" s="14">
      <c r="A18" s="34" t="inlineStr">
        <is>
          <t>OLED</t>
        </is>
      </c>
      <c r="B18" s="34" t="inlineStr">
        <is>
          <t>65B5</t>
        </is>
      </c>
      <c r="C18" s="26" t="inlineStr">
        <is>
          <t>OLED65B59LA</t>
        </is>
      </c>
      <c r="D18" s="30">
        <f>IF(E18="","",E18-F18)</f>
        <v/>
      </c>
      <c r="E18" s="30" t="n">
        <v>1079</v>
      </c>
      <c r="F18" s="30" t="n">
        <v>0</v>
      </c>
      <c r="G18" s="29">
        <f>IFERROR(D18/D6,"")</f>
        <v/>
      </c>
      <c r="H18" s="26" t="inlineStr"/>
      <c r="I18" s="30">
        <f>IF(J18="","",J18-K18)</f>
        <v/>
      </c>
      <c r="J18" s="30" t="inlineStr"/>
      <c r="K18" s="30" t="inlineStr"/>
      <c r="L18" s="29">
        <f>IFERROR(I18/I6,"")</f>
        <v/>
      </c>
      <c r="M18" s="26" t="inlineStr">
        <is>
          <t>OLED65B59LA</t>
        </is>
      </c>
      <c r="N18" s="30">
        <f>IF(O18="","",O18-P18)</f>
        <v/>
      </c>
      <c r="O18" s="30" t="n">
        <v>999</v>
      </c>
      <c r="P18" s="30" t="n">
        <v>0</v>
      </c>
      <c r="Q18" s="29">
        <f>IFERROR(N18/N6,"")</f>
        <v/>
      </c>
    </row>
    <row r="19" ht="19.95" customHeight="1" s="14">
      <c r="A19" s="34" t="inlineStr">
        <is>
          <t>OLED</t>
        </is>
      </c>
      <c r="B19" s="34" t="inlineStr">
        <is>
          <t>55B5</t>
        </is>
      </c>
      <c r="C19" s="26" t="inlineStr">
        <is>
          <t>OLED55B59LA</t>
        </is>
      </c>
      <c r="D19" s="30">
        <f>IF(E19="","",E19-F19)</f>
        <v/>
      </c>
      <c r="E19" s="30" t="n">
        <v>789</v>
      </c>
      <c r="F19" s="30" t="n">
        <v>0</v>
      </c>
      <c r="G19" s="29">
        <f>IFERROR(D19/D7,"")</f>
        <v/>
      </c>
      <c r="H19" s="26" t="inlineStr"/>
      <c r="I19" s="30">
        <f>IF(J19="","",J19-K19)</f>
        <v/>
      </c>
      <c r="J19" s="30" t="inlineStr"/>
      <c r="K19" s="30" t="inlineStr"/>
      <c r="L19" s="29">
        <f>IFERROR(I19/I7,"")</f>
        <v/>
      </c>
      <c r="M19" s="26" t="inlineStr">
        <is>
          <t>OLED55B59LA</t>
        </is>
      </c>
      <c r="N19" s="30">
        <f>IF(O19="","",O19-P19)</f>
        <v/>
      </c>
      <c r="O19" s="30" t="n">
        <v>799</v>
      </c>
      <c r="P19" s="30" t="n">
        <v>0</v>
      </c>
      <c r="Q19" s="29">
        <f>IFERROR(N19/N7,"")</f>
        <v/>
      </c>
    </row>
    <row r="20" ht="19.95" customHeight="1" s="14">
      <c r="A20" s="34" t="inlineStr">
        <is>
          <t>OLED</t>
        </is>
      </c>
      <c r="B20" s="34" t="inlineStr">
        <is>
          <t>48B5</t>
        </is>
      </c>
      <c r="C20" s="26" t="inlineStr">
        <is>
          <t>OLED48B59LA</t>
        </is>
      </c>
      <c r="D20" s="30">
        <f>IF(E20="","",E20-F20)</f>
        <v/>
      </c>
      <c r="E20" s="30" t="n">
        <v>649</v>
      </c>
      <c r="F20" s="30" t="n">
        <v>0</v>
      </c>
      <c r="G20" s="29">
        <f>IFERROR(D20/D7,"")</f>
        <v/>
      </c>
      <c r="H20" s="26" t="inlineStr"/>
      <c r="I20" s="30">
        <f>IF(J20="","",J20-K20)</f>
        <v/>
      </c>
      <c r="J20" s="30" t="inlineStr"/>
      <c r="K20" s="30" t="inlineStr"/>
      <c r="L20" s="29">
        <f>IFERROR(I20/I7,"")</f>
        <v/>
      </c>
      <c r="M20" s="26" t="inlineStr">
        <is>
          <t>OLED48B59LA</t>
        </is>
      </c>
      <c r="N20" s="30">
        <f>IF(O20="","",O20-P20)</f>
        <v/>
      </c>
      <c r="O20" s="30" t="n">
        <v>699</v>
      </c>
      <c r="P20" s="30" t="n">
        <v>0</v>
      </c>
      <c r="Q20" s="29">
        <f>IFERROR(N20/N7,"")</f>
        <v/>
      </c>
    </row>
    <row r="21">
      <c r="A21" s="6" t="inlineStr"/>
      <c r="B21" s="6" t="n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</row>
    <row r="22" ht="19.95" customHeight="1" s="14">
      <c r="A22" s="35" t="inlineStr">
        <is>
          <t>OLED</t>
        </is>
      </c>
      <c r="B22" s="35" t="inlineStr">
        <is>
          <t>83S95F</t>
        </is>
      </c>
      <c r="C22" s="36" t="inlineStr">
        <is>
          <t>QE83S95FAE</t>
        </is>
      </c>
      <c r="D22" s="9">
        <f>IF(E22="","",E22-F22)</f>
        <v/>
      </c>
      <c r="E22" s="9" t="n">
        <v>5199</v>
      </c>
      <c r="F22" s="9" t="n">
        <v>0</v>
      </c>
      <c r="G22" s="10" t="inlineStr"/>
      <c r="H22" s="36" t="inlineStr">
        <is>
          <t>QE83S95F</t>
        </is>
      </c>
      <c r="I22" s="9">
        <f>IF(J22="","",J22-K22)</f>
        <v/>
      </c>
      <c r="J22" s="9" t="n">
        <v>4499.95</v>
      </c>
      <c r="K22" s="9" t="n">
        <v>0</v>
      </c>
      <c r="L22" s="10" t="inlineStr"/>
      <c r="M22" s="36" t="inlineStr"/>
      <c r="N22" s="9">
        <f>IF(O22="","",O22-P22)</f>
        <v/>
      </c>
      <c r="O22" s="9" t="inlineStr"/>
      <c r="P22" s="9" t="inlineStr"/>
      <c r="Q22" s="10" t="inlineStr"/>
    </row>
    <row r="23" ht="19.95" customHeight="1" s="14">
      <c r="A23" s="35" t="inlineStr">
        <is>
          <t>OLED</t>
        </is>
      </c>
      <c r="B23" s="35" t="inlineStr">
        <is>
          <t>77S95F</t>
        </is>
      </c>
      <c r="C23" s="36" t="inlineStr">
        <is>
          <t>QE77S95FAT</t>
        </is>
      </c>
      <c r="D23" s="9">
        <f>IF(E23="","",E23-F23)</f>
        <v/>
      </c>
      <c r="E23" s="9" t="n">
        <v>4149</v>
      </c>
      <c r="F23" s="9" t="n">
        <v>0</v>
      </c>
      <c r="G23" s="10" t="inlineStr"/>
      <c r="H23" s="36" t="inlineStr">
        <is>
          <t>QE77S95F</t>
        </is>
      </c>
      <c r="I23" s="9">
        <f>IF(J23="","",J23-K23)</f>
        <v/>
      </c>
      <c r="J23" s="9" t="n">
        <v>3499.95</v>
      </c>
      <c r="K23" s="9" t="n">
        <v>0</v>
      </c>
      <c r="L23" s="10" t="inlineStr"/>
      <c r="M23" s="36" t="inlineStr"/>
      <c r="N23" s="9">
        <f>IF(O23="","",O23-P23)</f>
        <v/>
      </c>
      <c r="O23" s="9" t="inlineStr"/>
      <c r="P23" s="9" t="inlineStr"/>
      <c r="Q23" s="10" t="inlineStr"/>
    </row>
    <row r="24" ht="19.95" customHeight="1" s="14">
      <c r="A24" s="35" t="inlineStr">
        <is>
          <t>OLED</t>
        </is>
      </c>
      <c r="B24" s="35" t="inlineStr">
        <is>
          <t>65S95F</t>
        </is>
      </c>
      <c r="C24" s="36" t="inlineStr">
        <is>
          <t>QE65S95FAT</t>
        </is>
      </c>
      <c r="D24" s="9">
        <f>IF(E24="","",E24-F24)</f>
        <v/>
      </c>
      <c r="E24" s="9" t="n">
        <v>3049</v>
      </c>
      <c r="F24" s="9" t="n">
        <v>0</v>
      </c>
      <c r="G24" s="10" t="inlineStr"/>
      <c r="H24" s="36" t="inlineStr">
        <is>
          <t>QE65S95F</t>
        </is>
      </c>
      <c r="I24" s="9">
        <f>IF(J24="","",J24-K24)</f>
        <v/>
      </c>
      <c r="J24" s="9" t="n">
        <v>2499.95</v>
      </c>
      <c r="K24" s="9" t="n">
        <v>0</v>
      </c>
      <c r="L24" s="10" t="inlineStr"/>
      <c r="M24" s="36" t="inlineStr"/>
      <c r="N24" s="9">
        <f>IF(O24="","",O24-P24)</f>
        <v/>
      </c>
      <c r="O24" s="9" t="inlineStr"/>
      <c r="P24" s="9" t="inlineStr"/>
      <c r="Q24" s="10" t="inlineStr"/>
    </row>
    <row r="25" ht="19.95" customHeight="1" s="14">
      <c r="A25" s="35" t="inlineStr">
        <is>
          <t>OLED</t>
        </is>
      </c>
      <c r="B25" s="35" t="inlineStr">
        <is>
          <t>55S95F</t>
        </is>
      </c>
      <c r="C25" s="36" t="inlineStr">
        <is>
          <t>QE55S95FAT</t>
        </is>
      </c>
      <c r="D25" s="9">
        <f>IF(E25="","",E25-F25)</f>
        <v/>
      </c>
      <c r="E25" s="9" t="n">
        <v>2529</v>
      </c>
      <c r="F25" s="9" t="n">
        <v>0</v>
      </c>
      <c r="G25" s="10" t="inlineStr"/>
      <c r="H25" s="36" t="inlineStr">
        <is>
          <t>QE55S95F</t>
        </is>
      </c>
      <c r="I25" s="9">
        <f>IF(J25="","",J25-K25)</f>
        <v/>
      </c>
      <c r="J25" s="9" t="n">
        <v>1999.95</v>
      </c>
      <c r="K25" s="9" t="n">
        <v>0</v>
      </c>
      <c r="L25" s="10" t="inlineStr"/>
      <c r="M25" s="36" t="inlineStr">
        <is>
          <t>QE55S95F</t>
        </is>
      </c>
      <c r="N25" s="9">
        <f>IF(O25="","",O25-P25)</f>
        <v/>
      </c>
      <c r="O25" s="9" t="n">
        <v>1809</v>
      </c>
      <c r="P25" s="9" t="n">
        <v>0</v>
      </c>
      <c r="Q25" s="10" t="inlineStr"/>
    </row>
    <row r="26">
      <c r="A26" s="6" t="inlineStr"/>
      <c r="B26" s="6" t="n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</row>
    <row r="27" ht="19.95" customHeight="1" s="14">
      <c r="A27" s="35" t="inlineStr">
        <is>
          <t>OLED</t>
        </is>
      </c>
      <c r="B27" s="35" t="inlineStr">
        <is>
          <t>83S90F</t>
        </is>
      </c>
      <c r="C27" s="36" t="inlineStr">
        <is>
          <t>QE83S90FAE</t>
        </is>
      </c>
      <c r="D27" s="9">
        <f>IF(E27="","",E27-F27)</f>
        <v/>
      </c>
      <c r="E27" s="9" t="n">
        <v>2199</v>
      </c>
      <c r="F27" s="9" t="n">
        <v>0</v>
      </c>
      <c r="G27" s="10" t="inlineStr"/>
      <c r="H27" s="36" t="inlineStr">
        <is>
          <t>QE83S90FAEXZU</t>
        </is>
      </c>
      <c r="I27" s="9">
        <f>IF(J27="","",J27-K27)</f>
        <v/>
      </c>
      <c r="J27" s="9" t="n">
        <v>1999.95</v>
      </c>
      <c r="K27" s="9" t="n">
        <v>0</v>
      </c>
      <c r="L27" s="10" t="inlineStr"/>
      <c r="M27" s="36" t="inlineStr">
        <is>
          <t>QE83S90FAE</t>
        </is>
      </c>
      <c r="N27" s="9">
        <f>IF(O27="","",O27-P27)</f>
        <v/>
      </c>
      <c r="O27" s="9" t="n">
        <v>2199</v>
      </c>
      <c r="P27" s="9" t="n">
        <v>0</v>
      </c>
      <c r="Q27" s="10" t="inlineStr"/>
    </row>
    <row r="28" ht="19.95" customHeight="1" s="14">
      <c r="A28" s="35" t="inlineStr">
        <is>
          <t>OLED</t>
        </is>
      </c>
      <c r="B28" s="35" t="inlineStr">
        <is>
          <t>77S90F</t>
        </is>
      </c>
      <c r="C28" s="36" t="inlineStr">
        <is>
          <t>QE77S90FAE</t>
        </is>
      </c>
      <c r="D28" s="9">
        <f>IF(E28="","",E28-F28)</f>
        <v/>
      </c>
      <c r="E28" s="9" t="n">
        <v>1759</v>
      </c>
      <c r="F28" s="9" t="n">
        <v>0</v>
      </c>
      <c r="G28" s="10" t="inlineStr"/>
      <c r="H28" s="36" t="inlineStr">
        <is>
          <t>QE77S90FAEXZU</t>
        </is>
      </c>
      <c r="I28" s="9">
        <f>IF(J28="","",J28-K28)</f>
        <v/>
      </c>
      <c r="J28" s="9" t="n">
        <v>1799.95</v>
      </c>
      <c r="K28" s="9" t="n">
        <v>0</v>
      </c>
      <c r="L28" s="10" t="inlineStr"/>
      <c r="M28" s="36" t="inlineStr">
        <is>
          <t>QE77S90FAE</t>
        </is>
      </c>
      <c r="N28" s="9">
        <f>IF(O28="","",O28-P28)</f>
        <v/>
      </c>
      <c r="O28" s="9" t="n">
        <v>1779</v>
      </c>
      <c r="P28" s="9" t="n">
        <v>0</v>
      </c>
      <c r="Q28" s="10" t="inlineStr"/>
    </row>
    <row r="29" ht="19.95" customHeight="1" s="14">
      <c r="A29" s="35" t="inlineStr">
        <is>
          <t>OLED</t>
        </is>
      </c>
      <c r="B29" s="35" t="inlineStr">
        <is>
          <t>65S90F</t>
        </is>
      </c>
      <c r="C29" s="36" t="inlineStr">
        <is>
          <t>QE65S90FAT</t>
        </is>
      </c>
      <c r="D29" s="9">
        <f>IF(E29="","",E29-F29)</f>
        <v/>
      </c>
      <c r="E29" s="9" t="n">
        <v>1299</v>
      </c>
      <c r="F29" s="9" t="n">
        <v>0</v>
      </c>
      <c r="G29" s="10" t="inlineStr"/>
      <c r="H29" s="36" t="inlineStr">
        <is>
          <t>QE65S90F</t>
        </is>
      </c>
      <c r="I29" s="9">
        <f>IF(J29="","",J29-K29)</f>
        <v/>
      </c>
      <c r="J29" s="9" t="n">
        <v>1299.95</v>
      </c>
      <c r="K29" s="9" t="n">
        <v>0</v>
      </c>
      <c r="L29" s="10" t="inlineStr"/>
      <c r="M29" s="36" t="inlineStr">
        <is>
          <t>QE65S90FAT</t>
        </is>
      </c>
      <c r="N29" s="9">
        <f>IF(O29="","",O29-P29)</f>
        <v/>
      </c>
      <c r="O29" s="9" t="n">
        <v>1279</v>
      </c>
      <c r="P29" s="9" t="n">
        <v>0</v>
      </c>
      <c r="Q29" s="10" t="inlineStr"/>
    </row>
    <row r="30" ht="19.95" customHeight="1" s="14">
      <c r="A30" s="35" t="inlineStr">
        <is>
          <t>OLED</t>
        </is>
      </c>
      <c r="B30" s="35" t="inlineStr">
        <is>
          <t>55S90F</t>
        </is>
      </c>
      <c r="C30" s="36" t="inlineStr">
        <is>
          <t>QE55S90FAE</t>
        </is>
      </c>
      <c r="D30" s="9">
        <f>IF(E30="","",E30-F30)</f>
        <v/>
      </c>
      <c r="E30" s="9" t="n">
        <v>999</v>
      </c>
      <c r="F30" s="9" t="n">
        <v>0</v>
      </c>
      <c r="G30" s="10" t="inlineStr"/>
      <c r="H30" s="36" t="inlineStr">
        <is>
          <t>QE55S90FAEXZU</t>
        </is>
      </c>
      <c r="I30" s="9">
        <f>IF(J30="","",J30-K30)</f>
        <v/>
      </c>
      <c r="J30" s="9" t="n">
        <v>899.95</v>
      </c>
      <c r="K30" s="9" t="n">
        <v>0</v>
      </c>
      <c r="L30" s="10" t="inlineStr"/>
      <c r="M30" s="36" t="inlineStr">
        <is>
          <t>QE55S90FAE</t>
        </is>
      </c>
      <c r="N30" s="9">
        <f>IF(O30="","",O30-P30)</f>
        <v/>
      </c>
      <c r="O30" s="9" t="n">
        <v>999</v>
      </c>
      <c r="P30" s="9" t="n">
        <v>0</v>
      </c>
      <c r="Q30" s="10" t="inlineStr"/>
    </row>
    <row r="31" ht="19.95" customHeight="1" s="14">
      <c r="A31" s="35" t="inlineStr">
        <is>
          <t>OLED</t>
        </is>
      </c>
      <c r="B31" s="35" t="inlineStr">
        <is>
          <t>48S90F</t>
        </is>
      </c>
      <c r="C31" s="36" t="inlineStr"/>
      <c r="D31" s="9">
        <f>IF(E31="","",E31-F31)</f>
        <v/>
      </c>
      <c r="E31" s="9" t="inlineStr"/>
      <c r="F31" s="9" t="inlineStr"/>
      <c r="G31" s="10" t="inlineStr"/>
      <c r="H31" s="36" t="inlineStr">
        <is>
          <t>QE48S90FAEXZU</t>
        </is>
      </c>
      <c r="I31" s="9">
        <f>IF(J31="","",J31-K31)</f>
        <v/>
      </c>
      <c r="J31" s="9" t="n">
        <v>849.95</v>
      </c>
      <c r="K31" s="9" t="n">
        <v>0</v>
      </c>
      <c r="L31" s="10" t="inlineStr"/>
      <c r="M31" s="36" t="inlineStr">
        <is>
          <t>QE48S90FAE</t>
        </is>
      </c>
      <c r="N31" s="9">
        <f>IF(O31="","",O31-P31)</f>
        <v/>
      </c>
      <c r="O31" s="9" t="n">
        <v>793</v>
      </c>
      <c r="P31" s="9" t="n">
        <v>0</v>
      </c>
      <c r="Q31" s="10" t="inlineStr"/>
    </row>
    <row r="32" ht="19.95" customHeight="1" s="14">
      <c r="A32" s="35" t="inlineStr">
        <is>
          <t>OLED</t>
        </is>
      </c>
      <c r="B32" s="35" t="inlineStr">
        <is>
          <t>42S90F</t>
        </is>
      </c>
      <c r="C32" s="36" t="inlineStr">
        <is>
          <t>QE42S90FAE</t>
        </is>
      </c>
      <c r="D32" s="9">
        <f>IF(E32="","",E32-F32)</f>
        <v/>
      </c>
      <c r="E32" s="9" t="n">
        <v>729</v>
      </c>
      <c r="F32" s="9" t="n">
        <v>0</v>
      </c>
      <c r="G32" s="10" t="inlineStr"/>
      <c r="H32" s="36" t="inlineStr">
        <is>
          <t>QE42S90F</t>
        </is>
      </c>
      <c r="I32" s="9">
        <f>IF(J32="","",J32-K32)</f>
        <v/>
      </c>
      <c r="J32" s="9" t="n">
        <v>729.95</v>
      </c>
      <c r="K32" s="9" t="n">
        <v>0</v>
      </c>
      <c r="L32" s="10" t="inlineStr"/>
      <c r="M32" s="36" t="inlineStr">
        <is>
          <t>QE42S90FAE</t>
        </is>
      </c>
      <c r="N32" s="9">
        <f>IF(O32="","",O32-P32)</f>
        <v/>
      </c>
      <c r="O32" s="9" t="n">
        <v>729</v>
      </c>
      <c r="P32" s="9" t="n">
        <v>0</v>
      </c>
      <c r="Q32" s="10" t="inlineStr"/>
    </row>
    <row r="33">
      <c r="A33" s="6" t="inlineStr"/>
      <c r="B33" s="6" t="n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</row>
    <row r="34" ht="19.95" customHeight="1" s="14">
      <c r="A34" s="35" t="inlineStr">
        <is>
          <t>OLED</t>
        </is>
      </c>
      <c r="B34" s="35" t="inlineStr">
        <is>
          <t>83S85F</t>
        </is>
      </c>
      <c r="C34" s="36" t="inlineStr">
        <is>
          <t>QE83S85FAE</t>
        </is>
      </c>
      <c r="D34" s="9">
        <f>IF(E34="","",E34-F34)</f>
        <v/>
      </c>
      <c r="E34" s="9" t="n">
        <v>3149</v>
      </c>
      <c r="F34" s="9" t="n">
        <v>0</v>
      </c>
      <c r="G34" s="10" t="inlineStr"/>
      <c r="H34" s="36" t="inlineStr">
        <is>
          <t>QE83S85FAEXZU</t>
        </is>
      </c>
      <c r="I34" s="9">
        <f>IF(J34="","",J34-K34)</f>
        <v/>
      </c>
      <c r="J34" s="9" t="n">
        <v>1899.95</v>
      </c>
      <c r="K34" s="9" t="n">
        <v>0</v>
      </c>
      <c r="L34" s="10" t="inlineStr"/>
      <c r="M34" s="36" t="inlineStr">
        <is>
          <t>QE83S85F</t>
        </is>
      </c>
      <c r="N34" s="9">
        <f>IF(O34="","",O34-P34)</f>
        <v/>
      </c>
      <c r="O34" s="9" t="n">
        <v>1999</v>
      </c>
      <c r="P34" s="9" t="n">
        <v>0</v>
      </c>
      <c r="Q34" s="10" t="inlineStr"/>
    </row>
    <row r="35" ht="19.95" customHeight="1" s="14">
      <c r="A35" s="35" t="inlineStr">
        <is>
          <t>OLED</t>
        </is>
      </c>
      <c r="B35" s="35" t="inlineStr">
        <is>
          <t>77S85F</t>
        </is>
      </c>
      <c r="C35" s="36" t="inlineStr">
        <is>
          <t>QE77S85FAE</t>
        </is>
      </c>
      <c r="D35" s="9">
        <f>IF(E35="","",E35-F35)</f>
        <v/>
      </c>
      <c r="E35" s="9" t="n">
        <v>3807</v>
      </c>
      <c r="F35" s="9" t="n">
        <v>0</v>
      </c>
      <c r="G35" s="10" t="inlineStr"/>
      <c r="H35" s="36" t="inlineStr"/>
      <c r="I35" s="9">
        <f>IF(J35="","",J35-K35)</f>
        <v/>
      </c>
      <c r="J35" s="9" t="inlineStr"/>
      <c r="K35" s="9" t="inlineStr"/>
      <c r="L35" s="10" t="inlineStr"/>
      <c r="M35" s="36" t="inlineStr"/>
      <c r="N35" s="9">
        <f>IF(O35="","",O35-P35)</f>
        <v/>
      </c>
      <c r="O35" s="9" t="inlineStr"/>
      <c r="P35" s="9" t="inlineStr"/>
      <c r="Q35" s="10" t="inlineStr"/>
    </row>
    <row r="36" ht="19.95" customHeight="1" s="14">
      <c r="A36" s="35" t="inlineStr">
        <is>
          <t>OLED</t>
        </is>
      </c>
      <c r="B36" s="35" t="inlineStr">
        <is>
          <t>65S85F</t>
        </is>
      </c>
      <c r="C36" s="36" t="inlineStr">
        <is>
          <t>QE65S85FAE</t>
        </is>
      </c>
      <c r="D36" s="9">
        <f>IF(E36="","",E36-F36)</f>
        <v/>
      </c>
      <c r="E36" s="9" t="n">
        <v>1349</v>
      </c>
      <c r="F36" s="9" t="n">
        <v>0</v>
      </c>
      <c r="G36" s="10" t="inlineStr"/>
      <c r="H36" s="36" t="inlineStr"/>
      <c r="I36" s="9">
        <f>IF(J36="","",J36-K36)</f>
        <v/>
      </c>
      <c r="J36" s="9" t="inlineStr"/>
      <c r="K36" s="9" t="inlineStr"/>
      <c r="L36" s="10" t="inlineStr"/>
      <c r="M36" s="36" t="inlineStr"/>
      <c r="N36" s="9">
        <f>IF(O36="","",O36-P36)</f>
        <v/>
      </c>
      <c r="O36" s="9" t="inlineStr"/>
      <c r="P36" s="9" t="inlineStr"/>
      <c r="Q36" s="10" t="inlineStr"/>
    </row>
    <row r="37" ht="19.95" customHeight="1" s="14">
      <c r="A37" s="35" t="inlineStr">
        <is>
          <t>OLED</t>
        </is>
      </c>
      <c r="B37" s="35" t="inlineStr">
        <is>
          <t>55S85F</t>
        </is>
      </c>
      <c r="C37" s="36" t="inlineStr">
        <is>
          <t>QE55S85FAU</t>
        </is>
      </c>
      <c r="D37" s="9">
        <f>IF(E37="","",E37-F37)</f>
        <v/>
      </c>
      <c r="E37" s="9" t="n">
        <v>899</v>
      </c>
      <c r="F37" s="9" t="n">
        <v>0</v>
      </c>
      <c r="G37" s="10" t="inlineStr"/>
      <c r="H37" s="36" t="inlineStr"/>
      <c r="I37" s="9">
        <f>IF(J37="","",J37-K37)</f>
        <v/>
      </c>
      <c r="J37" s="9" t="inlineStr"/>
      <c r="K37" s="9" t="inlineStr"/>
      <c r="L37" s="10" t="inlineStr"/>
      <c r="M37" s="36" t="inlineStr"/>
      <c r="N37" s="9">
        <f>IF(O37="","",O37-P37)</f>
        <v/>
      </c>
      <c r="O37" s="9" t="inlineStr"/>
      <c r="P37" s="9" t="inlineStr"/>
      <c r="Q37" s="10" t="inlineStr"/>
    </row>
    <row r="38">
      <c r="A38" s="6" t="inlineStr"/>
      <c r="B38" s="6" t="n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</row>
    <row r="39" ht="19.95" customHeight="1" s="14">
      <c r="A39" s="34" t="inlineStr">
        <is>
          <t>QNED</t>
        </is>
      </c>
      <c r="B39" s="34" t="inlineStr">
        <is>
          <t>100QNED86A</t>
        </is>
      </c>
      <c r="C39" s="26" t="inlineStr"/>
      <c r="D39" s="30">
        <f>IF(E39="","",E39-F39)</f>
        <v/>
      </c>
      <c r="E39" s="30" t="inlineStr"/>
      <c r="F39" s="30" t="inlineStr"/>
      <c r="G39" s="29">
        <f>IFERROR(D39/D4,"")</f>
        <v/>
      </c>
      <c r="H39" s="26" t="inlineStr"/>
      <c r="I39" s="30">
        <f>IF(J39="","",J39-K39)</f>
        <v/>
      </c>
      <c r="J39" s="30" t="inlineStr"/>
      <c r="K39" s="30" t="inlineStr"/>
      <c r="L39" s="29">
        <f>IFERROR(I39/I4,"")</f>
        <v/>
      </c>
      <c r="M39" s="26" t="inlineStr">
        <is>
          <t>100QNED86A6</t>
        </is>
      </c>
      <c r="N39" s="30">
        <f>IF(O39="","",O39-P39)</f>
        <v/>
      </c>
      <c r="O39" s="30" t="n">
        <v>2599</v>
      </c>
      <c r="P39" s="30" t="n">
        <v>0</v>
      </c>
      <c r="Q39" s="29">
        <f>IFERROR(N39/N4,"")</f>
        <v/>
      </c>
    </row>
    <row r="40" ht="19.95" customHeight="1" s="14">
      <c r="A40" s="34" t="inlineStr">
        <is>
          <t>QNED</t>
        </is>
      </c>
      <c r="B40" s="34" t="inlineStr">
        <is>
          <t>86QNED86A</t>
        </is>
      </c>
      <c r="C40" s="26" t="inlineStr">
        <is>
          <t>QNED86A6A</t>
        </is>
      </c>
      <c r="D40" s="30">
        <f>IF(E40="","",E40-F40)</f>
        <v/>
      </c>
      <c r="E40" s="30" t="n">
        <v>739</v>
      </c>
      <c r="F40" s="30" t="n">
        <v>0</v>
      </c>
      <c r="G40" s="29">
        <f>IFERROR(D40/D4,"")</f>
        <v/>
      </c>
      <c r="H40" s="26" t="inlineStr">
        <is>
          <t>86QNED86A6A</t>
        </is>
      </c>
      <c r="I40" s="30">
        <f>IF(J40="","",J40-K40)</f>
        <v/>
      </c>
      <c r="J40" s="30" t="n">
        <v>1299.95</v>
      </c>
      <c r="K40" s="30" t="n">
        <v>0</v>
      </c>
      <c r="L40" s="29">
        <f>IFERROR(I40/I4,"")</f>
        <v/>
      </c>
      <c r="M40" s="26" t="inlineStr">
        <is>
          <t>86QNED86A6A</t>
        </is>
      </c>
      <c r="N40" s="30">
        <f>IF(O40="","",O40-P40)</f>
        <v/>
      </c>
      <c r="O40" s="30" t="n">
        <v>1199</v>
      </c>
      <c r="P40" s="30" t="n">
        <v>0</v>
      </c>
      <c r="Q40" s="29">
        <f>IFERROR(N40/N4,"")</f>
        <v/>
      </c>
    </row>
    <row r="41" ht="19.95" customHeight="1" s="14">
      <c r="A41" s="34" t="inlineStr">
        <is>
          <t>QNED</t>
        </is>
      </c>
      <c r="B41" s="34" t="inlineStr">
        <is>
          <t>75QNED86A</t>
        </is>
      </c>
      <c r="C41" s="26" t="inlineStr"/>
      <c r="D41" s="30">
        <f>IF(E41="","",E41-F41)</f>
        <v/>
      </c>
      <c r="E41" s="30" t="inlineStr"/>
      <c r="F41" s="30" t="inlineStr"/>
      <c r="G41" s="29">
        <f>IFERROR(D41/D5,"")</f>
        <v/>
      </c>
      <c r="H41" s="26" t="inlineStr"/>
      <c r="I41" s="30">
        <f>IF(J41="","",J41-K41)</f>
        <v/>
      </c>
      <c r="J41" s="30" t="inlineStr"/>
      <c r="K41" s="30" t="inlineStr"/>
      <c r="L41" s="29">
        <f>IFERROR(I41/I5,"")</f>
        <v/>
      </c>
      <c r="M41" s="26" t="inlineStr"/>
      <c r="N41" s="30">
        <f>IF(O41="","",O41-P41)</f>
        <v/>
      </c>
      <c r="O41" s="30" t="inlineStr"/>
      <c r="P41" s="30" t="inlineStr"/>
      <c r="Q41" s="29">
        <f>IFERROR(N41/N5,"")</f>
        <v/>
      </c>
    </row>
    <row r="42" ht="19.95" customHeight="1" s="14">
      <c r="A42" s="34" t="inlineStr">
        <is>
          <t>QNED</t>
        </is>
      </c>
      <c r="B42" s="34" t="inlineStr">
        <is>
          <t>65QNED86A</t>
        </is>
      </c>
      <c r="C42" s="26" t="inlineStr"/>
      <c r="D42" s="30">
        <f>IF(E42="","",E42-F42)</f>
        <v/>
      </c>
      <c r="E42" s="30" t="inlineStr"/>
      <c r="F42" s="30" t="inlineStr"/>
      <c r="G42" s="29">
        <f>IFERROR(D42/D6,"")</f>
        <v/>
      </c>
      <c r="H42" s="26" t="inlineStr">
        <is>
          <t>65QNED86A6A</t>
        </is>
      </c>
      <c r="I42" s="30">
        <f>IF(J42="","",J42-K42)</f>
        <v/>
      </c>
      <c r="J42" s="30" t="n">
        <v>699.95</v>
      </c>
      <c r="K42" s="30" t="n">
        <v>0</v>
      </c>
      <c r="L42" s="29">
        <f>IFERROR(I42/I6,"")</f>
        <v/>
      </c>
      <c r="M42" s="26" t="inlineStr">
        <is>
          <t>65QNED86A6A</t>
        </is>
      </c>
      <c r="N42" s="30">
        <f>IF(O42="","",O42-P42)</f>
        <v/>
      </c>
      <c r="O42" s="30" t="n">
        <v>699</v>
      </c>
      <c r="P42" s="30" t="n">
        <v>0</v>
      </c>
      <c r="Q42" s="29">
        <f>IFERROR(N42/N6,"")</f>
        <v/>
      </c>
    </row>
    <row r="43" ht="19.95" customHeight="1" s="14">
      <c r="A43" s="34" t="inlineStr">
        <is>
          <t>QNED</t>
        </is>
      </c>
      <c r="B43" s="34" t="inlineStr">
        <is>
          <t>55QNED86A</t>
        </is>
      </c>
      <c r="C43" s="26" t="inlineStr"/>
      <c r="D43" s="30">
        <f>IF(E43="","",E43-F43)</f>
        <v/>
      </c>
      <c r="E43" s="30" t="inlineStr"/>
      <c r="F43" s="30" t="inlineStr"/>
      <c r="G43" s="29">
        <f>IFERROR(D43/D7,"")</f>
        <v/>
      </c>
      <c r="H43" s="26" t="inlineStr">
        <is>
          <t>55QNED86A</t>
        </is>
      </c>
      <c r="I43" s="30">
        <f>IF(J43="","",J43-K43)</f>
        <v/>
      </c>
      <c r="J43" s="30" t="n">
        <v>599.95</v>
      </c>
      <c r="K43" s="30" t="n">
        <v>0</v>
      </c>
      <c r="L43" s="29">
        <f>IFERROR(I43/I7,"")</f>
        <v/>
      </c>
      <c r="M43" s="26" t="inlineStr">
        <is>
          <t>55QNED86A6A</t>
        </is>
      </c>
      <c r="N43" s="30">
        <f>IF(O43="","",O43-P43)</f>
        <v/>
      </c>
      <c r="O43" s="30" t="n">
        <v>599</v>
      </c>
      <c r="P43" s="30" t="n">
        <v>0</v>
      </c>
      <c r="Q43" s="29">
        <f>IFERROR(N43/N7,"")</f>
        <v/>
      </c>
    </row>
    <row r="44" ht="19.95" customHeight="1" s="14">
      <c r="A44" s="34" t="inlineStr">
        <is>
          <t>QNED</t>
        </is>
      </c>
      <c r="B44" s="34" t="inlineStr">
        <is>
          <t>50QNED86A</t>
        </is>
      </c>
      <c r="C44" s="26" t="inlineStr"/>
      <c r="D44" s="30">
        <f>IF(E44="","",E44-F44)</f>
        <v/>
      </c>
      <c r="E44" s="30" t="inlineStr"/>
      <c r="F44" s="30" t="inlineStr"/>
      <c r="G44" s="29">
        <f>IFERROR(D44/D7,"")</f>
        <v/>
      </c>
      <c r="H44" s="26" t="inlineStr">
        <is>
          <t>50QNED86A6C</t>
        </is>
      </c>
      <c r="I44" s="30">
        <f>IF(J44="","",J44-K44)</f>
        <v/>
      </c>
      <c r="J44" s="30" t="n">
        <v>549.95</v>
      </c>
      <c r="K44" s="30" t="n">
        <v>0</v>
      </c>
      <c r="L44" s="29">
        <f>IFERROR(I44/I7,"")</f>
        <v/>
      </c>
      <c r="M44" s="26" t="inlineStr">
        <is>
          <t>50QNED86A6C</t>
        </is>
      </c>
      <c r="N44" s="30">
        <f>IF(O44="","",O44-P44)</f>
        <v/>
      </c>
      <c r="O44" s="30" t="n">
        <v>549</v>
      </c>
      <c r="P44" s="30" t="n">
        <v>0</v>
      </c>
      <c r="Q44" s="29">
        <f>IFERROR(N44/N7,"")</f>
        <v/>
      </c>
    </row>
    <row r="45">
      <c r="A45" s="6" t="inlineStr"/>
      <c r="B45" s="6" t="n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</row>
    <row r="46" ht="19.95" customHeight="1" s="14">
      <c r="A46" s="34" t="inlineStr">
        <is>
          <t>QNED</t>
        </is>
      </c>
      <c r="B46" s="34" t="inlineStr">
        <is>
          <t>86QNED80A</t>
        </is>
      </c>
      <c r="C46" s="26" t="inlineStr"/>
      <c r="D46" s="30">
        <f>IF(E46="","",E46-F46)</f>
        <v/>
      </c>
      <c r="E46" s="30" t="inlineStr"/>
      <c r="F46" s="30" t="inlineStr"/>
      <c r="G46" s="29">
        <f>IFERROR(D46/D4,"")</f>
        <v/>
      </c>
      <c r="H46" s="26" t="inlineStr">
        <is>
          <t>86QNED80A6A</t>
        </is>
      </c>
      <c r="I46" s="30">
        <f>IF(J46="","",J46-K46)</f>
        <v/>
      </c>
      <c r="J46" s="30" t="n">
        <v>1099.95</v>
      </c>
      <c r="K46" s="30" t="n">
        <v>0</v>
      </c>
      <c r="L46" s="29">
        <f>IFERROR(I46/I4,"")</f>
        <v/>
      </c>
      <c r="M46" s="26" t="inlineStr">
        <is>
          <t>86QNED80A6A</t>
        </is>
      </c>
      <c r="N46" s="30">
        <f>IF(O46="","",O46-P46)</f>
        <v/>
      </c>
      <c r="O46" s="30" t="n">
        <v>1111</v>
      </c>
      <c r="P46" s="30" t="n">
        <v>0</v>
      </c>
      <c r="Q46" s="29">
        <f>IFERROR(N46/N4,"")</f>
        <v/>
      </c>
    </row>
    <row r="47" ht="19.95" customHeight="1" s="14">
      <c r="A47" s="34" t="inlineStr">
        <is>
          <t>QNED</t>
        </is>
      </c>
      <c r="B47" s="34" t="inlineStr">
        <is>
          <t>75QNED80A</t>
        </is>
      </c>
      <c r="C47" s="26" t="inlineStr"/>
      <c r="D47" s="30">
        <f>IF(E47="","",E47-F47)</f>
        <v/>
      </c>
      <c r="E47" s="30" t="inlineStr"/>
      <c r="F47" s="30" t="inlineStr"/>
      <c r="G47" s="29">
        <f>IFERROR(D47/D5,"")</f>
        <v/>
      </c>
      <c r="H47" s="26" t="inlineStr"/>
      <c r="I47" s="30">
        <f>IF(J47="","",J47-K47)</f>
        <v/>
      </c>
      <c r="J47" s="30" t="inlineStr"/>
      <c r="K47" s="30" t="inlineStr"/>
      <c r="L47" s="29">
        <f>IFERROR(I47/I5,"")</f>
        <v/>
      </c>
      <c r="M47" s="26" t="inlineStr">
        <is>
          <t>75QNED80A6A</t>
        </is>
      </c>
      <c r="N47" s="30">
        <f>IF(O47="","",O47-P47)</f>
        <v/>
      </c>
      <c r="O47" s="30" t="n">
        <v>899</v>
      </c>
      <c r="P47" s="30" t="n">
        <v>0</v>
      </c>
      <c r="Q47" s="29">
        <f>IFERROR(N47/N5,"")</f>
        <v/>
      </c>
    </row>
    <row r="48" ht="19.95" customHeight="1" s="14">
      <c r="A48" s="34" t="inlineStr">
        <is>
          <t>QNED</t>
        </is>
      </c>
      <c r="B48" s="34" t="inlineStr">
        <is>
          <t>65QNED80A</t>
        </is>
      </c>
      <c r="C48" s="26" t="inlineStr"/>
      <c r="D48" s="30">
        <f>IF(E48="","",E48-F48)</f>
        <v/>
      </c>
      <c r="E48" s="30" t="inlineStr"/>
      <c r="F48" s="30" t="inlineStr"/>
      <c r="G48" s="29">
        <f>IFERROR(D48/D6,"")</f>
        <v/>
      </c>
      <c r="H48" s="26" t="inlineStr">
        <is>
          <t>65QNED80A</t>
        </is>
      </c>
      <c r="I48" s="30">
        <f>IF(J48="","",J48-K48)</f>
        <v/>
      </c>
      <c r="J48" s="30" t="n">
        <v>649.95</v>
      </c>
      <c r="K48" s="30" t="n">
        <v>0</v>
      </c>
      <c r="L48" s="29">
        <f>IFERROR(I48/I6,"")</f>
        <v/>
      </c>
      <c r="M48" s="26" t="inlineStr">
        <is>
          <t>65QNED80A6A</t>
        </is>
      </c>
      <c r="N48" s="30">
        <f>IF(O48="","",O48-P48)</f>
        <v/>
      </c>
      <c r="O48" s="30" t="n">
        <v>666</v>
      </c>
      <c r="P48" s="30" t="n">
        <v>0</v>
      </c>
      <c r="Q48" s="29">
        <f>IFERROR(N48/N6,"")</f>
        <v/>
      </c>
    </row>
    <row r="49" ht="19.95" customHeight="1" s="14">
      <c r="A49" s="34" t="inlineStr">
        <is>
          <t>QNED</t>
        </is>
      </c>
      <c r="B49" s="34" t="inlineStr">
        <is>
          <t>55QNED80A</t>
        </is>
      </c>
      <c r="C49" s="26" t="inlineStr"/>
      <c r="D49" s="30">
        <f>IF(E49="","",E49-F49)</f>
        <v/>
      </c>
      <c r="E49" s="30" t="inlineStr"/>
      <c r="F49" s="30" t="inlineStr"/>
      <c r="G49" s="29">
        <f>IFERROR(D49/D7,"")</f>
        <v/>
      </c>
      <c r="H49" s="26" t="inlineStr">
        <is>
          <t>55QNED80A6A</t>
        </is>
      </c>
      <c r="I49" s="30">
        <f>IF(J49="","",J49-K49)</f>
        <v/>
      </c>
      <c r="J49" s="30" t="n">
        <v>479.95</v>
      </c>
      <c r="K49" s="30" t="n">
        <v>0</v>
      </c>
      <c r="L49" s="29">
        <f>IFERROR(I49/I7,"")</f>
        <v/>
      </c>
      <c r="M49" s="26" t="inlineStr">
        <is>
          <t>55QNED80A6A</t>
        </is>
      </c>
      <c r="N49" s="30">
        <f>IF(O49="","",O49-P49)</f>
        <v/>
      </c>
      <c r="O49" s="30" t="n">
        <v>500</v>
      </c>
      <c r="P49" s="30" t="n">
        <v>0</v>
      </c>
      <c r="Q49" s="29">
        <f>IFERROR(N49/N7,"")</f>
        <v/>
      </c>
    </row>
    <row r="50" ht="19.95" customHeight="1" s="14">
      <c r="A50" s="34" t="inlineStr">
        <is>
          <t>QNED</t>
        </is>
      </c>
      <c r="B50" s="34" t="inlineStr">
        <is>
          <t>50QNED80A</t>
        </is>
      </c>
      <c r="C50" s="26" t="inlineStr"/>
      <c r="D50" s="30">
        <f>IF(E50="","",E50-F50)</f>
        <v/>
      </c>
      <c r="E50" s="30" t="inlineStr"/>
      <c r="F50" s="30" t="inlineStr"/>
      <c r="G50" s="29">
        <f>IFERROR(D50/D7,"")</f>
        <v/>
      </c>
      <c r="H50" s="26" t="inlineStr">
        <is>
          <t>50QNED80A6A</t>
        </is>
      </c>
      <c r="I50" s="30">
        <f>IF(J50="","",J50-K50)</f>
        <v/>
      </c>
      <c r="J50" s="30" t="n">
        <v>449.95</v>
      </c>
      <c r="K50" s="30" t="n">
        <v>0</v>
      </c>
      <c r="L50" s="29">
        <f>IFERROR(I50/I7,"")</f>
        <v/>
      </c>
      <c r="M50" s="26" t="inlineStr">
        <is>
          <t>50QNED80A6A</t>
        </is>
      </c>
      <c r="N50" s="30">
        <f>IF(O50="","",O50-P50)</f>
        <v/>
      </c>
      <c r="O50" s="30" t="n">
        <v>444</v>
      </c>
      <c r="P50" s="30" t="n">
        <v>0</v>
      </c>
      <c r="Q50" s="29">
        <f>IFERROR(N50/N7,"")</f>
        <v/>
      </c>
    </row>
    <row r="51" ht="19.95" customHeight="1" s="14">
      <c r="A51" s="34" t="inlineStr">
        <is>
          <t>QNED</t>
        </is>
      </c>
      <c r="B51" s="34" t="inlineStr">
        <is>
          <t>43QNED80A</t>
        </is>
      </c>
      <c r="C51" s="26" t="inlineStr"/>
      <c r="D51" s="30">
        <f>IF(E51="","",E51-F51)</f>
        <v/>
      </c>
      <c r="E51" s="30" t="inlineStr"/>
      <c r="F51" s="30" t="inlineStr"/>
      <c r="G51" s="29">
        <f>IFERROR(D51/D7,"")</f>
        <v/>
      </c>
      <c r="H51" s="26" t="inlineStr"/>
      <c r="I51" s="30">
        <f>IF(J51="","",J51-K51)</f>
        <v/>
      </c>
      <c r="J51" s="30" t="inlineStr"/>
      <c r="K51" s="30" t="inlineStr"/>
      <c r="L51" s="29">
        <f>IFERROR(I51/I7,"")</f>
        <v/>
      </c>
      <c r="M51" s="26" t="inlineStr">
        <is>
          <t>43QNED80A6A</t>
        </is>
      </c>
      <c r="N51" s="30">
        <f>IF(O51="","",O51-P51)</f>
        <v/>
      </c>
      <c r="O51" s="30" t="n">
        <v>379</v>
      </c>
      <c r="P51" s="30" t="n">
        <v>0</v>
      </c>
      <c r="Q51" s="29">
        <f>IFERROR(N51/N7,"")</f>
        <v/>
      </c>
    </row>
    <row r="52">
      <c r="A52" s="6" t="inlineStr"/>
      <c r="B52" s="6" t="n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</row>
    <row r="53" ht="19.95" customHeight="1" s="14">
      <c r="A53" s="35" t="inlineStr">
        <is>
          <t>QLED</t>
        </is>
      </c>
      <c r="B53" s="35" t="inlineStr">
        <is>
          <t>85QN70F</t>
        </is>
      </c>
      <c r="C53" s="36" t="inlineStr"/>
      <c r="D53" s="9">
        <f>IF(E53="","",E53-F53)</f>
        <v/>
      </c>
      <c r="E53" s="9" t="inlineStr"/>
      <c r="F53" s="9" t="inlineStr"/>
      <c r="G53" s="10" t="inlineStr"/>
      <c r="H53" s="36" t="inlineStr">
        <is>
          <t>QE85QN70F</t>
        </is>
      </c>
      <c r="I53" s="9">
        <f>IF(J53="","",J53-K53)</f>
        <v/>
      </c>
      <c r="J53" s="9" t="n">
        <v>1599.95</v>
      </c>
      <c r="K53" s="9" t="n">
        <v>0</v>
      </c>
      <c r="L53" s="10" t="inlineStr"/>
      <c r="M53" s="36" t="inlineStr">
        <is>
          <t>QE85QN70FAU</t>
        </is>
      </c>
      <c r="N53" s="9">
        <f>IF(O53="","",O53-P53)</f>
        <v/>
      </c>
      <c r="O53" s="9" t="n">
        <v>1449</v>
      </c>
      <c r="P53" s="9" t="n">
        <v>0</v>
      </c>
      <c r="Q53" s="10" t="inlineStr"/>
    </row>
    <row r="54" ht="19.95" customHeight="1" s="14">
      <c r="A54" s="35" t="inlineStr">
        <is>
          <t>QLED</t>
        </is>
      </c>
      <c r="B54" s="35" t="inlineStr">
        <is>
          <t>75QN70F</t>
        </is>
      </c>
      <c r="C54" s="36" t="inlineStr">
        <is>
          <t>QE75QN70FAU</t>
        </is>
      </c>
      <c r="D54" s="9">
        <f>IF(E54="","",E54-F54)</f>
        <v/>
      </c>
      <c r="E54" s="9" t="n">
        <v>1878</v>
      </c>
      <c r="F54" s="9" t="n">
        <v>0</v>
      </c>
      <c r="G54" s="10" t="inlineStr"/>
      <c r="H54" s="36" t="inlineStr">
        <is>
          <t>QE75QN70FAUXXN</t>
        </is>
      </c>
      <c r="I54" s="9">
        <f>IF(J54="","",J54-K54)</f>
        <v/>
      </c>
      <c r="J54" s="9" t="n">
        <v>999.95</v>
      </c>
      <c r="K54" s="9" t="n">
        <v>0</v>
      </c>
      <c r="L54" s="10" t="inlineStr"/>
      <c r="M54" s="36" t="inlineStr">
        <is>
          <t>QE75QN70FAU</t>
        </is>
      </c>
      <c r="N54" s="9">
        <f>IF(O54="","",O54-P54)</f>
        <v/>
      </c>
      <c r="O54" s="9" t="n">
        <v>999</v>
      </c>
      <c r="P54" s="9" t="n">
        <v>0</v>
      </c>
      <c r="Q54" s="10" t="inlineStr"/>
    </row>
    <row r="55" ht="19.95" customHeight="1" s="14">
      <c r="A55" s="35" t="inlineStr">
        <is>
          <t>QLED</t>
        </is>
      </c>
      <c r="B55" s="35" t="inlineStr">
        <is>
          <t>65QN70F</t>
        </is>
      </c>
      <c r="C55" s="36" t="inlineStr"/>
      <c r="D55" s="9">
        <f>IF(E55="","",E55-F55)</f>
        <v/>
      </c>
      <c r="E55" s="9" t="inlineStr"/>
      <c r="F55" s="9" t="inlineStr"/>
      <c r="G55" s="10" t="inlineStr"/>
      <c r="H55" s="36" t="inlineStr">
        <is>
          <t>QE65QN70F</t>
        </is>
      </c>
      <c r="I55" s="9">
        <f>IF(J55="","",J55-K55)</f>
        <v/>
      </c>
      <c r="J55" s="9" t="n">
        <v>799.95</v>
      </c>
      <c r="K55" s="9" t="n">
        <v>0</v>
      </c>
      <c r="L55" s="10" t="inlineStr"/>
      <c r="M55" s="36" t="inlineStr">
        <is>
          <t>QE65QN70FAU</t>
        </is>
      </c>
      <c r="N55" s="9">
        <f>IF(O55="","",O55-P55)</f>
        <v/>
      </c>
      <c r="O55" s="9" t="n">
        <v>749</v>
      </c>
      <c r="P55" s="9" t="n">
        <v>0</v>
      </c>
      <c r="Q55" s="10" t="inlineStr"/>
    </row>
    <row r="56" ht="19.95" customHeight="1" s="14">
      <c r="A56" s="35" t="inlineStr">
        <is>
          <t>QLED</t>
        </is>
      </c>
      <c r="B56" s="35" t="inlineStr">
        <is>
          <t>55QN70F</t>
        </is>
      </c>
      <c r="C56" s="36" t="inlineStr"/>
      <c r="D56" s="9">
        <f>IF(E56="","",E56-F56)</f>
        <v/>
      </c>
      <c r="E56" s="9" t="inlineStr"/>
      <c r="F56" s="9" t="inlineStr"/>
      <c r="G56" s="10" t="inlineStr"/>
      <c r="H56" s="36" t="inlineStr">
        <is>
          <t>QE55QN70FAUXXN</t>
        </is>
      </c>
      <c r="I56" s="9">
        <f>IF(J56="","",J56-K56)</f>
        <v/>
      </c>
      <c r="J56" s="9" t="n">
        <v>599.95</v>
      </c>
      <c r="K56" s="9" t="n">
        <v>0</v>
      </c>
      <c r="L56" s="10" t="inlineStr"/>
      <c r="M56" s="36" t="inlineStr">
        <is>
          <t>QE55QN70FAU</t>
        </is>
      </c>
      <c r="N56" s="9">
        <f>IF(O56="","",O56-P56)</f>
        <v/>
      </c>
      <c r="O56" s="9" t="n">
        <v>599</v>
      </c>
      <c r="P56" s="9" t="n">
        <v>0</v>
      </c>
      <c r="Q56" s="10" t="inlineStr"/>
    </row>
    <row r="57">
      <c r="A57" s="6" t="inlineStr"/>
      <c r="B57" s="6" t="n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</row>
    <row r="58" ht="19.95" customHeight="1" s="14">
      <c r="A58" s="35" t="inlineStr">
        <is>
          <t>QLED</t>
        </is>
      </c>
      <c r="B58" s="35" t="inlineStr">
        <is>
          <t>85Q8F</t>
        </is>
      </c>
      <c r="C58" s="36" t="inlineStr">
        <is>
          <t>QE85Q8FAAU</t>
        </is>
      </c>
      <c r="D58" s="9">
        <f>IF(E58="","",E58-F58)</f>
        <v/>
      </c>
      <c r="E58" s="9" t="n">
        <v>1567</v>
      </c>
      <c r="F58" s="9" t="n">
        <v>0</v>
      </c>
      <c r="G58" s="10" t="inlineStr"/>
      <c r="H58" s="36" t="inlineStr">
        <is>
          <t>QE85Q8F</t>
        </is>
      </c>
      <c r="I58" s="9">
        <f>IF(J58="","",J58-K58)</f>
        <v/>
      </c>
      <c r="J58" s="9" t="n">
        <v>1299.95</v>
      </c>
      <c r="K58" s="9" t="n">
        <v>0</v>
      </c>
      <c r="L58" s="10" t="inlineStr"/>
      <c r="M58" s="36" t="inlineStr">
        <is>
          <t>QE85Q8FAAU</t>
        </is>
      </c>
      <c r="N58" s="9">
        <f>IF(O58="","",O58-P58)</f>
        <v/>
      </c>
      <c r="O58" s="9" t="n">
        <v>1299</v>
      </c>
      <c r="P58" s="9" t="n">
        <v>0</v>
      </c>
      <c r="Q58" s="10" t="inlineStr"/>
    </row>
    <row r="59" ht="19.95" customHeight="1" s="14">
      <c r="A59" s="35" t="inlineStr">
        <is>
          <t>QLED</t>
        </is>
      </c>
      <c r="B59" s="35" t="inlineStr">
        <is>
          <t>75Q8F</t>
        </is>
      </c>
      <c r="C59" s="36" t="inlineStr">
        <is>
          <t>QE75Q8FAAU</t>
        </is>
      </c>
      <c r="D59" s="9">
        <f>IF(E59="","",E59-F59)</f>
        <v/>
      </c>
      <c r="E59" s="9" t="n">
        <v>999</v>
      </c>
      <c r="F59" s="9" t="n">
        <v>0</v>
      </c>
      <c r="G59" s="10" t="inlineStr"/>
      <c r="H59" s="36" t="inlineStr">
        <is>
          <t>QE75Q8FAAUXXN</t>
        </is>
      </c>
      <c r="I59" s="9">
        <f>IF(J59="","",J59-K59)</f>
        <v/>
      </c>
      <c r="J59" s="9" t="n">
        <v>949.95</v>
      </c>
      <c r="K59" s="9" t="n">
        <v>0</v>
      </c>
      <c r="L59" s="10" t="inlineStr"/>
      <c r="M59" s="36" t="inlineStr">
        <is>
          <t>QE75Q8FAAU</t>
        </is>
      </c>
      <c r="N59" s="9">
        <f>IF(O59="","",O59-P59)</f>
        <v/>
      </c>
      <c r="O59" s="9" t="n">
        <v>779</v>
      </c>
      <c r="P59" s="9" t="n">
        <v>0</v>
      </c>
      <c r="Q59" s="10" t="inlineStr"/>
    </row>
    <row r="60" ht="19.95" customHeight="1" s="14">
      <c r="A60" s="35" t="inlineStr">
        <is>
          <t>QLED</t>
        </is>
      </c>
      <c r="B60" s="35" t="inlineStr">
        <is>
          <t>65Q8F</t>
        </is>
      </c>
      <c r="C60" s="36" t="inlineStr">
        <is>
          <t>QE65Q8FAAU</t>
        </is>
      </c>
      <c r="D60" s="9">
        <f>IF(E60="","",E60-F60)</f>
        <v/>
      </c>
      <c r="E60" s="9" t="n">
        <v>679</v>
      </c>
      <c r="F60" s="9" t="n">
        <v>0</v>
      </c>
      <c r="G60" s="10" t="inlineStr"/>
      <c r="H60" s="36" t="inlineStr">
        <is>
          <t>QE65Q8F</t>
        </is>
      </c>
      <c r="I60" s="9">
        <f>IF(J60="","",J60-K60)</f>
        <v/>
      </c>
      <c r="J60" s="9" t="n">
        <v>679.95</v>
      </c>
      <c r="K60" s="9" t="n">
        <v>0</v>
      </c>
      <c r="L60" s="10" t="inlineStr"/>
      <c r="M60" s="36" t="inlineStr">
        <is>
          <t>QE65Q8FAAU</t>
        </is>
      </c>
      <c r="N60" s="9">
        <f>IF(O60="","",O60-P60)</f>
        <v/>
      </c>
      <c r="O60" s="9" t="n">
        <v>699</v>
      </c>
      <c r="P60" s="9" t="n">
        <v>0</v>
      </c>
      <c r="Q60" s="10" t="inlineStr"/>
    </row>
    <row r="61" ht="19.95" customHeight="1" s="14">
      <c r="A61" s="35" t="inlineStr">
        <is>
          <t>QLED</t>
        </is>
      </c>
      <c r="B61" s="35" t="inlineStr">
        <is>
          <t>55Q8F</t>
        </is>
      </c>
      <c r="C61" s="36" t="inlineStr">
        <is>
          <t>QE55Q8FAAU</t>
        </is>
      </c>
      <c r="D61" s="9">
        <f>IF(E61="","",E61-F61)</f>
        <v/>
      </c>
      <c r="E61" s="9" t="n">
        <v>459</v>
      </c>
      <c r="F61" s="9" t="n">
        <v>0</v>
      </c>
      <c r="G61" s="10" t="inlineStr"/>
      <c r="H61" s="36" t="inlineStr">
        <is>
          <t>QE55Q8F</t>
        </is>
      </c>
      <c r="I61" s="9">
        <f>IF(J61="","",J61-K61)</f>
        <v/>
      </c>
      <c r="J61" s="9" t="n">
        <v>469.95</v>
      </c>
      <c r="K61" s="9" t="n">
        <v>0</v>
      </c>
      <c r="L61" s="10" t="inlineStr"/>
      <c r="M61" s="36" t="inlineStr">
        <is>
          <t>QE55Q8FAAU</t>
        </is>
      </c>
      <c r="N61" s="9">
        <f>IF(O61="","",O61-P61)</f>
        <v/>
      </c>
      <c r="O61" s="9" t="n">
        <v>459</v>
      </c>
      <c r="P61" s="9" t="n">
        <v>0</v>
      </c>
      <c r="Q61" s="10" t="inlineStr"/>
    </row>
    <row r="62" ht="19.95" customHeight="1" s="14">
      <c r="A62" s="35" t="inlineStr">
        <is>
          <t>QLED</t>
        </is>
      </c>
      <c r="B62" s="35" t="inlineStr">
        <is>
          <t>50Q8F</t>
        </is>
      </c>
      <c r="C62" s="36" t="inlineStr">
        <is>
          <t>QE50Q8FAAU</t>
        </is>
      </c>
      <c r="D62" s="9">
        <f>IF(E62="","",E62-F62)</f>
        <v/>
      </c>
      <c r="E62" s="9" t="n">
        <v>449</v>
      </c>
      <c r="F62" s="9" t="n">
        <v>0</v>
      </c>
      <c r="G62" s="10" t="inlineStr"/>
      <c r="H62" s="36" t="inlineStr">
        <is>
          <t>QE50Q8F</t>
        </is>
      </c>
      <c r="I62" s="9">
        <f>IF(J62="","",J62-K62)</f>
        <v/>
      </c>
      <c r="J62" s="9" t="n">
        <v>449.95</v>
      </c>
      <c r="K62" s="9" t="n">
        <v>0</v>
      </c>
      <c r="L62" s="10" t="inlineStr"/>
      <c r="M62" s="36" t="inlineStr">
        <is>
          <t>QE50Q8FAAU</t>
        </is>
      </c>
      <c r="N62" s="9">
        <f>IF(O62="","",O62-P62)</f>
        <v/>
      </c>
      <c r="O62" s="9" t="n">
        <v>389</v>
      </c>
      <c r="P62" s="9" t="n">
        <v>0</v>
      </c>
      <c r="Q62" s="10" t="inlineStr"/>
    </row>
    <row r="63">
      <c r="A63" s="6" t="inlineStr"/>
      <c r="B63" s="6" t="n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</row>
    <row r="64" ht="19.95" customHeight="1" s="14">
      <c r="A64" s="35" t="inlineStr">
        <is>
          <t>QLED</t>
        </is>
      </c>
      <c r="B64" s="35" t="inlineStr">
        <is>
          <t>85Q7F</t>
        </is>
      </c>
      <c r="C64" s="36" t="inlineStr">
        <is>
          <t>QE85Q7FAAU</t>
        </is>
      </c>
      <c r="D64" s="9">
        <f>IF(E64="","",E64-F64)</f>
        <v/>
      </c>
      <c r="E64" s="9" t="n">
        <v>2407</v>
      </c>
      <c r="F64" s="9" t="n">
        <v>0</v>
      </c>
      <c r="G64" s="10" t="inlineStr"/>
      <c r="H64" s="36" t="inlineStr"/>
      <c r="I64" s="9">
        <f>IF(J64="","",J64-K64)</f>
        <v/>
      </c>
      <c r="J64" s="9" t="inlineStr"/>
      <c r="K64" s="9" t="inlineStr"/>
      <c r="L64" s="10" t="inlineStr"/>
      <c r="M64" s="36" t="inlineStr">
        <is>
          <t>QE85Q7FAAU</t>
        </is>
      </c>
      <c r="N64" s="9">
        <f>IF(O64="","",O64-P64)</f>
        <v/>
      </c>
      <c r="O64" s="9" t="n">
        <v>1689</v>
      </c>
      <c r="P64" s="9" t="n">
        <v>0</v>
      </c>
      <c r="Q64" s="10" t="inlineStr"/>
    </row>
    <row r="65" ht="19.95" customHeight="1" s="14">
      <c r="A65" s="35" t="inlineStr">
        <is>
          <t>QLED</t>
        </is>
      </c>
      <c r="B65" s="35" t="inlineStr">
        <is>
          <t>75Q7F</t>
        </is>
      </c>
      <c r="C65" s="36" t="inlineStr"/>
      <c r="D65" s="9">
        <f>IF(E65="","",E65-F65)</f>
        <v/>
      </c>
      <c r="E65" s="9" t="inlineStr"/>
      <c r="F65" s="9" t="inlineStr"/>
      <c r="G65" s="10" t="inlineStr"/>
      <c r="H65" s="36" t="inlineStr"/>
      <c r="I65" s="9">
        <f>IF(J65="","",J65-K65)</f>
        <v/>
      </c>
      <c r="J65" s="9" t="inlineStr"/>
      <c r="K65" s="9" t="inlineStr"/>
      <c r="L65" s="10" t="inlineStr"/>
      <c r="M65" s="36" t="inlineStr">
        <is>
          <t>QE75Q7FAAU</t>
        </is>
      </c>
      <c r="N65" s="9">
        <f>IF(O65="","",O65-P65)</f>
        <v/>
      </c>
      <c r="O65" s="9" t="n">
        <v>899</v>
      </c>
      <c r="P65" s="9" t="n">
        <v>0</v>
      </c>
      <c r="Q65" s="10" t="inlineStr"/>
    </row>
    <row r="66" ht="19.95" customHeight="1" s="14">
      <c r="A66" s="35" t="inlineStr">
        <is>
          <t>QLED</t>
        </is>
      </c>
      <c r="B66" s="35" t="inlineStr">
        <is>
          <t>65Q7F</t>
        </is>
      </c>
      <c r="C66" s="36" t="inlineStr"/>
      <c r="D66" s="9">
        <f>IF(E66="","",E66-F66)</f>
        <v/>
      </c>
      <c r="E66" s="9" t="inlineStr"/>
      <c r="F66" s="9" t="inlineStr"/>
      <c r="G66" s="10" t="inlineStr"/>
      <c r="H66" s="36" t="inlineStr"/>
      <c r="I66" s="9">
        <f>IF(J66="","",J66-K66)</f>
        <v/>
      </c>
      <c r="J66" s="9" t="inlineStr"/>
      <c r="K66" s="9" t="inlineStr"/>
      <c r="L66" s="10" t="inlineStr"/>
      <c r="M66" s="36" t="inlineStr">
        <is>
          <t>QE65Q7FAAU</t>
        </is>
      </c>
      <c r="N66" s="9">
        <f>IF(O66="","",O66-P66)</f>
        <v/>
      </c>
      <c r="O66" s="9" t="n">
        <v>692</v>
      </c>
      <c r="P66" s="9" t="n">
        <v>0</v>
      </c>
      <c r="Q66" s="10" t="inlineStr"/>
    </row>
    <row r="67" ht="19.95" customHeight="1" s="14">
      <c r="A67" s="35" t="inlineStr">
        <is>
          <t>QLED</t>
        </is>
      </c>
      <c r="B67" s="35" t="inlineStr">
        <is>
          <t>55Q7F</t>
        </is>
      </c>
      <c r="C67" s="36" t="inlineStr"/>
      <c r="D67" s="9">
        <f>IF(E67="","",E67-F67)</f>
        <v/>
      </c>
      <c r="E67" s="9" t="inlineStr"/>
      <c r="F67" s="9" t="inlineStr"/>
      <c r="G67" s="10" t="inlineStr"/>
      <c r="H67" s="36" t="inlineStr"/>
      <c r="I67" s="9">
        <f>IF(J67="","",J67-K67)</f>
        <v/>
      </c>
      <c r="J67" s="9" t="inlineStr"/>
      <c r="K67" s="9" t="inlineStr"/>
      <c r="L67" s="10" t="inlineStr"/>
      <c r="M67" s="36" t="inlineStr"/>
      <c r="N67" s="9">
        <f>IF(O67="","",O67-P67)</f>
        <v/>
      </c>
      <c r="O67" s="9" t="inlineStr"/>
      <c r="P67" s="9" t="inlineStr"/>
      <c r="Q67" s="10" t="inlineStr"/>
    </row>
    <row r="68" ht="19.95" customHeight="1" s="14">
      <c r="A68" s="35" t="inlineStr">
        <is>
          <t>QLED</t>
        </is>
      </c>
      <c r="B68" s="35" t="inlineStr">
        <is>
          <t>50Q7F</t>
        </is>
      </c>
      <c r="C68" s="36" t="inlineStr">
        <is>
          <t>QE50Q7FAAU</t>
        </is>
      </c>
      <c r="D68" s="9">
        <f>IF(E68="","",E68-F68)</f>
        <v/>
      </c>
      <c r="E68" s="9" t="n">
        <v>489</v>
      </c>
      <c r="F68" s="9" t="n">
        <v>0</v>
      </c>
      <c r="G68" s="10" t="inlineStr"/>
      <c r="H68" s="36" t="inlineStr">
        <is>
          <t>QE50Q7F</t>
        </is>
      </c>
      <c r="I68" s="9">
        <f>IF(J68="","",J68-K68)</f>
        <v/>
      </c>
      <c r="J68" s="9" t="n">
        <v>499.95</v>
      </c>
      <c r="K68" s="9" t="n">
        <v>0</v>
      </c>
      <c r="L68" s="10" t="inlineStr"/>
      <c r="M68" s="36" t="inlineStr">
        <is>
          <t>QE50Q7FAAU</t>
        </is>
      </c>
      <c r="N68" s="9">
        <f>IF(O68="","",O68-P68)</f>
        <v/>
      </c>
      <c r="O68" s="9" t="n">
        <v>584</v>
      </c>
      <c r="P68" s="9" t="n">
        <v>0</v>
      </c>
      <c r="Q68" s="10" t="inlineStr"/>
    </row>
    <row r="69" ht="19.95" customHeight="1" s="14">
      <c r="A69" s="35" t="inlineStr">
        <is>
          <t>QLED</t>
        </is>
      </c>
      <c r="B69" s="35" t="inlineStr">
        <is>
          <t>43Q7F</t>
        </is>
      </c>
      <c r="C69" s="36" t="inlineStr"/>
      <c r="D69" s="9">
        <f>IF(E69="","",E69-F69)</f>
        <v/>
      </c>
      <c r="E69" s="9" t="inlineStr"/>
      <c r="F69" s="9" t="inlineStr"/>
      <c r="G69" s="10" t="inlineStr"/>
      <c r="H69" s="36" t="inlineStr"/>
      <c r="I69" s="9">
        <f>IF(J69="","",J69-K69)</f>
        <v/>
      </c>
      <c r="J69" s="9" t="inlineStr"/>
      <c r="K69" s="9" t="inlineStr"/>
      <c r="L69" s="10" t="inlineStr"/>
      <c r="M69" s="36" t="inlineStr">
        <is>
          <t>QE43Q7FAAU</t>
        </is>
      </c>
      <c r="N69" s="9">
        <f>IF(O69="","",O69-P69)</f>
        <v/>
      </c>
      <c r="O69" s="9" t="n">
        <v>562</v>
      </c>
      <c r="P69" s="9" t="n">
        <v>0</v>
      </c>
      <c r="Q69" s="10" t="inlineStr"/>
    </row>
    <row r="70">
      <c r="A70" s="6" t="inlineStr"/>
      <c r="B70" s="6" t="n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</row>
    <row r="71" ht="19.95" customHeight="1" s="14">
      <c r="A71" s="34" t="inlineStr">
        <is>
          <t>UHD 4K</t>
        </is>
      </c>
      <c r="B71" s="34" t="inlineStr">
        <is>
          <t>86UA75</t>
        </is>
      </c>
      <c r="C71" s="26" t="inlineStr"/>
      <c r="D71" s="30">
        <f>IF(E71="","",E71-F71)</f>
        <v/>
      </c>
      <c r="E71" s="30" t="inlineStr"/>
      <c r="F71" s="30" t="inlineStr"/>
      <c r="G71" s="29">
        <f>IFERROR(D71/D4,"")</f>
        <v/>
      </c>
      <c r="H71" s="26" t="inlineStr"/>
      <c r="I71" s="30">
        <f>IF(J71="","",J71-K71)</f>
        <v/>
      </c>
      <c r="J71" s="30" t="inlineStr"/>
      <c r="K71" s="30" t="inlineStr"/>
      <c r="L71" s="29">
        <f>IFERROR(I71/I4,"")</f>
        <v/>
      </c>
      <c r="M71" s="26" t="inlineStr"/>
      <c r="N71" s="30">
        <f>IF(O71="","",O71-P71)</f>
        <v/>
      </c>
      <c r="O71" s="30" t="inlineStr"/>
      <c r="P71" s="30" t="inlineStr"/>
      <c r="Q71" s="29">
        <f>IFERROR(N71/N4,"")</f>
        <v/>
      </c>
    </row>
    <row r="72" ht="19.95" customHeight="1" s="14">
      <c r="A72" s="34" t="inlineStr">
        <is>
          <t>UHD 4K</t>
        </is>
      </c>
      <c r="B72" s="34" t="inlineStr">
        <is>
          <t>75UA75</t>
        </is>
      </c>
      <c r="C72" s="26" t="inlineStr"/>
      <c r="D72" s="30">
        <f>IF(E72="","",E72-F72)</f>
        <v/>
      </c>
      <c r="E72" s="30" t="inlineStr"/>
      <c r="F72" s="30" t="inlineStr"/>
      <c r="G72" s="29">
        <f>IFERROR(D72/D5,"")</f>
        <v/>
      </c>
      <c r="H72" s="26" t="inlineStr"/>
      <c r="I72" s="30">
        <f>IF(J72="","",J72-K72)</f>
        <v/>
      </c>
      <c r="J72" s="30" t="inlineStr"/>
      <c r="K72" s="30" t="inlineStr"/>
      <c r="L72" s="29">
        <f>IFERROR(I72/I5,"")</f>
        <v/>
      </c>
      <c r="M72" s="26" t="inlineStr">
        <is>
          <t>75UA75006LA</t>
        </is>
      </c>
      <c r="N72" s="30">
        <f>IF(O72="","",O72-P72)</f>
        <v/>
      </c>
      <c r="O72" s="30" t="n">
        <v>599</v>
      </c>
      <c r="P72" s="30" t="n">
        <v>0</v>
      </c>
      <c r="Q72" s="29">
        <f>IFERROR(N72/N5,"")</f>
        <v/>
      </c>
    </row>
    <row r="73" ht="19.95" customHeight="1" s="14">
      <c r="A73" s="34" t="inlineStr">
        <is>
          <t>UHD 4K</t>
        </is>
      </c>
      <c r="B73" s="34" t="inlineStr">
        <is>
          <t>65UA75</t>
        </is>
      </c>
      <c r="C73" s="26" t="inlineStr"/>
      <c r="D73" s="30">
        <f>IF(E73="","",E73-F73)</f>
        <v/>
      </c>
      <c r="E73" s="30" t="inlineStr"/>
      <c r="F73" s="30" t="inlineStr"/>
      <c r="G73" s="29">
        <f>IFERROR(D73/D6,"")</f>
        <v/>
      </c>
      <c r="H73" s="26" t="inlineStr"/>
      <c r="I73" s="30">
        <f>IF(J73="","",J73-K73)</f>
        <v/>
      </c>
      <c r="J73" s="30" t="inlineStr"/>
      <c r="K73" s="30" t="inlineStr"/>
      <c r="L73" s="29">
        <f>IFERROR(I73/I6,"")</f>
        <v/>
      </c>
      <c r="M73" s="26" t="inlineStr">
        <is>
          <t>65UA75006LA</t>
        </is>
      </c>
      <c r="N73" s="30">
        <f>IF(O73="","",O73-P73)</f>
        <v/>
      </c>
      <c r="O73" s="30" t="n">
        <v>510</v>
      </c>
      <c r="P73" s="30" t="n">
        <v>0</v>
      </c>
      <c r="Q73" s="29">
        <f>IFERROR(N73/N6,"")</f>
        <v/>
      </c>
    </row>
    <row r="74" ht="19.95" customHeight="1" s="14">
      <c r="A74" s="34" t="inlineStr">
        <is>
          <t>UHD 4K</t>
        </is>
      </c>
      <c r="B74" s="34" t="inlineStr">
        <is>
          <t>55UA75</t>
        </is>
      </c>
      <c r="C74" s="26" t="inlineStr">
        <is>
          <t>UA75006LA</t>
        </is>
      </c>
      <c r="D74" s="30">
        <f>IF(E74="","",E74-F74)</f>
        <v/>
      </c>
      <c r="E74" s="30" t="n">
        <v>399</v>
      </c>
      <c r="F74" s="30" t="n">
        <v>0</v>
      </c>
      <c r="G74" s="29">
        <f>IFERROR(D74/D7,"")</f>
        <v/>
      </c>
      <c r="H74" s="26" t="inlineStr">
        <is>
          <t>55UA75006LA</t>
        </is>
      </c>
      <c r="I74" s="30">
        <f>IF(J74="","",J74-K74)</f>
        <v/>
      </c>
      <c r="J74" s="30" t="n">
        <v>399.95</v>
      </c>
      <c r="K74" s="30" t="n">
        <v>0</v>
      </c>
      <c r="L74" s="29">
        <f>IFERROR(I74/I7,"")</f>
        <v/>
      </c>
      <c r="M74" s="26" t="inlineStr">
        <is>
          <t>55UA73003LA</t>
        </is>
      </c>
      <c r="N74" s="30">
        <f>IF(O74="","",O74-P74)</f>
        <v/>
      </c>
      <c r="O74" s="30" t="n">
        <v>339</v>
      </c>
      <c r="P74" s="30" t="n">
        <v>0</v>
      </c>
      <c r="Q74" s="29">
        <f>IFERROR(N74/N7,"")</f>
        <v/>
      </c>
    </row>
    <row r="75" ht="19.95" customHeight="1" s="14">
      <c r="A75" s="34" t="inlineStr">
        <is>
          <t>UHD 4K</t>
        </is>
      </c>
      <c r="B75" s="34" t="inlineStr">
        <is>
          <t>50UA75</t>
        </is>
      </c>
      <c r="C75" s="26" t="inlineStr"/>
      <c r="D75" s="30">
        <f>IF(E75="","",E75-F75)</f>
        <v/>
      </c>
      <c r="E75" s="30" t="inlineStr"/>
      <c r="F75" s="30" t="inlineStr"/>
      <c r="G75" s="29">
        <f>IFERROR(D75/D7,"")</f>
        <v/>
      </c>
      <c r="H75" s="26" t="inlineStr"/>
      <c r="I75" s="30">
        <f>IF(J75="","",J75-K75)</f>
        <v/>
      </c>
      <c r="J75" s="30" t="inlineStr"/>
      <c r="K75" s="30" t="inlineStr"/>
      <c r="L75" s="29">
        <f>IFERROR(I75/I7,"")</f>
        <v/>
      </c>
      <c r="M75" s="26" t="inlineStr">
        <is>
          <t>50UA75006LA</t>
        </is>
      </c>
      <c r="N75" s="30">
        <f>IF(O75="","",O75-P75)</f>
        <v/>
      </c>
      <c r="O75" s="30" t="n">
        <v>319</v>
      </c>
      <c r="P75" s="30" t="n">
        <v>0</v>
      </c>
      <c r="Q75" s="29">
        <f>IFERROR(N75/N7,"")</f>
        <v/>
      </c>
    </row>
    <row r="76" ht="19.95" customHeight="1" s="14">
      <c r="A76" s="34" t="inlineStr">
        <is>
          <t>UHD 4K</t>
        </is>
      </c>
      <c r="B76" s="34" t="inlineStr">
        <is>
          <t>43UA75</t>
        </is>
      </c>
      <c r="C76" s="26" t="inlineStr"/>
      <c r="D76" s="30">
        <f>IF(E76="","",E76-F76)</f>
        <v/>
      </c>
      <c r="E76" s="30" t="inlineStr"/>
      <c r="F76" s="30" t="inlineStr"/>
      <c r="G76" s="29">
        <f>IFERROR(D76/D7,"")</f>
        <v/>
      </c>
      <c r="H76" s="26" t="inlineStr"/>
      <c r="I76" s="30">
        <f>IF(J76="","",J76-K76)</f>
        <v/>
      </c>
      <c r="J76" s="30" t="inlineStr"/>
      <c r="K76" s="30" t="inlineStr"/>
      <c r="L76" s="29">
        <f>IFERROR(I76/I7,"")</f>
        <v/>
      </c>
      <c r="M76" s="26" t="inlineStr">
        <is>
          <t>43UA73003LA</t>
        </is>
      </c>
      <c r="N76" s="30">
        <f>IF(O76="","",O76-P76)</f>
        <v/>
      </c>
      <c r="O76" s="30" t="n">
        <v>241</v>
      </c>
      <c r="P76" s="30" t="n">
        <v>0</v>
      </c>
      <c r="Q76" s="29">
        <f>IFERROR(N76/N7,"")</f>
        <v/>
      </c>
    </row>
    <row r="77">
      <c r="A77" s="6" t="inlineStr"/>
      <c r="B77" s="6" t="n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</row>
    <row r="78" ht="19.95" customHeight="1" s="14">
      <c r="A78" s="35" t="inlineStr">
        <is>
          <t>UHD 4K</t>
        </is>
      </c>
      <c r="B78" s="35" t="inlineStr">
        <is>
          <t>85U8000F</t>
        </is>
      </c>
      <c r="C78" s="36" t="inlineStr"/>
      <c r="D78" s="9">
        <f>IF(E78="","",E78-F78)</f>
        <v/>
      </c>
      <c r="E78" s="9" t="inlineStr"/>
      <c r="F78" s="9" t="inlineStr"/>
      <c r="G78" s="10" t="inlineStr"/>
      <c r="H78" s="36" t="inlineStr">
        <is>
          <t>UE85U8000FUXXN</t>
        </is>
      </c>
      <c r="I78" s="9">
        <f>IF(J78="","",J78-K78)</f>
        <v/>
      </c>
      <c r="J78" s="9" t="n">
        <v>999.95</v>
      </c>
      <c r="K78" s="9" t="n">
        <v>0</v>
      </c>
      <c r="L78" s="10" t="inlineStr"/>
      <c r="M78" s="36" t="inlineStr">
        <is>
          <t>UE85U8000F</t>
        </is>
      </c>
      <c r="N78" s="9">
        <f>IF(O78="","",O78-P78)</f>
        <v/>
      </c>
      <c r="O78" s="9" t="n">
        <v>1099</v>
      </c>
      <c r="P78" s="9" t="n">
        <v>0</v>
      </c>
      <c r="Q78" s="10" t="inlineStr"/>
    </row>
    <row r="79" ht="19.95" customHeight="1" s="14">
      <c r="A79" s="35" t="inlineStr">
        <is>
          <t>UHD 4K</t>
        </is>
      </c>
      <c r="B79" s="35" t="inlineStr">
        <is>
          <t>75U8000F</t>
        </is>
      </c>
      <c r="C79" s="36" t="inlineStr">
        <is>
          <t>UE75U8000FU</t>
        </is>
      </c>
      <c r="D79" s="9">
        <f>IF(E79="","",E79-F79)</f>
        <v/>
      </c>
      <c r="E79" s="9" t="n">
        <v>799</v>
      </c>
      <c r="F79" s="9" t="n">
        <v>0</v>
      </c>
      <c r="G79" s="10" t="inlineStr"/>
      <c r="H79" s="36" t="inlineStr">
        <is>
          <t>UE75U8000FUXXN</t>
        </is>
      </c>
      <c r="I79" s="9">
        <f>IF(J79="","",J79-K79)</f>
        <v/>
      </c>
      <c r="J79" s="9" t="n">
        <v>699.95</v>
      </c>
      <c r="K79" s="9" t="n">
        <v>0</v>
      </c>
      <c r="L79" s="10" t="inlineStr"/>
      <c r="M79" s="36" t="inlineStr"/>
      <c r="N79" s="9">
        <f>IF(O79="","",O79-P79)</f>
        <v/>
      </c>
      <c r="O79" s="9" t="inlineStr"/>
      <c r="P79" s="9" t="inlineStr"/>
      <c r="Q79" s="10" t="inlineStr"/>
    </row>
    <row r="80" ht="19.95" customHeight="1" s="14">
      <c r="A80" s="35" t="inlineStr">
        <is>
          <t>UHD 4K</t>
        </is>
      </c>
      <c r="B80" s="35" t="inlineStr">
        <is>
          <t>65U8000F</t>
        </is>
      </c>
      <c r="C80" s="36" t="inlineStr">
        <is>
          <t>UE65U8000FU</t>
        </is>
      </c>
      <c r="D80" s="9">
        <f>IF(E80="","",E80-F80)</f>
        <v/>
      </c>
      <c r="E80" s="9" t="n">
        <v>565</v>
      </c>
      <c r="F80" s="9" t="n">
        <v>0</v>
      </c>
      <c r="G80" s="10" t="inlineStr"/>
      <c r="H80" s="36" t="inlineStr">
        <is>
          <t>UE65U8000F</t>
        </is>
      </c>
      <c r="I80" s="9">
        <f>IF(J80="","",J80-K80)</f>
        <v/>
      </c>
      <c r="J80" s="9" t="n">
        <v>569.95</v>
      </c>
      <c r="K80" s="9" t="n">
        <v>0</v>
      </c>
      <c r="L80" s="10" t="inlineStr"/>
      <c r="M80" s="36" t="inlineStr">
        <is>
          <t>UE65U8000F</t>
        </is>
      </c>
      <c r="N80" s="9">
        <f>IF(O80="","",O80-P80)</f>
        <v/>
      </c>
      <c r="O80" s="9" t="n">
        <v>605</v>
      </c>
      <c r="P80" s="9" t="n">
        <v>0</v>
      </c>
      <c r="Q80" s="10" t="inlineStr"/>
    </row>
    <row r="81" ht="19.95" customHeight="1" s="14">
      <c r="A81" s="35" t="inlineStr">
        <is>
          <t>UHD 4K</t>
        </is>
      </c>
      <c r="B81" s="35" t="inlineStr">
        <is>
          <t>55U8000F</t>
        </is>
      </c>
      <c r="C81" s="36" t="inlineStr">
        <is>
          <t>UE55U8000FU</t>
        </is>
      </c>
      <c r="D81" s="9">
        <f>IF(E81="","",E81-F81)</f>
        <v/>
      </c>
      <c r="E81" s="9" t="n">
        <v>459</v>
      </c>
      <c r="F81" s="9" t="n">
        <v>0</v>
      </c>
      <c r="G81" s="10" t="inlineStr"/>
      <c r="H81" s="36" t="inlineStr">
        <is>
          <t>UE55U8000F</t>
        </is>
      </c>
      <c r="I81" s="9">
        <f>IF(J81="","",J81-K81)</f>
        <v/>
      </c>
      <c r="J81" s="9" t="n">
        <v>449.95</v>
      </c>
      <c r="K81" s="9" t="n">
        <v>0</v>
      </c>
      <c r="L81" s="10" t="inlineStr"/>
      <c r="M81" s="36" t="inlineStr"/>
      <c r="N81" s="9">
        <f>IF(O81="","",O81-P81)</f>
        <v/>
      </c>
      <c r="O81" s="9" t="inlineStr"/>
      <c r="P81" s="9" t="inlineStr"/>
      <c r="Q81" s="10" t="inlineStr"/>
    </row>
    <row r="82" ht="19.95" customHeight="1" s="14">
      <c r="A82" s="35" t="inlineStr">
        <is>
          <t>UHD 4K</t>
        </is>
      </c>
      <c r="B82" s="35" t="inlineStr">
        <is>
          <t>50U8000F</t>
        </is>
      </c>
      <c r="C82" s="36" t="inlineStr">
        <is>
          <t>UE50U8000FU</t>
        </is>
      </c>
      <c r="D82" s="9">
        <f>IF(E82="","",E82-F82)</f>
        <v/>
      </c>
      <c r="E82" s="9" t="n">
        <v>407</v>
      </c>
      <c r="F82" s="9" t="n">
        <v>0</v>
      </c>
      <c r="G82" s="10" t="inlineStr"/>
      <c r="H82" s="36" t="inlineStr">
        <is>
          <t>UE50U8000F</t>
        </is>
      </c>
      <c r="I82" s="9">
        <f>IF(J82="","",J82-K82)</f>
        <v/>
      </c>
      <c r="J82" s="9" t="n">
        <v>399.95</v>
      </c>
      <c r="K82" s="9" t="n">
        <v>0</v>
      </c>
      <c r="L82" s="10" t="inlineStr"/>
      <c r="M82" s="36" t="inlineStr">
        <is>
          <t>UE50U8000F</t>
        </is>
      </c>
      <c r="N82" s="9">
        <f>IF(O82="","",O82-P82)</f>
        <v/>
      </c>
      <c r="O82" s="9" t="n">
        <v>466</v>
      </c>
      <c r="P82" s="9" t="n">
        <v>0</v>
      </c>
      <c r="Q82" s="10" t="inlineStr"/>
    </row>
    <row r="83" ht="19.95" customHeight="1" s="14">
      <c r="A83" s="35" t="inlineStr">
        <is>
          <t>UHD 4K</t>
        </is>
      </c>
      <c r="B83" s="35" t="inlineStr">
        <is>
          <t>43U8000F</t>
        </is>
      </c>
      <c r="C83" s="36" t="inlineStr">
        <is>
          <t>UE43U8000FU</t>
        </is>
      </c>
      <c r="D83" s="9">
        <f>IF(E83="","",E83-F83)</f>
        <v/>
      </c>
      <c r="E83" s="9" t="n">
        <v>399</v>
      </c>
      <c r="F83" s="9" t="n">
        <v>0</v>
      </c>
      <c r="G83" s="10" t="inlineStr"/>
      <c r="H83" s="36" t="inlineStr">
        <is>
          <t>UE43U8000FUXXN</t>
        </is>
      </c>
      <c r="I83" s="9">
        <f>IF(J83="","",J83-K83)</f>
        <v/>
      </c>
      <c r="J83" s="9" t="n">
        <v>349.95</v>
      </c>
      <c r="K83" s="9" t="n">
        <v>0</v>
      </c>
      <c r="L83" s="10" t="inlineStr"/>
      <c r="M83" s="36" t="inlineStr"/>
      <c r="N83" s="9">
        <f>IF(O83="","",O83-P83)</f>
        <v/>
      </c>
      <c r="O83" s="9" t="inlineStr"/>
      <c r="P83" s="9" t="inlineStr"/>
      <c r="Q83" s="10" t="inlineStr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>
      <c r="A86" s="37" t="inlineStr">
        <is>
          <t>Display</t>
        </is>
      </c>
      <c r="B86" s="37" t="inlineStr">
        <is>
          <t>Series</t>
        </is>
      </c>
      <c r="C86" s="38" t="inlineStr">
        <is>
          <t>VLOOKUP Summary</t>
        </is>
      </c>
    </row>
    <row r="87">
      <c r="A87" s="37" t="inlineStr">
        <is>
          <t>OLED</t>
        </is>
      </c>
      <c r="B87" s="37" t="inlineStr">
        <is>
          <t>55G5</t>
        </is>
      </c>
      <c r="C87">
        <f>IF(VLOOKUP($B87,$B$4:$Q$83,2,FALSE)=0,"",VLOOKUP($B87,$B$4:$Q$83,2,FALSE))</f>
        <v/>
      </c>
      <c r="D87">
        <f>IF(E87="","",E87-F87)</f>
        <v/>
      </c>
      <c r="E87">
        <f>IF(ISNA(VLOOKUP($B87,$B$4:$Q$83,4,FALSE)),"",VLOOKUP($B87,$B$4:$Q$83,4,FALSE))</f>
        <v/>
      </c>
      <c r="F87">
        <f>IF(ISNA(VLOOKUP($B87,$B$4:$Q$83,5,FALSE)),"",VLOOKUP($B87,$B$4:$Q$83,5,FALSE))</f>
        <v/>
      </c>
      <c r="G87" s="39">
        <f>IFERROR(D87/D87,"")</f>
        <v/>
      </c>
      <c r="H87">
        <f>IF(VLOOKUP($B87,$B$4:$Q$83,7,FALSE)=0,"",VLOOKUP($B87,$B$4:$Q$83,7,FALSE))</f>
        <v/>
      </c>
      <c r="I87">
        <f>IF(J87="","",J87-K87)</f>
        <v/>
      </c>
      <c r="J87">
        <f>IF(ISNA(VLOOKUP($B87,$B$4:$Q$83,9,FALSE)),"",VLOOKUP($B87,$B$4:$Q$83,9,FALSE))</f>
        <v/>
      </c>
      <c r="K87">
        <f>IF(ISNA(VLOOKUP($B87,$B$4:$Q$83,10,FALSE)),"",VLOOKUP($B87,$B$4:$Q$83,10,FALSE))</f>
        <v/>
      </c>
      <c r="L87" s="39">
        <f>IFERROR(I87/I87,"")</f>
        <v/>
      </c>
      <c r="M87">
        <f>IF(VLOOKUP($B87,$B$4:$Q$83,12,FALSE)=0,"",VLOOKUP($B87,$B$4:$Q$83,12,FALSE))</f>
        <v/>
      </c>
      <c r="N87">
        <f>IF(O87="","",O87-P87)</f>
        <v/>
      </c>
      <c r="O87">
        <f>IF(ISNA(VLOOKUP($B87,$B$4:$Q$83,14,FALSE)),"",VLOOKUP($B87,$B$4:$Q$83,14,FALSE))</f>
        <v/>
      </c>
      <c r="P87">
        <f>IF(ISNA(VLOOKUP($B87,$B$4:$Q$83,15,FALSE)),"",VLOOKUP($B87,$B$4:$Q$83,15,FALSE))</f>
        <v/>
      </c>
      <c r="Q87" s="39">
        <f>IFERROR(N87/N87,"")</f>
        <v/>
      </c>
    </row>
    <row r="88">
      <c r="A88" s="37" t="inlineStr">
        <is>
          <t>OLED</t>
        </is>
      </c>
      <c r="B88" s="37" t="inlineStr">
        <is>
          <t>55C5</t>
        </is>
      </c>
      <c r="C88">
        <f>IF(VLOOKUP($B88,$B$4:$Q$83,2,FALSE)=0,"",VLOOKUP($B88,$B$4:$Q$83,2,FALSE))</f>
        <v/>
      </c>
      <c r="D88">
        <f>IF(E88="","",E88-F88)</f>
        <v/>
      </c>
      <c r="E88">
        <f>IF(ISNA(VLOOKUP($B88,$B$4:$Q$83,4,FALSE)),"",VLOOKUP($B88,$B$4:$Q$83,4,FALSE))</f>
        <v/>
      </c>
      <c r="F88">
        <f>IF(ISNA(VLOOKUP($B88,$B$4:$Q$83,5,FALSE)),"",VLOOKUP($B88,$B$4:$Q$83,5,FALSE))</f>
        <v/>
      </c>
      <c r="G88" s="39">
        <f>IFERROR(D88/D87,"")</f>
        <v/>
      </c>
      <c r="H88">
        <f>IF(VLOOKUP($B88,$B$4:$Q$83,7,FALSE)=0,"",VLOOKUP($B88,$B$4:$Q$83,7,FALSE))</f>
        <v/>
      </c>
      <c r="I88">
        <f>IF(J88="","",J88-K88)</f>
        <v/>
      </c>
      <c r="J88">
        <f>IF(ISNA(VLOOKUP($B88,$B$4:$Q$83,9,FALSE)),"",VLOOKUP($B88,$B$4:$Q$83,9,FALSE))</f>
        <v/>
      </c>
      <c r="K88">
        <f>IF(ISNA(VLOOKUP($B88,$B$4:$Q$83,10,FALSE)),"",VLOOKUP($B88,$B$4:$Q$83,10,FALSE))</f>
        <v/>
      </c>
      <c r="L88" s="39">
        <f>IFERROR(I88/I87,"")</f>
        <v/>
      </c>
      <c r="M88">
        <f>IF(VLOOKUP($B88,$B$4:$Q$83,12,FALSE)=0,"",VLOOKUP($B88,$B$4:$Q$83,12,FALSE))</f>
        <v/>
      </c>
      <c r="N88">
        <f>IF(O88="","",O88-P88)</f>
        <v/>
      </c>
      <c r="O88">
        <f>IF(ISNA(VLOOKUP($B88,$B$4:$Q$83,14,FALSE)),"",VLOOKUP($B88,$B$4:$Q$83,14,FALSE))</f>
        <v/>
      </c>
      <c r="P88">
        <f>IF(ISNA(VLOOKUP($B88,$B$4:$Q$83,15,FALSE)),"",VLOOKUP($B88,$B$4:$Q$83,15,FALSE))</f>
        <v/>
      </c>
      <c r="Q88" s="39">
        <f>IFERROR(N88/N87,"")</f>
        <v/>
      </c>
    </row>
    <row r="89">
      <c r="A89" s="37" t="inlineStr">
        <is>
          <t>OLED</t>
        </is>
      </c>
      <c r="B89" s="37" t="inlineStr">
        <is>
          <t>55B5</t>
        </is>
      </c>
      <c r="C89">
        <f>IF(VLOOKUP($B89,$B$4:$Q$83,2,FALSE)=0,"",VLOOKUP($B89,$B$4:$Q$83,2,FALSE))</f>
        <v/>
      </c>
      <c r="D89">
        <f>IF(E89="","",E89-F89)</f>
        <v/>
      </c>
      <c r="E89">
        <f>IF(ISNA(VLOOKUP($B89,$B$4:$Q$83,4,FALSE)),"",VLOOKUP($B89,$B$4:$Q$83,4,FALSE))</f>
        <v/>
      </c>
      <c r="F89">
        <f>IF(ISNA(VLOOKUP($B89,$B$4:$Q$83,5,FALSE)),"",VLOOKUP($B89,$B$4:$Q$83,5,FALSE))</f>
        <v/>
      </c>
      <c r="G89" s="39">
        <f>IFERROR(D89/D87,"")</f>
        <v/>
      </c>
      <c r="H89">
        <f>IF(VLOOKUP($B89,$B$4:$Q$83,7,FALSE)=0,"",VLOOKUP($B89,$B$4:$Q$83,7,FALSE))</f>
        <v/>
      </c>
      <c r="I89">
        <f>IF(J89="","",J89-K89)</f>
        <v/>
      </c>
      <c r="J89">
        <f>IF(ISNA(VLOOKUP($B89,$B$4:$Q$83,9,FALSE)),"",VLOOKUP($B89,$B$4:$Q$83,9,FALSE))</f>
        <v/>
      </c>
      <c r="K89">
        <f>IF(ISNA(VLOOKUP($B89,$B$4:$Q$83,10,FALSE)),"",VLOOKUP($B89,$B$4:$Q$83,10,FALSE))</f>
        <v/>
      </c>
      <c r="L89" s="39">
        <f>IFERROR(I89/I87,"")</f>
        <v/>
      </c>
      <c r="M89">
        <f>IF(VLOOKUP($B89,$B$4:$Q$83,12,FALSE)=0,"",VLOOKUP($B89,$B$4:$Q$83,12,FALSE))</f>
        <v/>
      </c>
      <c r="N89">
        <f>IF(O89="","",O89-P89)</f>
        <v/>
      </c>
      <c r="O89">
        <f>IF(ISNA(VLOOKUP($B89,$B$4:$Q$83,14,FALSE)),"",VLOOKUP($B89,$B$4:$Q$83,14,FALSE))</f>
        <v/>
      </c>
      <c r="P89">
        <f>IF(ISNA(VLOOKUP($B89,$B$4:$Q$83,15,FALSE)),"",VLOOKUP($B89,$B$4:$Q$83,15,FALSE))</f>
        <v/>
      </c>
      <c r="Q89" s="39">
        <f>IFERROR(N89/N87,"")</f>
        <v/>
      </c>
    </row>
    <row r="90">
      <c r="A90" s="37" t="inlineStr">
        <is>
          <t>QNED</t>
        </is>
      </c>
      <c r="B90" s="37" t="inlineStr">
        <is>
          <t>55QNED86A</t>
        </is>
      </c>
      <c r="C90">
        <f>IF(VLOOKUP($B90,$B$4:$Q$83,2,FALSE)=0,"",VLOOKUP($B90,$B$4:$Q$83,2,FALSE))</f>
        <v/>
      </c>
      <c r="D90">
        <f>IF(E90="","",E90-F90)</f>
        <v/>
      </c>
      <c r="E90">
        <f>IF(ISNA(VLOOKUP($B90,$B$4:$Q$83,4,FALSE)),"",VLOOKUP($B90,$B$4:$Q$83,4,FALSE))</f>
        <v/>
      </c>
      <c r="F90">
        <f>IF(ISNA(VLOOKUP($B90,$B$4:$Q$83,5,FALSE)),"",VLOOKUP($B90,$B$4:$Q$83,5,FALSE))</f>
        <v/>
      </c>
      <c r="G90" s="39">
        <f>IFERROR(D90/D87,"")</f>
        <v/>
      </c>
      <c r="H90">
        <f>IF(VLOOKUP($B90,$B$4:$Q$83,7,FALSE)=0,"",VLOOKUP($B90,$B$4:$Q$83,7,FALSE))</f>
        <v/>
      </c>
      <c r="I90">
        <f>IF(J90="","",J90-K90)</f>
        <v/>
      </c>
      <c r="J90">
        <f>IF(ISNA(VLOOKUP($B90,$B$4:$Q$83,9,FALSE)),"",VLOOKUP($B90,$B$4:$Q$83,9,FALSE))</f>
        <v/>
      </c>
      <c r="K90">
        <f>IF(ISNA(VLOOKUP($B90,$B$4:$Q$83,10,FALSE)),"",VLOOKUP($B90,$B$4:$Q$83,10,FALSE))</f>
        <v/>
      </c>
      <c r="L90" s="39">
        <f>IFERROR(I90/I87,"")</f>
        <v/>
      </c>
      <c r="M90">
        <f>IF(VLOOKUP($B90,$B$4:$Q$83,12,FALSE)=0,"",VLOOKUP($B90,$B$4:$Q$83,12,FALSE))</f>
        <v/>
      </c>
      <c r="N90">
        <f>IF(O90="","",O90-P90)</f>
        <v/>
      </c>
      <c r="O90">
        <f>IF(ISNA(VLOOKUP($B90,$B$4:$Q$83,14,FALSE)),"",VLOOKUP($B90,$B$4:$Q$83,14,FALSE))</f>
        <v/>
      </c>
      <c r="P90">
        <f>IF(ISNA(VLOOKUP($B90,$B$4:$Q$83,15,FALSE)),"",VLOOKUP($B90,$B$4:$Q$83,15,FALSE))</f>
        <v/>
      </c>
      <c r="Q90" s="39">
        <f>IFERROR(N90/N87,"")</f>
        <v/>
      </c>
    </row>
    <row r="91">
      <c r="A91" s="37" t="inlineStr">
        <is>
          <t>QNED</t>
        </is>
      </c>
      <c r="B91" s="37" t="inlineStr">
        <is>
          <t>55QNED80A</t>
        </is>
      </c>
      <c r="C91">
        <f>IF(VLOOKUP($B91,$B$4:$Q$83,2,FALSE)=0,"",VLOOKUP($B91,$B$4:$Q$83,2,FALSE))</f>
        <v/>
      </c>
      <c r="D91">
        <f>IF(E91="","",E91-F91)</f>
        <v/>
      </c>
      <c r="E91">
        <f>IF(ISNA(VLOOKUP($B91,$B$4:$Q$83,4,FALSE)),"",VLOOKUP($B91,$B$4:$Q$83,4,FALSE))</f>
        <v/>
      </c>
      <c r="F91">
        <f>IF(ISNA(VLOOKUP($B91,$B$4:$Q$83,5,FALSE)),"",VLOOKUP($B91,$B$4:$Q$83,5,FALSE))</f>
        <v/>
      </c>
      <c r="G91" s="39">
        <f>IFERROR(D91/D87,"")</f>
        <v/>
      </c>
      <c r="H91">
        <f>IF(VLOOKUP($B91,$B$4:$Q$83,7,FALSE)=0,"",VLOOKUP($B91,$B$4:$Q$83,7,FALSE))</f>
        <v/>
      </c>
      <c r="I91">
        <f>IF(J91="","",J91-K91)</f>
        <v/>
      </c>
      <c r="J91">
        <f>IF(ISNA(VLOOKUP($B91,$B$4:$Q$83,9,FALSE)),"",VLOOKUP($B91,$B$4:$Q$83,9,FALSE))</f>
        <v/>
      </c>
      <c r="K91">
        <f>IF(ISNA(VLOOKUP($B91,$B$4:$Q$83,10,FALSE)),"",VLOOKUP($B91,$B$4:$Q$83,10,FALSE))</f>
        <v/>
      </c>
      <c r="L91" s="39">
        <f>IFERROR(I91/I87,"")</f>
        <v/>
      </c>
      <c r="M91">
        <f>IF(VLOOKUP($B91,$B$4:$Q$83,12,FALSE)=0,"",VLOOKUP($B91,$B$4:$Q$83,12,FALSE))</f>
        <v/>
      </c>
      <c r="N91">
        <f>IF(O91="","",O91-P91)</f>
        <v/>
      </c>
      <c r="O91">
        <f>IF(ISNA(VLOOKUP($B91,$B$4:$Q$83,14,FALSE)),"",VLOOKUP($B91,$B$4:$Q$83,14,FALSE))</f>
        <v/>
      </c>
      <c r="P91">
        <f>IF(ISNA(VLOOKUP($B91,$B$4:$Q$83,15,FALSE)),"",VLOOKUP($B91,$B$4:$Q$83,15,FALSE))</f>
        <v/>
      </c>
      <c r="Q91" s="39">
        <f>IFERROR(N91/N87,"")</f>
        <v/>
      </c>
    </row>
    <row r="92">
      <c r="A92" s="37" t="inlineStr">
        <is>
          <t>UHD 4K</t>
        </is>
      </c>
      <c r="B92" s="37" t="inlineStr">
        <is>
          <t>55UA75</t>
        </is>
      </c>
      <c r="C92">
        <f>IF(VLOOKUP($B92,$B$4:$Q$83,2,FALSE)=0,"",VLOOKUP($B92,$B$4:$Q$83,2,FALSE))</f>
        <v/>
      </c>
      <c r="D92">
        <f>IF(E92="","",E92-F92)</f>
        <v/>
      </c>
      <c r="E92">
        <f>IF(ISNA(VLOOKUP($B92,$B$4:$Q$83,4,FALSE)),"",VLOOKUP($B92,$B$4:$Q$83,4,FALSE))</f>
        <v/>
      </c>
      <c r="F92">
        <f>IF(ISNA(VLOOKUP($B92,$B$4:$Q$83,5,FALSE)),"",VLOOKUP($B92,$B$4:$Q$83,5,FALSE))</f>
        <v/>
      </c>
      <c r="G92" s="39">
        <f>IFERROR(D92/D87,"")</f>
        <v/>
      </c>
      <c r="H92">
        <f>IF(VLOOKUP($B92,$B$4:$Q$83,7,FALSE)=0,"",VLOOKUP($B92,$B$4:$Q$83,7,FALSE))</f>
        <v/>
      </c>
      <c r="I92">
        <f>IF(J92="","",J92-K92)</f>
        <v/>
      </c>
      <c r="J92">
        <f>IF(ISNA(VLOOKUP($B92,$B$4:$Q$83,9,FALSE)),"",VLOOKUP($B92,$B$4:$Q$83,9,FALSE))</f>
        <v/>
      </c>
      <c r="K92">
        <f>IF(ISNA(VLOOKUP($B92,$B$4:$Q$83,10,FALSE)),"",VLOOKUP($B92,$B$4:$Q$83,10,FALSE))</f>
        <v/>
      </c>
      <c r="L92" s="39">
        <f>IFERROR(I92/I87,"")</f>
        <v/>
      </c>
      <c r="M92">
        <f>IF(VLOOKUP($B92,$B$4:$Q$83,12,FALSE)=0,"",VLOOKUP($B92,$B$4:$Q$83,12,FALSE))</f>
        <v/>
      </c>
      <c r="N92">
        <f>IF(O92="","",O92-P92)</f>
        <v/>
      </c>
      <c r="O92">
        <f>IF(ISNA(VLOOKUP($B92,$B$4:$Q$83,14,FALSE)),"",VLOOKUP($B92,$B$4:$Q$83,14,FALSE))</f>
        <v/>
      </c>
      <c r="P92">
        <f>IF(ISNA(VLOOKUP($B92,$B$4:$Q$83,15,FALSE)),"",VLOOKUP($B92,$B$4:$Q$83,15,FALSE))</f>
        <v/>
      </c>
      <c r="Q92" s="39">
        <f>IFERROR(N92/N87,"")</f>
        <v/>
      </c>
    </row>
    <row r="93"/>
    <row r="94">
      <c r="A94" s="37" t="inlineStr">
        <is>
          <t>OLED</t>
        </is>
      </c>
      <c r="B94" s="37" t="inlineStr">
        <is>
          <t>65G5</t>
        </is>
      </c>
      <c r="C94">
        <f>IF(VLOOKUP($B94,$B$4:$Q$83,2,FALSE)=0,"",VLOOKUP($B94,$B$4:$Q$83,2,FALSE))</f>
        <v/>
      </c>
      <c r="D94">
        <f>IF(E94="","",E94-F94)</f>
        <v/>
      </c>
      <c r="E94">
        <f>IF(ISNA(VLOOKUP($B94,$B$4:$Q$83,4,FALSE)),"",VLOOKUP($B94,$B$4:$Q$83,4,FALSE))</f>
        <v/>
      </c>
      <c r="F94">
        <f>IF(ISNA(VLOOKUP($B94,$B$4:$Q$83,5,FALSE)),"",VLOOKUP($B94,$B$4:$Q$83,5,FALSE))</f>
        <v/>
      </c>
      <c r="G94" s="39">
        <f>IFERROR(D94/D94,"")</f>
        <v/>
      </c>
      <c r="H94">
        <f>IF(VLOOKUP($B94,$B$4:$Q$83,7,FALSE)=0,"",VLOOKUP($B94,$B$4:$Q$83,7,FALSE))</f>
        <v/>
      </c>
      <c r="I94">
        <f>IF(J94="","",J94-K94)</f>
        <v/>
      </c>
      <c r="J94">
        <f>IF(ISNA(VLOOKUP($B94,$B$4:$Q$83,9,FALSE)),"",VLOOKUP($B94,$B$4:$Q$83,9,FALSE))</f>
        <v/>
      </c>
      <c r="K94">
        <f>IF(ISNA(VLOOKUP($B94,$B$4:$Q$83,10,FALSE)),"",VLOOKUP($B94,$B$4:$Q$83,10,FALSE))</f>
        <v/>
      </c>
      <c r="L94" s="39">
        <f>IFERROR(I94/I94,"")</f>
        <v/>
      </c>
      <c r="M94">
        <f>IF(VLOOKUP($B94,$B$4:$Q$83,12,FALSE)=0,"",VLOOKUP($B94,$B$4:$Q$83,12,FALSE))</f>
        <v/>
      </c>
      <c r="N94">
        <f>IF(O94="","",O94-P94)</f>
        <v/>
      </c>
      <c r="O94">
        <f>IF(ISNA(VLOOKUP($B94,$B$4:$Q$83,14,FALSE)),"",VLOOKUP($B94,$B$4:$Q$83,14,FALSE))</f>
        <v/>
      </c>
      <c r="P94">
        <f>IF(ISNA(VLOOKUP($B94,$B$4:$Q$83,15,FALSE)),"",VLOOKUP($B94,$B$4:$Q$83,15,FALSE))</f>
        <v/>
      </c>
      <c r="Q94" s="39">
        <f>IFERROR(N94/N94,"")</f>
        <v/>
      </c>
    </row>
    <row r="95">
      <c r="A95" s="37" t="inlineStr">
        <is>
          <t>OLED</t>
        </is>
      </c>
      <c r="B95" s="37" t="inlineStr">
        <is>
          <t>65C5</t>
        </is>
      </c>
      <c r="C95">
        <f>IF(VLOOKUP($B95,$B$4:$Q$83,2,FALSE)=0,"",VLOOKUP($B95,$B$4:$Q$83,2,FALSE))</f>
        <v/>
      </c>
      <c r="D95">
        <f>IF(E95="","",E95-F95)</f>
        <v/>
      </c>
      <c r="E95">
        <f>IF(ISNA(VLOOKUP($B95,$B$4:$Q$83,4,FALSE)),"",VLOOKUP($B95,$B$4:$Q$83,4,FALSE))</f>
        <v/>
      </c>
      <c r="F95">
        <f>IF(ISNA(VLOOKUP($B95,$B$4:$Q$83,5,FALSE)),"",VLOOKUP($B95,$B$4:$Q$83,5,FALSE))</f>
        <v/>
      </c>
      <c r="G95" s="39">
        <f>IFERROR(D95/D94,"")</f>
        <v/>
      </c>
      <c r="H95">
        <f>IF(VLOOKUP($B95,$B$4:$Q$83,7,FALSE)=0,"",VLOOKUP($B95,$B$4:$Q$83,7,FALSE))</f>
        <v/>
      </c>
      <c r="I95">
        <f>IF(J95="","",J95-K95)</f>
        <v/>
      </c>
      <c r="J95">
        <f>IF(ISNA(VLOOKUP($B95,$B$4:$Q$83,9,FALSE)),"",VLOOKUP($B95,$B$4:$Q$83,9,FALSE))</f>
        <v/>
      </c>
      <c r="K95">
        <f>IF(ISNA(VLOOKUP($B95,$B$4:$Q$83,10,FALSE)),"",VLOOKUP($B95,$B$4:$Q$83,10,FALSE))</f>
        <v/>
      </c>
      <c r="L95" s="39">
        <f>IFERROR(I95/I94,"")</f>
        <v/>
      </c>
      <c r="M95">
        <f>IF(VLOOKUP($B95,$B$4:$Q$83,12,FALSE)=0,"",VLOOKUP($B95,$B$4:$Q$83,12,FALSE))</f>
        <v/>
      </c>
      <c r="N95">
        <f>IF(O95="","",O95-P95)</f>
        <v/>
      </c>
      <c r="O95">
        <f>IF(ISNA(VLOOKUP($B95,$B$4:$Q$83,14,FALSE)),"",VLOOKUP($B95,$B$4:$Q$83,14,FALSE))</f>
        <v/>
      </c>
      <c r="P95">
        <f>IF(ISNA(VLOOKUP($B95,$B$4:$Q$83,15,FALSE)),"",VLOOKUP($B95,$B$4:$Q$83,15,FALSE))</f>
        <v/>
      </c>
      <c r="Q95" s="39">
        <f>IFERROR(N95/N94,"")</f>
        <v/>
      </c>
    </row>
    <row r="96">
      <c r="A96" s="37" t="inlineStr">
        <is>
          <t>OLED</t>
        </is>
      </c>
      <c r="B96" s="37" t="inlineStr">
        <is>
          <t>65B5</t>
        </is>
      </c>
      <c r="C96">
        <f>IF(VLOOKUP($B96,$B$4:$Q$83,2,FALSE)=0,"",VLOOKUP($B96,$B$4:$Q$83,2,FALSE))</f>
        <v/>
      </c>
      <c r="D96">
        <f>IF(E96="","",E96-F96)</f>
        <v/>
      </c>
      <c r="E96">
        <f>IF(ISNA(VLOOKUP($B96,$B$4:$Q$83,4,FALSE)),"",VLOOKUP($B96,$B$4:$Q$83,4,FALSE))</f>
        <v/>
      </c>
      <c r="F96">
        <f>IF(ISNA(VLOOKUP($B96,$B$4:$Q$83,5,FALSE)),"",VLOOKUP($B96,$B$4:$Q$83,5,FALSE))</f>
        <v/>
      </c>
      <c r="G96" s="39">
        <f>IFERROR(D96/D94,"")</f>
        <v/>
      </c>
      <c r="H96">
        <f>IF(VLOOKUP($B96,$B$4:$Q$83,7,FALSE)=0,"",VLOOKUP($B96,$B$4:$Q$83,7,FALSE))</f>
        <v/>
      </c>
      <c r="I96">
        <f>IF(J96="","",J96-K96)</f>
        <v/>
      </c>
      <c r="J96">
        <f>IF(ISNA(VLOOKUP($B96,$B$4:$Q$83,9,FALSE)),"",VLOOKUP($B96,$B$4:$Q$83,9,FALSE))</f>
        <v/>
      </c>
      <c r="K96">
        <f>IF(ISNA(VLOOKUP($B96,$B$4:$Q$83,10,FALSE)),"",VLOOKUP($B96,$B$4:$Q$83,10,FALSE))</f>
        <v/>
      </c>
      <c r="L96" s="39">
        <f>IFERROR(I96/I94,"")</f>
        <v/>
      </c>
      <c r="M96">
        <f>IF(VLOOKUP($B96,$B$4:$Q$83,12,FALSE)=0,"",VLOOKUP($B96,$B$4:$Q$83,12,FALSE))</f>
        <v/>
      </c>
      <c r="N96">
        <f>IF(O96="","",O96-P96)</f>
        <v/>
      </c>
      <c r="O96">
        <f>IF(ISNA(VLOOKUP($B96,$B$4:$Q$83,14,FALSE)),"",VLOOKUP($B96,$B$4:$Q$83,14,FALSE))</f>
        <v/>
      </c>
      <c r="P96">
        <f>IF(ISNA(VLOOKUP($B96,$B$4:$Q$83,15,FALSE)),"",VLOOKUP($B96,$B$4:$Q$83,15,FALSE))</f>
        <v/>
      </c>
      <c r="Q96" s="39">
        <f>IFERROR(N96/N94,"")</f>
        <v/>
      </c>
    </row>
    <row r="97">
      <c r="A97" s="37" t="inlineStr">
        <is>
          <t>QNED</t>
        </is>
      </c>
      <c r="B97" s="37" t="inlineStr">
        <is>
          <t>65QNED86A</t>
        </is>
      </c>
      <c r="C97">
        <f>IF(VLOOKUP($B97,$B$4:$Q$83,2,FALSE)=0,"",VLOOKUP($B97,$B$4:$Q$83,2,FALSE))</f>
        <v/>
      </c>
      <c r="D97">
        <f>IF(E97="","",E97-F97)</f>
        <v/>
      </c>
      <c r="E97">
        <f>IF(ISNA(VLOOKUP($B97,$B$4:$Q$83,4,FALSE)),"",VLOOKUP($B97,$B$4:$Q$83,4,FALSE))</f>
        <v/>
      </c>
      <c r="F97">
        <f>IF(ISNA(VLOOKUP($B97,$B$4:$Q$83,5,FALSE)),"",VLOOKUP($B97,$B$4:$Q$83,5,FALSE))</f>
        <v/>
      </c>
      <c r="G97" s="39">
        <f>IFERROR(D97/D94,"")</f>
        <v/>
      </c>
      <c r="H97">
        <f>IF(VLOOKUP($B97,$B$4:$Q$83,7,FALSE)=0,"",VLOOKUP($B97,$B$4:$Q$83,7,FALSE))</f>
        <v/>
      </c>
      <c r="I97">
        <f>IF(J97="","",J97-K97)</f>
        <v/>
      </c>
      <c r="J97">
        <f>IF(ISNA(VLOOKUP($B97,$B$4:$Q$83,9,FALSE)),"",VLOOKUP($B97,$B$4:$Q$83,9,FALSE))</f>
        <v/>
      </c>
      <c r="K97">
        <f>IF(ISNA(VLOOKUP($B97,$B$4:$Q$83,10,FALSE)),"",VLOOKUP($B97,$B$4:$Q$83,10,FALSE))</f>
        <v/>
      </c>
      <c r="L97" s="39">
        <f>IFERROR(I97/I94,"")</f>
        <v/>
      </c>
      <c r="M97">
        <f>IF(VLOOKUP($B97,$B$4:$Q$83,12,FALSE)=0,"",VLOOKUP($B97,$B$4:$Q$83,12,FALSE))</f>
        <v/>
      </c>
      <c r="N97">
        <f>IF(O97="","",O97-P97)</f>
        <v/>
      </c>
      <c r="O97">
        <f>IF(ISNA(VLOOKUP($B97,$B$4:$Q$83,14,FALSE)),"",VLOOKUP($B97,$B$4:$Q$83,14,FALSE))</f>
        <v/>
      </c>
      <c r="P97">
        <f>IF(ISNA(VLOOKUP($B97,$B$4:$Q$83,15,FALSE)),"",VLOOKUP($B97,$B$4:$Q$83,15,FALSE))</f>
        <v/>
      </c>
      <c r="Q97" s="39">
        <f>IFERROR(N97/N94,"")</f>
        <v/>
      </c>
    </row>
    <row r="98">
      <c r="A98" s="37" t="inlineStr">
        <is>
          <t>QNED</t>
        </is>
      </c>
      <c r="B98" s="37" t="inlineStr">
        <is>
          <t>65QNED80A</t>
        </is>
      </c>
      <c r="C98">
        <f>IF(VLOOKUP($B98,$B$4:$Q$83,2,FALSE)=0,"",VLOOKUP($B98,$B$4:$Q$83,2,FALSE))</f>
        <v/>
      </c>
      <c r="D98">
        <f>IF(E98="","",E98-F98)</f>
        <v/>
      </c>
      <c r="E98">
        <f>IF(ISNA(VLOOKUP($B98,$B$4:$Q$83,4,FALSE)),"",VLOOKUP($B98,$B$4:$Q$83,4,FALSE))</f>
        <v/>
      </c>
      <c r="F98">
        <f>IF(ISNA(VLOOKUP($B98,$B$4:$Q$83,5,FALSE)),"",VLOOKUP($B98,$B$4:$Q$83,5,FALSE))</f>
        <v/>
      </c>
      <c r="G98" s="39">
        <f>IFERROR(D98/D94,"")</f>
        <v/>
      </c>
      <c r="H98">
        <f>IF(VLOOKUP($B98,$B$4:$Q$83,7,FALSE)=0,"",VLOOKUP($B98,$B$4:$Q$83,7,FALSE))</f>
        <v/>
      </c>
      <c r="I98">
        <f>IF(J98="","",J98-K98)</f>
        <v/>
      </c>
      <c r="J98">
        <f>IF(ISNA(VLOOKUP($B98,$B$4:$Q$83,9,FALSE)),"",VLOOKUP($B98,$B$4:$Q$83,9,FALSE))</f>
        <v/>
      </c>
      <c r="K98">
        <f>IF(ISNA(VLOOKUP($B98,$B$4:$Q$83,10,FALSE)),"",VLOOKUP($B98,$B$4:$Q$83,10,FALSE))</f>
        <v/>
      </c>
      <c r="L98" s="39">
        <f>IFERROR(I98/I94,"")</f>
        <v/>
      </c>
      <c r="M98">
        <f>IF(VLOOKUP($B98,$B$4:$Q$83,12,FALSE)=0,"",VLOOKUP($B98,$B$4:$Q$83,12,FALSE))</f>
        <v/>
      </c>
      <c r="N98">
        <f>IF(O98="","",O98-P98)</f>
        <v/>
      </c>
      <c r="O98">
        <f>IF(ISNA(VLOOKUP($B98,$B$4:$Q$83,14,FALSE)),"",VLOOKUP($B98,$B$4:$Q$83,14,FALSE))</f>
        <v/>
      </c>
      <c r="P98">
        <f>IF(ISNA(VLOOKUP($B98,$B$4:$Q$83,15,FALSE)),"",VLOOKUP($B98,$B$4:$Q$83,15,FALSE))</f>
        <v/>
      </c>
      <c r="Q98" s="39">
        <f>IFERROR(N98/N94,"")</f>
        <v/>
      </c>
    </row>
    <row r="99">
      <c r="A99" s="37" t="inlineStr">
        <is>
          <t>UHD 4K</t>
        </is>
      </c>
      <c r="B99" s="37" t="inlineStr">
        <is>
          <t>65UA75</t>
        </is>
      </c>
      <c r="C99">
        <f>IF(VLOOKUP($B99,$B$4:$Q$83,2,FALSE)=0,"",VLOOKUP($B99,$B$4:$Q$83,2,FALSE))</f>
        <v/>
      </c>
      <c r="D99">
        <f>IF(E99="","",E99-F99)</f>
        <v/>
      </c>
      <c r="E99">
        <f>IF(ISNA(VLOOKUP($B99,$B$4:$Q$83,4,FALSE)),"",VLOOKUP($B99,$B$4:$Q$83,4,FALSE))</f>
        <v/>
      </c>
      <c r="F99">
        <f>IF(ISNA(VLOOKUP($B99,$B$4:$Q$83,5,FALSE)),"",VLOOKUP($B99,$B$4:$Q$83,5,FALSE))</f>
        <v/>
      </c>
      <c r="G99" s="39">
        <f>IFERROR(D99/D94,"")</f>
        <v/>
      </c>
      <c r="H99">
        <f>IF(VLOOKUP($B99,$B$4:$Q$83,7,FALSE)=0,"",VLOOKUP($B99,$B$4:$Q$83,7,FALSE))</f>
        <v/>
      </c>
      <c r="I99">
        <f>IF(J99="","",J99-K99)</f>
        <v/>
      </c>
      <c r="J99">
        <f>IF(ISNA(VLOOKUP($B99,$B$4:$Q$83,9,FALSE)),"",VLOOKUP($B99,$B$4:$Q$83,9,FALSE))</f>
        <v/>
      </c>
      <c r="K99">
        <f>IF(ISNA(VLOOKUP($B99,$B$4:$Q$83,10,FALSE)),"",VLOOKUP($B99,$B$4:$Q$83,10,FALSE))</f>
        <v/>
      </c>
      <c r="L99" s="39">
        <f>IFERROR(I99/I94,"")</f>
        <v/>
      </c>
      <c r="M99">
        <f>IF(VLOOKUP($B99,$B$4:$Q$83,12,FALSE)=0,"",VLOOKUP($B99,$B$4:$Q$83,12,FALSE))</f>
        <v/>
      </c>
      <c r="N99">
        <f>IF(O99="","",O99-P99)</f>
        <v/>
      </c>
      <c r="O99">
        <f>IF(ISNA(VLOOKUP($B99,$B$4:$Q$83,14,FALSE)),"",VLOOKUP($B99,$B$4:$Q$83,14,FALSE))</f>
        <v/>
      </c>
      <c r="P99">
        <f>IF(ISNA(VLOOKUP($B99,$B$4:$Q$83,15,FALSE)),"",VLOOKUP($B99,$B$4:$Q$83,15,FALSE))</f>
        <v/>
      </c>
      <c r="Q99" s="39">
        <f>IFERROR(N99/N94,"")</f>
        <v/>
      </c>
    </row>
    <row r="100"/>
    <row r="101">
      <c r="A101" s="37" t="inlineStr">
        <is>
          <t>OLED</t>
        </is>
      </c>
      <c r="B101" s="37" t="inlineStr">
        <is>
          <t>77G5</t>
        </is>
      </c>
      <c r="C101">
        <f>IF(VLOOKUP($B101,$B$4:$Q$83,2,FALSE)=0,"",VLOOKUP($B101,$B$4:$Q$83,2,FALSE))</f>
        <v/>
      </c>
      <c r="D101">
        <f>IF(E101="","",E101-F101)</f>
        <v/>
      </c>
      <c r="E101">
        <f>IF(ISNA(VLOOKUP($B101,$B$4:$Q$83,4,FALSE)),"",VLOOKUP($B101,$B$4:$Q$83,4,FALSE))</f>
        <v/>
      </c>
      <c r="F101">
        <f>IF(ISNA(VLOOKUP($B101,$B$4:$Q$83,5,FALSE)),"",VLOOKUP($B101,$B$4:$Q$83,5,FALSE))</f>
        <v/>
      </c>
      <c r="G101" s="39">
        <f>IFERROR(D101/D101,"")</f>
        <v/>
      </c>
      <c r="H101">
        <f>IF(VLOOKUP($B101,$B$4:$Q$83,7,FALSE)=0,"",VLOOKUP($B101,$B$4:$Q$83,7,FALSE))</f>
        <v/>
      </c>
      <c r="I101">
        <f>IF(J101="","",J101-K101)</f>
        <v/>
      </c>
      <c r="J101">
        <f>IF(ISNA(VLOOKUP($B101,$B$4:$Q$83,9,FALSE)),"",VLOOKUP($B101,$B$4:$Q$83,9,FALSE))</f>
        <v/>
      </c>
      <c r="K101">
        <f>IF(ISNA(VLOOKUP($B101,$B$4:$Q$83,10,FALSE)),"",VLOOKUP($B101,$B$4:$Q$83,10,FALSE))</f>
        <v/>
      </c>
      <c r="L101" s="39">
        <f>IFERROR(I101/I101,"")</f>
        <v/>
      </c>
      <c r="M101">
        <f>IF(VLOOKUP($B101,$B$4:$Q$83,12,FALSE)=0,"",VLOOKUP($B101,$B$4:$Q$83,12,FALSE))</f>
        <v/>
      </c>
      <c r="N101">
        <f>IF(O101="","",O101-P101)</f>
        <v/>
      </c>
      <c r="O101">
        <f>IF(ISNA(VLOOKUP($B101,$B$4:$Q$83,14,FALSE)),"",VLOOKUP($B101,$B$4:$Q$83,14,FALSE))</f>
        <v/>
      </c>
      <c r="P101">
        <f>IF(ISNA(VLOOKUP($B101,$B$4:$Q$83,15,FALSE)),"",VLOOKUP($B101,$B$4:$Q$83,15,FALSE))</f>
        <v/>
      </c>
      <c r="Q101" s="39">
        <f>IFERROR(N101/N101,"")</f>
        <v/>
      </c>
    </row>
    <row r="102">
      <c r="A102" s="37" t="inlineStr">
        <is>
          <t>OLED</t>
        </is>
      </c>
      <c r="B102" s="37" t="inlineStr">
        <is>
          <t>77C5</t>
        </is>
      </c>
      <c r="C102">
        <f>IF(VLOOKUP($B102,$B$4:$Q$83,2,FALSE)=0,"",VLOOKUP($B102,$B$4:$Q$83,2,FALSE))</f>
        <v/>
      </c>
      <c r="D102">
        <f>IF(E102="","",E102-F102)</f>
        <v/>
      </c>
      <c r="E102">
        <f>IF(ISNA(VLOOKUP($B102,$B$4:$Q$83,4,FALSE)),"",VLOOKUP($B102,$B$4:$Q$83,4,FALSE))</f>
        <v/>
      </c>
      <c r="F102">
        <f>IF(ISNA(VLOOKUP($B102,$B$4:$Q$83,5,FALSE)),"",VLOOKUP($B102,$B$4:$Q$83,5,FALSE))</f>
        <v/>
      </c>
      <c r="G102" s="39">
        <f>IFERROR(D102/D101,"")</f>
        <v/>
      </c>
      <c r="H102">
        <f>IF(VLOOKUP($B102,$B$4:$Q$83,7,FALSE)=0,"",VLOOKUP($B102,$B$4:$Q$83,7,FALSE))</f>
        <v/>
      </c>
      <c r="I102">
        <f>IF(J102="","",J102-K102)</f>
        <v/>
      </c>
      <c r="J102">
        <f>IF(ISNA(VLOOKUP($B102,$B$4:$Q$83,9,FALSE)),"",VLOOKUP($B102,$B$4:$Q$83,9,FALSE))</f>
        <v/>
      </c>
      <c r="K102">
        <f>IF(ISNA(VLOOKUP($B102,$B$4:$Q$83,10,FALSE)),"",VLOOKUP($B102,$B$4:$Q$83,10,FALSE))</f>
        <v/>
      </c>
      <c r="L102" s="39">
        <f>IFERROR(I102/I101,"")</f>
        <v/>
      </c>
      <c r="M102">
        <f>IF(VLOOKUP($B102,$B$4:$Q$83,12,FALSE)=0,"",VLOOKUP($B102,$B$4:$Q$83,12,FALSE))</f>
        <v/>
      </c>
      <c r="N102">
        <f>IF(O102="","",O102-P102)</f>
        <v/>
      </c>
      <c r="O102">
        <f>IF(ISNA(VLOOKUP($B102,$B$4:$Q$83,14,FALSE)),"",VLOOKUP($B102,$B$4:$Q$83,14,FALSE))</f>
        <v/>
      </c>
      <c r="P102">
        <f>IF(ISNA(VLOOKUP($B102,$B$4:$Q$83,15,FALSE)),"",VLOOKUP($B102,$B$4:$Q$83,15,FALSE))</f>
        <v/>
      </c>
      <c r="Q102" s="39">
        <f>IFERROR(N102/N101,"")</f>
        <v/>
      </c>
    </row>
    <row r="103">
      <c r="A103" s="37" t="inlineStr">
        <is>
          <t>OLED</t>
        </is>
      </c>
      <c r="B103" s="37" t="inlineStr">
        <is>
          <t>77B5</t>
        </is>
      </c>
      <c r="C103">
        <f>IF(VLOOKUP($B103,$B$4:$Q$83,2,FALSE)=0,"",VLOOKUP($B103,$B$4:$Q$83,2,FALSE))</f>
        <v/>
      </c>
      <c r="D103">
        <f>IF(E103="","",E103-F103)</f>
        <v/>
      </c>
      <c r="E103">
        <f>IF(ISNA(VLOOKUP($B103,$B$4:$Q$83,4,FALSE)),"",VLOOKUP($B103,$B$4:$Q$83,4,FALSE))</f>
        <v/>
      </c>
      <c r="F103">
        <f>IF(ISNA(VLOOKUP($B103,$B$4:$Q$83,5,FALSE)),"",VLOOKUP($B103,$B$4:$Q$83,5,FALSE))</f>
        <v/>
      </c>
      <c r="G103" s="39">
        <f>IFERROR(D103/D101,"")</f>
        <v/>
      </c>
      <c r="H103">
        <f>IF(VLOOKUP($B103,$B$4:$Q$83,7,FALSE)=0,"",VLOOKUP($B103,$B$4:$Q$83,7,FALSE))</f>
        <v/>
      </c>
      <c r="I103">
        <f>IF(J103="","",J103-K103)</f>
        <v/>
      </c>
      <c r="J103">
        <f>IF(ISNA(VLOOKUP($B103,$B$4:$Q$83,9,FALSE)),"",VLOOKUP($B103,$B$4:$Q$83,9,FALSE))</f>
        <v/>
      </c>
      <c r="K103">
        <f>IF(ISNA(VLOOKUP($B103,$B$4:$Q$83,10,FALSE)),"",VLOOKUP($B103,$B$4:$Q$83,10,FALSE))</f>
        <v/>
      </c>
      <c r="L103" s="39">
        <f>IFERROR(I103/I101,"")</f>
        <v/>
      </c>
      <c r="M103">
        <f>IF(VLOOKUP($B103,$B$4:$Q$83,12,FALSE)=0,"",VLOOKUP($B103,$B$4:$Q$83,12,FALSE))</f>
        <v/>
      </c>
      <c r="N103">
        <f>IF(O103="","",O103-P103)</f>
        <v/>
      </c>
      <c r="O103">
        <f>IF(ISNA(VLOOKUP($B103,$B$4:$Q$83,14,FALSE)),"",VLOOKUP($B103,$B$4:$Q$83,14,FALSE))</f>
        <v/>
      </c>
      <c r="P103">
        <f>IF(ISNA(VLOOKUP($B103,$B$4:$Q$83,15,FALSE)),"",VLOOKUP($B103,$B$4:$Q$83,15,FALSE))</f>
        <v/>
      </c>
      <c r="Q103" s="39">
        <f>IFERROR(N103/N101,"")</f>
        <v/>
      </c>
    </row>
    <row r="104">
      <c r="A104" s="37" t="inlineStr">
        <is>
          <t>QNED</t>
        </is>
      </c>
      <c r="B104" s="37" t="inlineStr">
        <is>
          <t>75QNED86A</t>
        </is>
      </c>
      <c r="C104">
        <f>IF(VLOOKUP($B104,$B$4:$Q$83,2,FALSE)=0,"",VLOOKUP($B104,$B$4:$Q$83,2,FALSE))</f>
        <v/>
      </c>
      <c r="D104">
        <f>IF(E104="","",E104-F104)</f>
        <v/>
      </c>
      <c r="E104">
        <f>IF(ISNA(VLOOKUP($B104,$B$4:$Q$83,4,FALSE)),"",VLOOKUP($B104,$B$4:$Q$83,4,FALSE))</f>
        <v/>
      </c>
      <c r="F104">
        <f>IF(ISNA(VLOOKUP($B104,$B$4:$Q$83,5,FALSE)),"",VLOOKUP($B104,$B$4:$Q$83,5,FALSE))</f>
        <v/>
      </c>
      <c r="G104" s="39">
        <f>IFERROR(D104/D101,"")</f>
        <v/>
      </c>
      <c r="H104">
        <f>IF(VLOOKUP($B104,$B$4:$Q$83,7,FALSE)=0,"",VLOOKUP($B104,$B$4:$Q$83,7,FALSE))</f>
        <v/>
      </c>
      <c r="I104">
        <f>IF(J104="","",J104-K104)</f>
        <v/>
      </c>
      <c r="J104">
        <f>IF(ISNA(VLOOKUP($B104,$B$4:$Q$83,9,FALSE)),"",VLOOKUP($B104,$B$4:$Q$83,9,FALSE))</f>
        <v/>
      </c>
      <c r="K104">
        <f>IF(ISNA(VLOOKUP($B104,$B$4:$Q$83,10,FALSE)),"",VLOOKUP($B104,$B$4:$Q$83,10,FALSE))</f>
        <v/>
      </c>
      <c r="L104" s="39">
        <f>IFERROR(I104/I101,"")</f>
        <v/>
      </c>
      <c r="M104">
        <f>IF(VLOOKUP($B104,$B$4:$Q$83,12,FALSE)=0,"",VLOOKUP($B104,$B$4:$Q$83,12,FALSE))</f>
        <v/>
      </c>
      <c r="N104">
        <f>IF(O104="","",O104-P104)</f>
        <v/>
      </c>
      <c r="O104">
        <f>IF(ISNA(VLOOKUP($B104,$B$4:$Q$83,14,FALSE)),"",VLOOKUP($B104,$B$4:$Q$83,14,FALSE))</f>
        <v/>
      </c>
      <c r="P104">
        <f>IF(ISNA(VLOOKUP($B104,$B$4:$Q$83,15,FALSE)),"",VLOOKUP($B104,$B$4:$Q$83,15,FALSE))</f>
        <v/>
      </c>
      <c r="Q104" s="39">
        <f>IFERROR(N104/N101,"")</f>
        <v/>
      </c>
    </row>
    <row r="105">
      <c r="A105" s="37" t="inlineStr">
        <is>
          <t>QNED</t>
        </is>
      </c>
      <c r="B105" s="37" t="inlineStr">
        <is>
          <t>75QNED80A</t>
        </is>
      </c>
      <c r="C105">
        <f>IF(VLOOKUP($B105,$B$4:$Q$83,2,FALSE)=0,"",VLOOKUP($B105,$B$4:$Q$83,2,FALSE))</f>
        <v/>
      </c>
      <c r="D105">
        <f>IF(E105="","",E105-F105)</f>
        <v/>
      </c>
      <c r="E105">
        <f>IF(ISNA(VLOOKUP($B105,$B$4:$Q$83,4,FALSE)),"",VLOOKUP($B105,$B$4:$Q$83,4,FALSE))</f>
        <v/>
      </c>
      <c r="F105">
        <f>IF(ISNA(VLOOKUP($B105,$B$4:$Q$83,5,FALSE)),"",VLOOKUP($B105,$B$4:$Q$83,5,FALSE))</f>
        <v/>
      </c>
      <c r="G105" s="39">
        <f>IFERROR(D105/D101,"")</f>
        <v/>
      </c>
      <c r="H105">
        <f>IF(VLOOKUP($B105,$B$4:$Q$83,7,FALSE)=0,"",VLOOKUP($B105,$B$4:$Q$83,7,FALSE))</f>
        <v/>
      </c>
      <c r="I105">
        <f>IF(J105="","",J105-K105)</f>
        <v/>
      </c>
      <c r="J105">
        <f>IF(ISNA(VLOOKUP($B105,$B$4:$Q$83,9,FALSE)),"",VLOOKUP($B105,$B$4:$Q$83,9,FALSE))</f>
        <v/>
      </c>
      <c r="K105">
        <f>IF(ISNA(VLOOKUP($B105,$B$4:$Q$83,10,FALSE)),"",VLOOKUP($B105,$B$4:$Q$83,10,FALSE))</f>
        <v/>
      </c>
      <c r="L105" s="39">
        <f>IFERROR(I105/I101,"")</f>
        <v/>
      </c>
      <c r="M105">
        <f>IF(VLOOKUP($B105,$B$4:$Q$83,12,FALSE)=0,"",VLOOKUP($B105,$B$4:$Q$83,12,FALSE))</f>
        <v/>
      </c>
      <c r="N105">
        <f>IF(O105="","",O105-P105)</f>
        <v/>
      </c>
      <c r="O105">
        <f>IF(ISNA(VLOOKUP($B105,$B$4:$Q$83,14,FALSE)),"",VLOOKUP($B105,$B$4:$Q$83,14,FALSE))</f>
        <v/>
      </c>
      <c r="P105">
        <f>IF(ISNA(VLOOKUP($B105,$B$4:$Q$83,15,FALSE)),"",VLOOKUP($B105,$B$4:$Q$83,15,FALSE))</f>
        <v/>
      </c>
      <c r="Q105" s="39">
        <f>IFERROR(N105/N101,"")</f>
        <v/>
      </c>
    </row>
    <row r="106">
      <c r="A106" s="37" t="inlineStr">
        <is>
          <t>UHD 4K</t>
        </is>
      </c>
      <c r="B106" s="37" t="inlineStr">
        <is>
          <t>75UA75</t>
        </is>
      </c>
      <c r="C106">
        <f>IF(VLOOKUP($B106,$B$4:$Q$83,2,FALSE)=0,"",VLOOKUP($B106,$B$4:$Q$83,2,FALSE))</f>
        <v/>
      </c>
      <c r="D106">
        <f>IF(E106="","",E106-F106)</f>
        <v/>
      </c>
      <c r="E106">
        <f>IF(ISNA(VLOOKUP($B106,$B$4:$Q$83,4,FALSE)),"",VLOOKUP($B106,$B$4:$Q$83,4,FALSE))</f>
        <v/>
      </c>
      <c r="F106">
        <f>IF(ISNA(VLOOKUP($B106,$B$4:$Q$83,5,FALSE)),"",VLOOKUP($B106,$B$4:$Q$83,5,FALSE))</f>
        <v/>
      </c>
      <c r="G106" s="39">
        <f>IFERROR(D106/D101,"")</f>
        <v/>
      </c>
      <c r="H106">
        <f>IF(VLOOKUP($B106,$B$4:$Q$83,7,FALSE)=0,"",VLOOKUP($B106,$B$4:$Q$83,7,FALSE))</f>
        <v/>
      </c>
      <c r="I106">
        <f>IF(J106="","",J106-K106)</f>
        <v/>
      </c>
      <c r="J106">
        <f>IF(ISNA(VLOOKUP($B106,$B$4:$Q$83,9,FALSE)),"",VLOOKUP($B106,$B$4:$Q$83,9,FALSE))</f>
        <v/>
      </c>
      <c r="K106">
        <f>IF(ISNA(VLOOKUP($B106,$B$4:$Q$83,10,FALSE)),"",VLOOKUP($B106,$B$4:$Q$83,10,FALSE))</f>
        <v/>
      </c>
      <c r="L106" s="39">
        <f>IFERROR(I106/I101,"")</f>
        <v/>
      </c>
      <c r="M106">
        <f>IF(VLOOKUP($B106,$B$4:$Q$83,12,FALSE)=0,"",VLOOKUP($B106,$B$4:$Q$83,12,FALSE))</f>
        <v/>
      </c>
      <c r="N106">
        <f>IF(O106="","",O106-P106)</f>
        <v/>
      </c>
      <c r="O106">
        <f>IF(ISNA(VLOOKUP($B106,$B$4:$Q$83,14,FALSE)),"",VLOOKUP($B106,$B$4:$Q$83,14,FALSE))</f>
        <v/>
      </c>
      <c r="P106">
        <f>IF(ISNA(VLOOKUP($B106,$B$4:$Q$83,15,FALSE)),"",VLOOKUP($B106,$B$4:$Q$83,15,FALSE))</f>
        <v/>
      </c>
      <c r="Q106" s="39">
        <f>IFERROR(N106/N101,"")</f>
        <v/>
      </c>
    </row>
    <row r="107"/>
    <row r="108">
      <c r="A108" s="40" t="inlineStr">
        <is>
          <t>OLED</t>
        </is>
      </c>
      <c r="B108" s="40" t="inlineStr">
        <is>
          <t>55S95F</t>
        </is>
      </c>
      <c r="C108" s="41">
        <f>IF(VLOOKUP($B108,$B$4:$Q$83,2,FALSE)=0,"",VLOOKUP($B108,$B$4:$Q$83,2,FALSE))</f>
        <v/>
      </c>
      <c r="D108">
        <f>IF(E108="","",E108-F108)</f>
        <v/>
      </c>
      <c r="E108">
        <f>IF(ISNA(VLOOKUP($B108,$B$4:$Q$83,4,FALSE)),"",VLOOKUP($B108,$B$4:$Q$83,4,FALSE))</f>
        <v/>
      </c>
      <c r="F108">
        <f>IF(ISNA(VLOOKUP($B108,$B$4:$Q$83,5,FALSE)),"",VLOOKUP($B108,$B$4:$Q$83,5,FALSE))</f>
        <v/>
      </c>
      <c r="H108" s="41">
        <f>IF(VLOOKUP($B108,$B$4:$Q$83,7,FALSE)=0,"",VLOOKUP($B108,$B$4:$Q$83,7,FALSE))</f>
        <v/>
      </c>
      <c r="I108">
        <f>IF(J108="","",J108-K108)</f>
        <v/>
      </c>
      <c r="J108">
        <f>IF(ISNA(VLOOKUP($B108,$B$4:$Q$83,9,FALSE)),"",VLOOKUP($B108,$B$4:$Q$83,9,FALSE))</f>
        <v/>
      </c>
      <c r="K108">
        <f>IF(ISNA(VLOOKUP($B108,$B$4:$Q$83,10,FALSE)),"",VLOOKUP($B108,$B$4:$Q$83,10,FALSE))</f>
        <v/>
      </c>
      <c r="M108" s="41">
        <f>IF(VLOOKUP($B108,$B$4:$Q$83,12,FALSE)=0,"",VLOOKUP($B108,$B$4:$Q$83,12,FALSE))</f>
        <v/>
      </c>
      <c r="N108">
        <f>IF(O108="","",O108-P108)</f>
        <v/>
      </c>
      <c r="O108">
        <f>IF(ISNA(VLOOKUP($B108,$B$4:$Q$83,14,FALSE)),"",VLOOKUP($B108,$B$4:$Q$83,14,FALSE))</f>
        <v/>
      </c>
      <c r="P108">
        <f>IF(ISNA(VLOOKUP($B108,$B$4:$Q$83,15,FALSE)),"",VLOOKUP($B108,$B$4:$Q$83,15,FALSE))</f>
        <v/>
      </c>
    </row>
    <row r="109">
      <c r="A109" s="40" t="inlineStr">
        <is>
          <t>OLED</t>
        </is>
      </c>
      <c r="B109" s="40" t="inlineStr">
        <is>
          <t>55S90F</t>
        </is>
      </c>
      <c r="C109" s="41">
        <f>IF(VLOOKUP($B109,$B$4:$Q$83,2,FALSE)=0,"",VLOOKUP($B109,$B$4:$Q$83,2,FALSE))</f>
        <v/>
      </c>
      <c r="D109">
        <f>IF(E109="","",E109-F109)</f>
        <v/>
      </c>
      <c r="E109">
        <f>IF(ISNA(VLOOKUP($B109,$B$4:$Q$83,4,FALSE)),"",VLOOKUP($B109,$B$4:$Q$83,4,FALSE))</f>
        <v/>
      </c>
      <c r="F109">
        <f>IF(ISNA(VLOOKUP($B109,$B$4:$Q$83,5,FALSE)),"",VLOOKUP($B109,$B$4:$Q$83,5,FALSE))</f>
        <v/>
      </c>
      <c r="H109" s="41">
        <f>IF(VLOOKUP($B109,$B$4:$Q$83,7,FALSE)=0,"",VLOOKUP($B109,$B$4:$Q$83,7,FALSE))</f>
        <v/>
      </c>
      <c r="I109">
        <f>IF(J109="","",J109-K109)</f>
        <v/>
      </c>
      <c r="J109">
        <f>IF(ISNA(VLOOKUP($B109,$B$4:$Q$83,9,FALSE)),"",VLOOKUP($B109,$B$4:$Q$83,9,FALSE))</f>
        <v/>
      </c>
      <c r="K109">
        <f>IF(ISNA(VLOOKUP($B109,$B$4:$Q$83,10,FALSE)),"",VLOOKUP($B109,$B$4:$Q$83,10,FALSE))</f>
        <v/>
      </c>
      <c r="M109" s="41">
        <f>IF(VLOOKUP($B109,$B$4:$Q$83,12,FALSE)=0,"",VLOOKUP($B109,$B$4:$Q$83,12,FALSE))</f>
        <v/>
      </c>
      <c r="N109">
        <f>IF(O109="","",O109-P109)</f>
        <v/>
      </c>
      <c r="O109">
        <f>IF(ISNA(VLOOKUP($B109,$B$4:$Q$83,14,FALSE)),"",VLOOKUP($B109,$B$4:$Q$83,14,FALSE))</f>
        <v/>
      </c>
      <c r="P109">
        <f>IF(ISNA(VLOOKUP($B109,$B$4:$Q$83,15,FALSE)),"",VLOOKUP($B109,$B$4:$Q$83,15,FALSE))</f>
        <v/>
      </c>
    </row>
    <row r="110">
      <c r="A110" s="40" t="inlineStr">
        <is>
          <t>OLED</t>
        </is>
      </c>
      <c r="B110" s="40" t="inlineStr">
        <is>
          <t>55S85F</t>
        </is>
      </c>
      <c r="C110" s="41">
        <f>IF(VLOOKUP($B110,$B$4:$Q$83,2,FALSE)=0,"",VLOOKUP($B110,$B$4:$Q$83,2,FALSE))</f>
        <v/>
      </c>
      <c r="D110">
        <f>IF(E110="","",E110-F110)</f>
        <v/>
      </c>
      <c r="E110">
        <f>IF(ISNA(VLOOKUP($B110,$B$4:$Q$83,4,FALSE)),"",VLOOKUP($B110,$B$4:$Q$83,4,FALSE))</f>
        <v/>
      </c>
      <c r="F110">
        <f>IF(ISNA(VLOOKUP($B110,$B$4:$Q$83,5,FALSE)),"",VLOOKUP($B110,$B$4:$Q$83,5,FALSE))</f>
        <v/>
      </c>
      <c r="H110" s="41">
        <f>IF(VLOOKUP($B110,$B$4:$Q$83,7,FALSE)=0,"",VLOOKUP($B110,$B$4:$Q$83,7,FALSE))</f>
        <v/>
      </c>
      <c r="I110">
        <f>IF(J110="","",J110-K110)</f>
        <v/>
      </c>
      <c r="J110">
        <f>IF(ISNA(VLOOKUP($B110,$B$4:$Q$83,9,FALSE)),"",VLOOKUP($B110,$B$4:$Q$83,9,FALSE))</f>
        <v/>
      </c>
      <c r="K110">
        <f>IF(ISNA(VLOOKUP($B110,$B$4:$Q$83,10,FALSE)),"",VLOOKUP($B110,$B$4:$Q$83,10,FALSE))</f>
        <v/>
      </c>
      <c r="M110" s="41">
        <f>IF(VLOOKUP($B110,$B$4:$Q$83,12,FALSE)=0,"",VLOOKUP($B110,$B$4:$Q$83,12,FALSE))</f>
        <v/>
      </c>
      <c r="N110">
        <f>IF(O110="","",O110-P110)</f>
        <v/>
      </c>
      <c r="O110">
        <f>IF(ISNA(VLOOKUP($B110,$B$4:$Q$83,14,FALSE)),"",VLOOKUP($B110,$B$4:$Q$83,14,FALSE))</f>
        <v/>
      </c>
      <c r="P110">
        <f>IF(ISNA(VLOOKUP($B110,$B$4:$Q$83,15,FALSE)),"",VLOOKUP($B110,$B$4:$Q$83,15,FALSE))</f>
        <v/>
      </c>
    </row>
    <row r="111">
      <c r="A111" s="40" t="inlineStr">
        <is>
          <t>QLED</t>
        </is>
      </c>
      <c r="B111" s="40" t="inlineStr">
        <is>
          <t>55QN70F</t>
        </is>
      </c>
      <c r="C111" s="41">
        <f>IF(VLOOKUP($B111,$B$4:$Q$83,2,FALSE)=0,"",VLOOKUP($B111,$B$4:$Q$83,2,FALSE))</f>
        <v/>
      </c>
      <c r="D111">
        <f>IF(E111="","",E111-F111)</f>
        <v/>
      </c>
      <c r="E111">
        <f>IF(ISNA(VLOOKUP($B111,$B$4:$Q$83,4,FALSE)),"",VLOOKUP($B111,$B$4:$Q$83,4,FALSE))</f>
        <v/>
      </c>
      <c r="F111">
        <f>IF(ISNA(VLOOKUP($B111,$B$4:$Q$83,5,FALSE)),"",VLOOKUP($B111,$B$4:$Q$83,5,FALSE))</f>
        <v/>
      </c>
      <c r="H111" s="41">
        <f>IF(VLOOKUP($B111,$B$4:$Q$83,7,FALSE)=0,"",VLOOKUP($B111,$B$4:$Q$83,7,FALSE))</f>
        <v/>
      </c>
      <c r="I111">
        <f>IF(J111="","",J111-K111)</f>
        <v/>
      </c>
      <c r="J111">
        <f>IF(ISNA(VLOOKUP($B111,$B$4:$Q$83,9,FALSE)),"",VLOOKUP($B111,$B$4:$Q$83,9,FALSE))</f>
        <v/>
      </c>
      <c r="K111">
        <f>IF(ISNA(VLOOKUP($B111,$B$4:$Q$83,10,FALSE)),"",VLOOKUP($B111,$B$4:$Q$83,10,FALSE))</f>
        <v/>
      </c>
      <c r="M111" s="41">
        <f>IF(VLOOKUP($B111,$B$4:$Q$83,12,FALSE)=0,"",VLOOKUP($B111,$B$4:$Q$83,12,FALSE))</f>
        <v/>
      </c>
      <c r="N111">
        <f>IF(O111="","",O111-P111)</f>
        <v/>
      </c>
      <c r="O111">
        <f>IF(ISNA(VLOOKUP($B111,$B$4:$Q$83,14,FALSE)),"",VLOOKUP($B111,$B$4:$Q$83,14,FALSE))</f>
        <v/>
      </c>
      <c r="P111">
        <f>IF(ISNA(VLOOKUP($B111,$B$4:$Q$83,15,FALSE)),"",VLOOKUP($B111,$B$4:$Q$83,15,FALSE))</f>
        <v/>
      </c>
    </row>
    <row r="112">
      <c r="A112" s="40" t="inlineStr">
        <is>
          <t>QLED</t>
        </is>
      </c>
      <c r="B112" s="40" t="inlineStr">
        <is>
          <t>55Q8F</t>
        </is>
      </c>
      <c r="C112" s="41">
        <f>IF(VLOOKUP($B112,$B$4:$Q$83,2,FALSE)=0,"",VLOOKUP($B112,$B$4:$Q$83,2,FALSE))</f>
        <v/>
      </c>
      <c r="D112">
        <f>IF(E112="","",E112-F112)</f>
        <v/>
      </c>
      <c r="E112">
        <f>IF(ISNA(VLOOKUP($B112,$B$4:$Q$83,4,FALSE)),"",VLOOKUP($B112,$B$4:$Q$83,4,FALSE))</f>
        <v/>
      </c>
      <c r="F112">
        <f>IF(ISNA(VLOOKUP($B112,$B$4:$Q$83,5,FALSE)),"",VLOOKUP($B112,$B$4:$Q$83,5,FALSE))</f>
        <v/>
      </c>
      <c r="H112" s="41">
        <f>IF(VLOOKUP($B112,$B$4:$Q$83,7,FALSE)=0,"",VLOOKUP($B112,$B$4:$Q$83,7,FALSE))</f>
        <v/>
      </c>
      <c r="I112">
        <f>IF(J112="","",J112-K112)</f>
        <v/>
      </c>
      <c r="J112">
        <f>IF(ISNA(VLOOKUP($B112,$B$4:$Q$83,9,FALSE)),"",VLOOKUP($B112,$B$4:$Q$83,9,FALSE))</f>
        <v/>
      </c>
      <c r="K112">
        <f>IF(ISNA(VLOOKUP($B112,$B$4:$Q$83,10,FALSE)),"",VLOOKUP($B112,$B$4:$Q$83,10,FALSE))</f>
        <v/>
      </c>
      <c r="M112" s="41">
        <f>IF(VLOOKUP($B112,$B$4:$Q$83,12,FALSE)=0,"",VLOOKUP($B112,$B$4:$Q$83,12,FALSE))</f>
        <v/>
      </c>
      <c r="N112">
        <f>IF(O112="","",O112-P112)</f>
        <v/>
      </c>
      <c r="O112">
        <f>IF(ISNA(VLOOKUP($B112,$B$4:$Q$83,14,FALSE)),"",VLOOKUP($B112,$B$4:$Q$83,14,FALSE))</f>
        <v/>
      </c>
      <c r="P112">
        <f>IF(ISNA(VLOOKUP($B112,$B$4:$Q$83,15,FALSE)),"",VLOOKUP($B112,$B$4:$Q$83,15,FALSE))</f>
        <v/>
      </c>
    </row>
    <row r="113">
      <c r="A113" s="40" t="inlineStr">
        <is>
          <t>QLED</t>
        </is>
      </c>
      <c r="B113" s="40" t="inlineStr">
        <is>
          <t>55Q7F</t>
        </is>
      </c>
      <c r="C113" s="41">
        <f>IF(VLOOKUP($B113,$B$4:$Q$83,2,FALSE)=0,"",VLOOKUP($B113,$B$4:$Q$83,2,FALSE))</f>
        <v/>
      </c>
      <c r="D113">
        <f>IF(E113="","",E113-F113)</f>
        <v/>
      </c>
      <c r="E113">
        <f>IF(ISNA(VLOOKUP($B113,$B$4:$Q$83,4,FALSE)),"",VLOOKUP($B113,$B$4:$Q$83,4,FALSE))</f>
        <v/>
      </c>
      <c r="F113">
        <f>IF(ISNA(VLOOKUP($B113,$B$4:$Q$83,5,FALSE)),"",VLOOKUP($B113,$B$4:$Q$83,5,FALSE))</f>
        <v/>
      </c>
      <c r="H113" s="41">
        <f>IF(VLOOKUP($B113,$B$4:$Q$83,7,FALSE)=0,"",VLOOKUP($B113,$B$4:$Q$83,7,FALSE))</f>
        <v/>
      </c>
      <c r="I113">
        <f>IF(J113="","",J113-K113)</f>
        <v/>
      </c>
      <c r="J113">
        <f>IF(ISNA(VLOOKUP($B113,$B$4:$Q$83,9,FALSE)),"",VLOOKUP($B113,$B$4:$Q$83,9,FALSE))</f>
        <v/>
      </c>
      <c r="K113">
        <f>IF(ISNA(VLOOKUP($B113,$B$4:$Q$83,10,FALSE)),"",VLOOKUP($B113,$B$4:$Q$83,10,FALSE))</f>
        <v/>
      </c>
      <c r="M113" s="41">
        <f>IF(VLOOKUP($B113,$B$4:$Q$83,12,FALSE)=0,"",VLOOKUP($B113,$B$4:$Q$83,12,FALSE))</f>
        <v/>
      </c>
      <c r="N113">
        <f>IF(O113="","",O113-P113)</f>
        <v/>
      </c>
      <c r="O113">
        <f>IF(ISNA(VLOOKUP($B113,$B$4:$Q$83,14,FALSE)),"",VLOOKUP($B113,$B$4:$Q$83,14,FALSE))</f>
        <v/>
      </c>
      <c r="P113">
        <f>IF(ISNA(VLOOKUP($B113,$B$4:$Q$83,15,FALSE)),"",VLOOKUP($B113,$B$4:$Q$83,15,FALSE))</f>
        <v/>
      </c>
    </row>
    <row r="114">
      <c r="A114" s="40" t="inlineStr">
        <is>
          <t>UHD 4K</t>
        </is>
      </c>
      <c r="B114" s="40" t="inlineStr">
        <is>
          <t>55U8000F</t>
        </is>
      </c>
      <c r="C114" s="41">
        <f>IF(VLOOKUP($B114,$B$4:$Q$83,2,FALSE)=0,"",VLOOKUP($B114,$B$4:$Q$83,2,FALSE))</f>
        <v/>
      </c>
      <c r="D114">
        <f>IF(E114="","",E114-F114)</f>
        <v/>
      </c>
      <c r="E114">
        <f>IF(ISNA(VLOOKUP($B114,$B$4:$Q$83,4,FALSE)),"",VLOOKUP($B114,$B$4:$Q$83,4,FALSE))</f>
        <v/>
      </c>
      <c r="F114">
        <f>IF(ISNA(VLOOKUP($B114,$B$4:$Q$83,5,FALSE)),"",VLOOKUP($B114,$B$4:$Q$83,5,FALSE))</f>
        <v/>
      </c>
      <c r="H114" s="41">
        <f>IF(VLOOKUP($B114,$B$4:$Q$83,7,FALSE)=0,"",VLOOKUP($B114,$B$4:$Q$83,7,FALSE))</f>
        <v/>
      </c>
      <c r="I114">
        <f>IF(J114="","",J114-K114)</f>
        <v/>
      </c>
      <c r="J114">
        <f>IF(ISNA(VLOOKUP($B114,$B$4:$Q$83,9,FALSE)),"",VLOOKUP($B114,$B$4:$Q$83,9,FALSE))</f>
        <v/>
      </c>
      <c r="K114">
        <f>IF(ISNA(VLOOKUP($B114,$B$4:$Q$83,10,FALSE)),"",VLOOKUP($B114,$B$4:$Q$83,10,FALSE))</f>
        <v/>
      </c>
      <c r="M114" s="41">
        <f>IF(VLOOKUP($B114,$B$4:$Q$83,12,FALSE)=0,"",VLOOKUP($B114,$B$4:$Q$83,12,FALSE))</f>
        <v/>
      </c>
      <c r="N114">
        <f>IF(O114="","",O114-P114)</f>
        <v/>
      </c>
      <c r="O114">
        <f>IF(ISNA(VLOOKUP($B114,$B$4:$Q$83,14,FALSE)),"",VLOOKUP($B114,$B$4:$Q$83,14,FALSE))</f>
        <v/>
      </c>
      <c r="P114">
        <f>IF(ISNA(VLOOKUP($B114,$B$4:$Q$83,15,FALSE)),"",VLOOKUP($B114,$B$4:$Q$83,15,FALSE))</f>
        <v/>
      </c>
    </row>
    <row r="115"/>
    <row r="116">
      <c r="A116" s="40" t="inlineStr">
        <is>
          <t>OLED</t>
        </is>
      </c>
      <c r="B116" s="40" t="inlineStr">
        <is>
          <t>65S95F</t>
        </is>
      </c>
      <c r="C116" s="41">
        <f>IF(VLOOKUP($B116,$B$4:$Q$83,2,FALSE)=0,"",VLOOKUP($B116,$B$4:$Q$83,2,FALSE))</f>
        <v/>
      </c>
      <c r="D116">
        <f>IF(E116="","",E116-F116)</f>
        <v/>
      </c>
      <c r="E116">
        <f>IF(ISNA(VLOOKUP($B116,$B$4:$Q$83,4,FALSE)),"",VLOOKUP($B116,$B$4:$Q$83,4,FALSE))</f>
        <v/>
      </c>
      <c r="F116">
        <f>IF(ISNA(VLOOKUP($B116,$B$4:$Q$83,5,FALSE)),"",VLOOKUP($B116,$B$4:$Q$83,5,FALSE))</f>
        <v/>
      </c>
      <c r="H116" s="41">
        <f>IF(VLOOKUP($B116,$B$4:$Q$83,7,FALSE)=0,"",VLOOKUP($B116,$B$4:$Q$83,7,FALSE))</f>
        <v/>
      </c>
      <c r="I116">
        <f>IF(J116="","",J116-K116)</f>
        <v/>
      </c>
      <c r="J116">
        <f>IF(ISNA(VLOOKUP($B116,$B$4:$Q$83,9,FALSE)),"",VLOOKUP($B116,$B$4:$Q$83,9,FALSE))</f>
        <v/>
      </c>
      <c r="K116">
        <f>IF(ISNA(VLOOKUP($B116,$B$4:$Q$83,10,FALSE)),"",VLOOKUP($B116,$B$4:$Q$83,10,FALSE))</f>
        <v/>
      </c>
      <c r="M116" s="41">
        <f>IF(VLOOKUP($B116,$B$4:$Q$83,12,FALSE)=0,"",VLOOKUP($B116,$B$4:$Q$83,12,FALSE))</f>
        <v/>
      </c>
      <c r="N116">
        <f>IF(O116="","",O116-P116)</f>
        <v/>
      </c>
      <c r="O116">
        <f>IF(ISNA(VLOOKUP($B116,$B$4:$Q$83,14,FALSE)),"",VLOOKUP($B116,$B$4:$Q$83,14,FALSE))</f>
        <v/>
      </c>
      <c r="P116">
        <f>IF(ISNA(VLOOKUP($B116,$B$4:$Q$83,15,FALSE)),"",VLOOKUP($B116,$B$4:$Q$83,15,FALSE))</f>
        <v/>
      </c>
    </row>
    <row r="117">
      <c r="A117" s="40" t="inlineStr">
        <is>
          <t>OLED</t>
        </is>
      </c>
      <c r="B117" s="40" t="inlineStr">
        <is>
          <t>65S90F</t>
        </is>
      </c>
      <c r="C117" s="41">
        <f>IF(VLOOKUP($B117,$B$4:$Q$83,2,FALSE)=0,"",VLOOKUP($B117,$B$4:$Q$83,2,FALSE))</f>
        <v/>
      </c>
      <c r="D117">
        <f>IF(E117="","",E117-F117)</f>
        <v/>
      </c>
      <c r="E117">
        <f>IF(ISNA(VLOOKUP($B117,$B$4:$Q$83,4,FALSE)),"",VLOOKUP($B117,$B$4:$Q$83,4,FALSE))</f>
        <v/>
      </c>
      <c r="F117">
        <f>IF(ISNA(VLOOKUP($B117,$B$4:$Q$83,5,FALSE)),"",VLOOKUP($B117,$B$4:$Q$83,5,FALSE))</f>
        <v/>
      </c>
      <c r="H117" s="41">
        <f>IF(VLOOKUP($B117,$B$4:$Q$83,7,FALSE)=0,"",VLOOKUP($B117,$B$4:$Q$83,7,FALSE))</f>
        <v/>
      </c>
      <c r="I117">
        <f>IF(J117="","",J117-K117)</f>
        <v/>
      </c>
      <c r="J117">
        <f>IF(ISNA(VLOOKUP($B117,$B$4:$Q$83,9,FALSE)),"",VLOOKUP($B117,$B$4:$Q$83,9,FALSE))</f>
        <v/>
      </c>
      <c r="K117">
        <f>IF(ISNA(VLOOKUP($B117,$B$4:$Q$83,10,FALSE)),"",VLOOKUP($B117,$B$4:$Q$83,10,FALSE))</f>
        <v/>
      </c>
      <c r="M117" s="41">
        <f>IF(VLOOKUP($B117,$B$4:$Q$83,12,FALSE)=0,"",VLOOKUP($B117,$B$4:$Q$83,12,FALSE))</f>
        <v/>
      </c>
      <c r="N117">
        <f>IF(O117="","",O117-P117)</f>
        <v/>
      </c>
      <c r="O117">
        <f>IF(ISNA(VLOOKUP($B117,$B$4:$Q$83,14,FALSE)),"",VLOOKUP($B117,$B$4:$Q$83,14,FALSE))</f>
        <v/>
      </c>
      <c r="P117">
        <f>IF(ISNA(VLOOKUP($B117,$B$4:$Q$83,15,FALSE)),"",VLOOKUP($B117,$B$4:$Q$83,15,FALSE))</f>
        <v/>
      </c>
    </row>
    <row r="118">
      <c r="A118" s="40" t="inlineStr">
        <is>
          <t>OLED</t>
        </is>
      </c>
      <c r="B118" s="40" t="inlineStr">
        <is>
          <t>65S85F</t>
        </is>
      </c>
      <c r="C118" s="41">
        <f>IF(VLOOKUP($B118,$B$4:$Q$83,2,FALSE)=0,"",VLOOKUP($B118,$B$4:$Q$83,2,FALSE))</f>
        <v/>
      </c>
      <c r="D118">
        <f>IF(E118="","",E118-F118)</f>
        <v/>
      </c>
      <c r="E118">
        <f>IF(ISNA(VLOOKUP($B118,$B$4:$Q$83,4,FALSE)),"",VLOOKUP($B118,$B$4:$Q$83,4,FALSE))</f>
        <v/>
      </c>
      <c r="F118">
        <f>IF(ISNA(VLOOKUP($B118,$B$4:$Q$83,5,FALSE)),"",VLOOKUP($B118,$B$4:$Q$83,5,FALSE))</f>
        <v/>
      </c>
      <c r="H118" s="41">
        <f>IF(VLOOKUP($B118,$B$4:$Q$83,7,FALSE)=0,"",VLOOKUP($B118,$B$4:$Q$83,7,FALSE))</f>
        <v/>
      </c>
      <c r="I118">
        <f>IF(J118="","",J118-K118)</f>
        <v/>
      </c>
      <c r="J118">
        <f>IF(ISNA(VLOOKUP($B118,$B$4:$Q$83,9,FALSE)),"",VLOOKUP($B118,$B$4:$Q$83,9,FALSE))</f>
        <v/>
      </c>
      <c r="K118">
        <f>IF(ISNA(VLOOKUP($B118,$B$4:$Q$83,10,FALSE)),"",VLOOKUP($B118,$B$4:$Q$83,10,FALSE))</f>
        <v/>
      </c>
      <c r="M118" s="41">
        <f>IF(VLOOKUP($B118,$B$4:$Q$83,12,FALSE)=0,"",VLOOKUP($B118,$B$4:$Q$83,12,FALSE))</f>
        <v/>
      </c>
      <c r="N118">
        <f>IF(O118="","",O118-P118)</f>
        <v/>
      </c>
      <c r="O118">
        <f>IF(ISNA(VLOOKUP($B118,$B$4:$Q$83,14,FALSE)),"",VLOOKUP($B118,$B$4:$Q$83,14,FALSE))</f>
        <v/>
      </c>
      <c r="P118">
        <f>IF(ISNA(VLOOKUP($B118,$B$4:$Q$83,15,FALSE)),"",VLOOKUP($B118,$B$4:$Q$83,15,FALSE))</f>
        <v/>
      </c>
    </row>
    <row r="119">
      <c r="A119" s="40" t="inlineStr">
        <is>
          <t>QLED</t>
        </is>
      </c>
      <c r="B119" s="40" t="inlineStr">
        <is>
          <t>65QN70F</t>
        </is>
      </c>
      <c r="C119" s="41">
        <f>IF(VLOOKUP($B119,$B$4:$Q$83,2,FALSE)=0,"",VLOOKUP($B119,$B$4:$Q$83,2,FALSE))</f>
        <v/>
      </c>
      <c r="D119">
        <f>IF(E119="","",E119-F119)</f>
        <v/>
      </c>
      <c r="E119">
        <f>IF(ISNA(VLOOKUP($B119,$B$4:$Q$83,4,FALSE)),"",VLOOKUP($B119,$B$4:$Q$83,4,FALSE))</f>
        <v/>
      </c>
      <c r="F119">
        <f>IF(ISNA(VLOOKUP($B119,$B$4:$Q$83,5,FALSE)),"",VLOOKUP($B119,$B$4:$Q$83,5,FALSE))</f>
        <v/>
      </c>
      <c r="H119" s="41">
        <f>IF(VLOOKUP($B119,$B$4:$Q$83,7,FALSE)=0,"",VLOOKUP($B119,$B$4:$Q$83,7,FALSE))</f>
        <v/>
      </c>
      <c r="I119">
        <f>IF(J119="","",J119-K119)</f>
        <v/>
      </c>
      <c r="J119">
        <f>IF(ISNA(VLOOKUP($B119,$B$4:$Q$83,9,FALSE)),"",VLOOKUP($B119,$B$4:$Q$83,9,FALSE))</f>
        <v/>
      </c>
      <c r="K119">
        <f>IF(ISNA(VLOOKUP($B119,$B$4:$Q$83,10,FALSE)),"",VLOOKUP($B119,$B$4:$Q$83,10,FALSE))</f>
        <v/>
      </c>
      <c r="M119" s="41">
        <f>IF(VLOOKUP($B119,$B$4:$Q$83,12,FALSE)=0,"",VLOOKUP($B119,$B$4:$Q$83,12,FALSE))</f>
        <v/>
      </c>
      <c r="N119">
        <f>IF(O119="","",O119-P119)</f>
        <v/>
      </c>
      <c r="O119">
        <f>IF(ISNA(VLOOKUP($B119,$B$4:$Q$83,14,FALSE)),"",VLOOKUP($B119,$B$4:$Q$83,14,FALSE))</f>
        <v/>
      </c>
      <c r="P119">
        <f>IF(ISNA(VLOOKUP($B119,$B$4:$Q$83,15,FALSE)),"",VLOOKUP($B119,$B$4:$Q$83,15,FALSE))</f>
        <v/>
      </c>
    </row>
    <row r="120">
      <c r="A120" s="40" t="inlineStr">
        <is>
          <t>QLED</t>
        </is>
      </c>
      <c r="B120" s="40" t="inlineStr">
        <is>
          <t>65Q8F</t>
        </is>
      </c>
      <c r="C120" s="41">
        <f>IF(VLOOKUP($B120,$B$4:$Q$83,2,FALSE)=0,"",VLOOKUP($B120,$B$4:$Q$83,2,FALSE))</f>
        <v/>
      </c>
      <c r="D120">
        <f>IF(E120="","",E120-F120)</f>
        <v/>
      </c>
      <c r="E120">
        <f>IF(ISNA(VLOOKUP($B120,$B$4:$Q$83,4,FALSE)),"",VLOOKUP($B120,$B$4:$Q$83,4,FALSE))</f>
        <v/>
      </c>
      <c r="F120">
        <f>IF(ISNA(VLOOKUP($B120,$B$4:$Q$83,5,FALSE)),"",VLOOKUP($B120,$B$4:$Q$83,5,FALSE))</f>
        <v/>
      </c>
      <c r="H120" s="41">
        <f>IF(VLOOKUP($B120,$B$4:$Q$83,7,FALSE)=0,"",VLOOKUP($B120,$B$4:$Q$83,7,FALSE))</f>
        <v/>
      </c>
      <c r="I120">
        <f>IF(J120="","",J120-K120)</f>
        <v/>
      </c>
      <c r="J120">
        <f>IF(ISNA(VLOOKUP($B120,$B$4:$Q$83,9,FALSE)),"",VLOOKUP($B120,$B$4:$Q$83,9,FALSE))</f>
        <v/>
      </c>
      <c r="K120">
        <f>IF(ISNA(VLOOKUP($B120,$B$4:$Q$83,10,FALSE)),"",VLOOKUP($B120,$B$4:$Q$83,10,FALSE))</f>
        <v/>
      </c>
      <c r="M120" s="41">
        <f>IF(VLOOKUP($B120,$B$4:$Q$83,12,FALSE)=0,"",VLOOKUP($B120,$B$4:$Q$83,12,FALSE))</f>
        <v/>
      </c>
      <c r="N120">
        <f>IF(O120="","",O120-P120)</f>
        <v/>
      </c>
      <c r="O120">
        <f>IF(ISNA(VLOOKUP($B120,$B$4:$Q$83,14,FALSE)),"",VLOOKUP($B120,$B$4:$Q$83,14,FALSE))</f>
        <v/>
      </c>
      <c r="P120">
        <f>IF(ISNA(VLOOKUP($B120,$B$4:$Q$83,15,FALSE)),"",VLOOKUP($B120,$B$4:$Q$83,15,FALSE))</f>
        <v/>
      </c>
    </row>
    <row r="121">
      <c r="A121" s="40" t="inlineStr">
        <is>
          <t>QLED</t>
        </is>
      </c>
      <c r="B121" s="40" t="inlineStr">
        <is>
          <t>65Q7F</t>
        </is>
      </c>
      <c r="C121" s="41">
        <f>IF(VLOOKUP($B121,$B$4:$Q$83,2,FALSE)=0,"",VLOOKUP($B121,$B$4:$Q$83,2,FALSE))</f>
        <v/>
      </c>
      <c r="D121">
        <f>IF(E121="","",E121-F121)</f>
        <v/>
      </c>
      <c r="E121">
        <f>IF(ISNA(VLOOKUP($B121,$B$4:$Q$83,4,FALSE)),"",VLOOKUP($B121,$B$4:$Q$83,4,FALSE))</f>
        <v/>
      </c>
      <c r="F121">
        <f>IF(ISNA(VLOOKUP($B121,$B$4:$Q$83,5,FALSE)),"",VLOOKUP($B121,$B$4:$Q$83,5,FALSE))</f>
        <v/>
      </c>
      <c r="H121" s="41">
        <f>IF(VLOOKUP($B121,$B$4:$Q$83,7,FALSE)=0,"",VLOOKUP($B121,$B$4:$Q$83,7,FALSE))</f>
        <v/>
      </c>
      <c r="I121">
        <f>IF(J121="","",J121-K121)</f>
        <v/>
      </c>
      <c r="J121">
        <f>IF(ISNA(VLOOKUP($B121,$B$4:$Q$83,9,FALSE)),"",VLOOKUP($B121,$B$4:$Q$83,9,FALSE))</f>
        <v/>
      </c>
      <c r="K121">
        <f>IF(ISNA(VLOOKUP($B121,$B$4:$Q$83,10,FALSE)),"",VLOOKUP($B121,$B$4:$Q$83,10,FALSE))</f>
        <v/>
      </c>
      <c r="M121" s="41">
        <f>IF(VLOOKUP($B121,$B$4:$Q$83,12,FALSE)=0,"",VLOOKUP($B121,$B$4:$Q$83,12,FALSE))</f>
        <v/>
      </c>
      <c r="N121">
        <f>IF(O121="","",O121-P121)</f>
        <v/>
      </c>
      <c r="O121">
        <f>IF(ISNA(VLOOKUP($B121,$B$4:$Q$83,14,FALSE)),"",VLOOKUP($B121,$B$4:$Q$83,14,FALSE))</f>
        <v/>
      </c>
      <c r="P121">
        <f>IF(ISNA(VLOOKUP($B121,$B$4:$Q$83,15,FALSE)),"",VLOOKUP($B121,$B$4:$Q$83,15,FALSE))</f>
        <v/>
      </c>
    </row>
    <row r="122">
      <c r="A122" s="40" t="inlineStr">
        <is>
          <t>UHD 4K</t>
        </is>
      </c>
      <c r="B122" s="40" t="inlineStr">
        <is>
          <t>65U8000F</t>
        </is>
      </c>
      <c r="C122" s="41">
        <f>IF(VLOOKUP($B122,$B$4:$Q$83,2,FALSE)=0,"",VLOOKUP($B122,$B$4:$Q$83,2,FALSE))</f>
        <v/>
      </c>
      <c r="D122">
        <f>IF(E122="","",E122-F122)</f>
        <v/>
      </c>
      <c r="E122">
        <f>IF(ISNA(VLOOKUP($B122,$B$4:$Q$83,4,FALSE)),"",VLOOKUP($B122,$B$4:$Q$83,4,FALSE))</f>
        <v/>
      </c>
      <c r="F122">
        <f>IF(ISNA(VLOOKUP($B122,$B$4:$Q$83,5,FALSE)),"",VLOOKUP($B122,$B$4:$Q$83,5,FALSE))</f>
        <v/>
      </c>
      <c r="H122" s="41">
        <f>IF(VLOOKUP($B122,$B$4:$Q$83,7,FALSE)=0,"",VLOOKUP($B122,$B$4:$Q$83,7,FALSE))</f>
        <v/>
      </c>
      <c r="I122">
        <f>IF(J122="","",J122-K122)</f>
        <v/>
      </c>
      <c r="J122">
        <f>IF(ISNA(VLOOKUP($B122,$B$4:$Q$83,9,FALSE)),"",VLOOKUP($B122,$B$4:$Q$83,9,FALSE))</f>
        <v/>
      </c>
      <c r="K122">
        <f>IF(ISNA(VLOOKUP($B122,$B$4:$Q$83,10,FALSE)),"",VLOOKUP($B122,$B$4:$Q$83,10,FALSE))</f>
        <v/>
      </c>
      <c r="M122" s="41">
        <f>IF(VLOOKUP($B122,$B$4:$Q$83,12,FALSE)=0,"",VLOOKUP($B122,$B$4:$Q$83,12,FALSE))</f>
        <v/>
      </c>
      <c r="N122">
        <f>IF(O122="","",O122-P122)</f>
        <v/>
      </c>
      <c r="O122">
        <f>IF(ISNA(VLOOKUP($B122,$B$4:$Q$83,14,FALSE)),"",VLOOKUP($B122,$B$4:$Q$83,14,FALSE))</f>
        <v/>
      </c>
      <c r="P122">
        <f>IF(ISNA(VLOOKUP($B122,$B$4:$Q$83,15,FALSE)),"",VLOOKUP($B122,$B$4:$Q$83,15,FALSE))</f>
        <v/>
      </c>
    </row>
    <row r="123"/>
    <row r="124">
      <c r="A124" s="40" t="inlineStr">
        <is>
          <t>OLED</t>
        </is>
      </c>
      <c r="B124" s="40" t="inlineStr">
        <is>
          <t>77S95F</t>
        </is>
      </c>
      <c r="C124" s="41">
        <f>IF(VLOOKUP($B124,$B$4:$Q$83,2,FALSE)=0,"",VLOOKUP($B124,$B$4:$Q$83,2,FALSE))</f>
        <v/>
      </c>
      <c r="D124">
        <f>IF(E124="","",E124-F124)</f>
        <v/>
      </c>
      <c r="E124">
        <f>IF(ISNA(VLOOKUP($B124,$B$4:$Q$83,4,FALSE)),"",VLOOKUP($B124,$B$4:$Q$83,4,FALSE))</f>
        <v/>
      </c>
      <c r="F124">
        <f>IF(ISNA(VLOOKUP($B124,$B$4:$Q$83,5,FALSE)),"",VLOOKUP($B124,$B$4:$Q$83,5,FALSE))</f>
        <v/>
      </c>
      <c r="H124" s="41">
        <f>IF(VLOOKUP($B124,$B$4:$Q$83,7,FALSE)=0,"",VLOOKUP($B124,$B$4:$Q$83,7,FALSE))</f>
        <v/>
      </c>
      <c r="I124">
        <f>IF(J124="","",J124-K124)</f>
        <v/>
      </c>
      <c r="J124">
        <f>IF(ISNA(VLOOKUP($B124,$B$4:$Q$83,9,FALSE)),"",VLOOKUP($B124,$B$4:$Q$83,9,FALSE))</f>
        <v/>
      </c>
      <c r="K124">
        <f>IF(ISNA(VLOOKUP($B124,$B$4:$Q$83,10,FALSE)),"",VLOOKUP($B124,$B$4:$Q$83,10,FALSE))</f>
        <v/>
      </c>
      <c r="M124" s="41">
        <f>IF(VLOOKUP($B124,$B$4:$Q$83,12,FALSE)=0,"",VLOOKUP($B124,$B$4:$Q$83,12,FALSE))</f>
        <v/>
      </c>
      <c r="N124">
        <f>IF(O124="","",O124-P124)</f>
        <v/>
      </c>
      <c r="O124">
        <f>IF(ISNA(VLOOKUP($B124,$B$4:$Q$83,14,FALSE)),"",VLOOKUP($B124,$B$4:$Q$83,14,FALSE))</f>
        <v/>
      </c>
      <c r="P124">
        <f>IF(ISNA(VLOOKUP($B124,$B$4:$Q$83,15,FALSE)),"",VLOOKUP($B124,$B$4:$Q$83,15,FALSE))</f>
        <v/>
      </c>
    </row>
    <row r="125">
      <c r="A125" s="40" t="inlineStr">
        <is>
          <t>OLED</t>
        </is>
      </c>
      <c r="B125" s="40" t="inlineStr">
        <is>
          <t>77S90F</t>
        </is>
      </c>
      <c r="C125" s="41">
        <f>IF(VLOOKUP($B125,$B$4:$Q$83,2,FALSE)=0,"",VLOOKUP($B125,$B$4:$Q$83,2,FALSE))</f>
        <v/>
      </c>
      <c r="D125">
        <f>IF(E125="","",E125-F125)</f>
        <v/>
      </c>
      <c r="E125">
        <f>IF(ISNA(VLOOKUP($B125,$B$4:$Q$83,4,FALSE)),"",VLOOKUP($B125,$B$4:$Q$83,4,FALSE))</f>
        <v/>
      </c>
      <c r="F125">
        <f>IF(ISNA(VLOOKUP($B125,$B$4:$Q$83,5,FALSE)),"",VLOOKUP($B125,$B$4:$Q$83,5,FALSE))</f>
        <v/>
      </c>
      <c r="H125" s="41">
        <f>IF(VLOOKUP($B125,$B$4:$Q$83,7,FALSE)=0,"",VLOOKUP($B125,$B$4:$Q$83,7,FALSE))</f>
        <v/>
      </c>
      <c r="I125">
        <f>IF(J125="","",J125-K125)</f>
        <v/>
      </c>
      <c r="J125">
        <f>IF(ISNA(VLOOKUP($B125,$B$4:$Q$83,9,FALSE)),"",VLOOKUP($B125,$B$4:$Q$83,9,FALSE))</f>
        <v/>
      </c>
      <c r="K125">
        <f>IF(ISNA(VLOOKUP($B125,$B$4:$Q$83,10,FALSE)),"",VLOOKUP($B125,$B$4:$Q$83,10,FALSE))</f>
        <v/>
      </c>
      <c r="M125" s="41">
        <f>IF(VLOOKUP($B125,$B$4:$Q$83,12,FALSE)=0,"",VLOOKUP($B125,$B$4:$Q$83,12,FALSE))</f>
        <v/>
      </c>
      <c r="N125">
        <f>IF(O125="","",O125-P125)</f>
        <v/>
      </c>
      <c r="O125">
        <f>IF(ISNA(VLOOKUP($B125,$B$4:$Q$83,14,FALSE)),"",VLOOKUP($B125,$B$4:$Q$83,14,FALSE))</f>
        <v/>
      </c>
      <c r="P125">
        <f>IF(ISNA(VLOOKUP($B125,$B$4:$Q$83,15,FALSE)),"",VLOOKUP($B125,$B$4:$Q$83,15,FALSE))</f>
        <v/>
      </c>
    </row>
    <row r="126">
      <c r="A126" s="40" t="inlineStr">
        <is>
          <t>OLED</t>
        </is>
      </c>
      <c r="B126" s="40" t="inlineStr">
        <is>
          <t>77S85F</t>
        </is>
      </c>
      <c r="C126" s="41">
        <f>IF(VLOOKUP($B126,$B$4:$Q$83,2,FALSE)=0,"",VLOOKUP($B126,$B$4:$Q$83,2,FALSE))</f>
        <v/>
      </c>
      <c r="D126">
        <f>IF(E126="","",E126-F126)</f>
        <v/>
      </c>
      <c r="E126">
        <f>IF(ISNA(VLOOKUP($B126,$B$4:$Q$83,4,FALSE)),"",VLOOKUP($B126,$B$4:$Q$83,4,FALSE))</f>
        <v/>
      </c>
      <c r="F126">
        <f>IF(ISNA(VLOOKUP($B126,$B$4:$Q$83,5,FALSE)),"",VLOOKUP($B126,$B$4:$Q$83,5,FALSE))</f>
        <v/>
      </c>
      <c r="H126" s="41">
        <f>IF(VLOOKUP($B126,$B$4:$Q$83,7,FALSE)=0,"",VLOOKUP($B126,$B$4:$Q$83,7,FALSE))</f>
        <v/>
      </c>
      <c r="I126">
        <f>IF(J126="","",J126-K126)</f>
        <v/>
      </c>
      <c r="J126">
        <f>IF(ISNA(VLOOKUP($B126,$B$4:$Q$83,9,FALSE)),"",VLOOKUP($B126,$B$4:$Q$83,9,FALSE))</f>
        <v/>
      </c>
      <c r="K126">
        <f>IF(ISNA(VLOOKUP($B126,$B$4:$Q$83,10,FALSE)),"",VLOOKUP($B126,$B$4:$Q$83,10,FALSE))</f>
        <v/>
      </c>
      <c r="M126" s="41">
        <f>IF(VLOOKUP($B126,$B$4:$Q$83,12,FALSE)=0,"",VLOOKUP($B126,$B$4:$Q$83,12,FALSE))</f>
        <v/>
      </c>
      <c r="N126">
        <f>IF(O126="","",O126-P126)</f>
        <v/>
      </c>
      <c r="O126">
        <f>IF(ISNA(VLOOKUP($B126,$B$4:$Q$83,14,FALSE)),"",VLOOKUP($B126,$B$4:$Q$83,14,FALSE))</f>
        <v/>
      </c>
      <c r="P126">
        <f>IF(ISNA(VLOOKUP($B126,$B$4:$Q$83,15,FALSE)),"",VLOOKUP($B126,$B$4:$Q$83,15,FALSE))</f>
        <v/>
      </c>
    </row>
    <row r="127">
      <c r="A127" s="40" t="inlineStr">
        <is>
          <t>QLED</t>
        </is>
      </c>
      <c r="B127" s="40" t="inlineStr">
        <is>
          <t>75QN70F</t>
        </is>
      </c>
      <c r="C127" s="41">
        <f>IF(VLOOKUP($B127,$B$4:$Q$83,2,FALSE)=0,"",VLOOKUP($B127,$B$4:$Q$83,2,FALSE))</f>
        <v/>
      </c>
      <c r="D127">
        <f>IF(E127="","",E127-F127)</f>
        <v/>
      </c>
      <c r="E127">
        <f>IF(ISNA(VLOOKUP($B127,$B$4:$Q$83,4,FALSE)),"",VLOOKUP($B127,$B$4:$Q$83,4,FALSE))</f>
        <v/>
      </c>
      <c r="F127">
        <f>IF(ISNA(VLOOKUP($B127,$B$4:$Q$83,5,FALSE)),"",VLOOKUP($B127,$B$4:$Q$83,5,FALSE))</f>
        <v/>
      </c>
      <c r="H127" s="41">
        <f>IF(VLOOKUP($B127,$B$4:$Q$83,7,FALSE)=0,"",VLOOKUP($B127,$B$4:$Q$83,7,FALSE))</f>
        <v/>
      </c>
      <c r="I127">
        <f>IF(J127="","",J127-K127)</f>
        <v/>
      </c>
      <c r="J127">
        <f>IF(ISNA(VLOOKUP($B127,$B$4:$Q$83,9,FALSE)),"",VLOOKUP($B127,$B$4:$Q$83,9,FALSE))</f>
        <v/>
      </c>
      <c r="K127">
        <f>IF(ISNA(VLOOKUP($B127,$B$4:$Q$83,10,FALSE)),"",VLOOKUP($B127,$B$4:$Q$83,10,FALSE))</f>
        <v/>
      </c>
      <c r="M127" s="41">
        <f>IF(VLOOKUP($B127,$B$4:$Q$83,12,FALSE)=0,"",VLOOKUP($B127,$B$4:$Q$83,12,FALSE))</f>
        <v/>
      </c>
      <c r="N127">
        <f>IF(O127="","",O127-P127)</f>
        <v/>
      </c>
      <c r="O127">
        <f>IF(ISNA(VLOOKUP($B127,$B$4:$Q$83,14,FALSE)),"",VLOOKUP($B127,$B$4:$Q$83,14,FALSE))</f>
        <v/>
      </c>
      <c r="P127">
        <f>IF(ISNA(VLOOKUP($B127,$B$4:$Q$83,15,FALSE)),"",VLOOKUP($B127,$B$4:$Q$83,15,FALSE))</f>
        <v/>
      </c>
    </row>
    <row r="128">
      <c r="A128" s="40" t="inlineStr">
        <is>
          <t>QLED</t>
        </is>
      </c>
      <c r="B128" s="40" t="inlineStr">
        <is>
          <t>75Q8F</t>
        </is>
      </c>
      <c r="C128" s="41">
        <f>IF(VLOOKUP($B128,$B$4:$Q$83,2,FALSE)=0,"",VLOOKUP($B128,$B$4:$Q$83,2,FALSE))</f>
        <v/>
      </c>
      <c r="D128">
        <f>IF(E128="","",E128-F128)</f>
        <v/>
      </c>
      <c r="E128">
        <f>IF(ISNA(VLOOKUP($B128,$B$4:$Q$83,4,FALSE)),"",VLOOKUP($B128,$B$4:$Q$83,4,FALSE))</f>
        <v/>
      </c>
      <c r="F128">
        <f>IF(ISNA(VLOOKUP($B128,$B$4:$Q$83,5,FALSE)),"",VLOOKUP($B128,$B$4:$Q$83,5,FALSE))</f>
        <v/>
      </c>
      <c r="H128" s="41">
        <f>IF(VLOOKUP($B128,$B$4:$Q$83,7,FALSE)=0,"",VLOOKUP($B128,$B$4:$Q$83,7,FALSE))</f>
        <v/>
      </c>
      <c r="I128">
        <f>IF(J128="","",J128-K128)</f>
        <v/>
      </c>
      <c r="J128">
        <f>IF(ISNA(VLOOKUP($B128,$B$4:$Q$83,9,FALSE)),"",VLOOKUP($B128,$B$4:$Q$83,9,FALSE))</f>
        <v/>
      </c>
      <c r="K128">
        <f>IF(ISNA(VLOOKUP($B128,$B$4:$Q$83,10,FALSE)),"",VLOOKUP($B128,$B$4:$Q$83,10,FALSE))</f>
        <v/>
      </c>
      <c r="M128" s="41">
        <f>IF(VLOOKUP($B128,$B$4:$Q$83,12,FALSE)=0,"",VLOOKUP($B128,$B$4:$Q$83,12,FALSE))</f>
        <v/>
      </c>
      <c r="N128">
        <f>IF(O128="","",O128-P128)</f>
        <v/>
      </c>
      <c r="O128">
        <f>IF(ISNA(VLOOKUP($B128,$B$4:$Q$83,14,FALSE)),"",VLOOKUP($B128,$B$4:$Q$83,14,FALSE))</f>
        <v/>
      </c>
      <c r="P128">
        <f>IF(ISNA(VLOOKUP($B128,$B$4:$Q$83,15,FALSE)),"",VLOOKUP($B128,$B$4:$Q$83,15,FALSE))</f>
        <v/>
      </c>
    </row>
    <row r="129">
      <c r="A129" s="40" t="inlineStr">
        <is>
          <t>QLED</t>
        </is>
      </c>
      <c r="B129" s="40" t="inlineStr">
        <is>
          <t>75Q7F</t>
        </is>
      </c>
      <c r="C129" s="41">
        <f>IF(VLOOKUP($B129,$B$4:$Q$83,2,FALSE)=0,"",VLOOKUP($B129,$B$4:$Q$83,2,FALSE))</f>
        <v/>
      </c>
      <c r="D129">
        <f>IF(E129="","",E129-F129)</f>
        <v/>
      </c>
      <c r="E129">
        <f>IF(ISNA(VLOOKUP($B129,$B$4:$Q$83,4,FALSE)),"",VLOOKUP($B129,$B$4:$Q$83,4,FALSE))</f>
        <v/>
      </c>
      <c r="F129">
        <f>IF(ISNA(VLOOKUP($B129,$B$4:$Q$83,5,FALSE)),"",VLOOKUP($B129,$B$4:$Q$83,5,FALSE))</f>
        <v/>
      </c>
      <c r="H129" s="41">
        <f>IF(VLOOKUP($B129,$B$4:$Q$83,7,FALSE)=0,"",VLOOKUP($B129,$B$4:$Q$83,7,FALSE))</f>
        <v/>
      </c>
      <c r="I129">
        <f>IF(J129="","",J129-K129)</f>
        <v/>
      </c>
      <c r="J129">
        <f>IF(ISNA(VLOOKUP($B129,$B$4:$Q$83,9,FALSE)),"",VLOOKUP($B129,$B$4:$Q$83,9,FALSE))</f>
        <v/>
      </c>
      <c r="K129">
        <f>IF(ISNA(VLOOKUP($B129,$B$4:$Q$83,10,FALSE)),"",VLOOKUP($B129,$B$4:$Q$83,10,FALSE))</f>
        <v/>
      </c>
      <c r="M129" s="41">
        <f>IF(VLOOKUP($B129,$B$4:$Q$83,12,FALSE)=0,"",VLOOKUP($B129,$B$4:$Q$83,12,FALSE))</f>
        <v/>
      </c>
      <c r="N129">
        <f>IF(O129="","",O129-P129)</f>
        <v/>
      </c>
      <c r="O129">
        <f>IF(ISNA(VLOOKUP($B129,$B$4:$Q$83,14,FALSE)),"",VLOOKUP($B129,$B$4:$Q$83,14,FALSE))</f>
        <v/>
      </c>
      <c r="P129">
        <f>IF(ISNA(VLOOKUP($B129,$B$4:$Q$83,15,FALSE)),"",VLOOKUP($B129,$B$4:$Q$83,15,FALSE))</f>
        <v/>
      </c>
    </row>
    <row r="130">
      <c r="A130" s="40" t="inlineStr">
        <is>
          <t>UHD 4K</t>
        </is>
      </c>
      <c r="B130" s="40" t="inlineStr">
        <is>
          <t>75U8000F</t>
        </is>
      </c>
      <c r="C130" s="41">
        <f>IF(VLOOKUP($B130,$B$4:$Q$83,2,FALSE)=0,"",VLOOKUP($B130,$B$4:$Q$83,2,FALSE))</f>
        <v/>
      </c>
      <c r="D130">
        <f>IF(E130="","",E130-F130)</f>
        <v/>
      </c>
      <c r="E130">
        <f>IF(ISNA(VLOOKUP($B130,$B$4:$Q$83,4,FALSE)),"",VLOOKUP($B130,$B$4:$Q$83,4,FALSE))</f>
        <v/>
      </c>
      <c r="F130">
        <f>IF(ISNA(VLOOKUP($B130,$B$4:$Q$83,5,FALSE)),"",VLOOKUP($B130,$B$4:$Q$83,5,FALSE))</f>
        <v/>
      </c>
      <c r="H130" s="41">
        <f>IF(VLOOKUP($B130,$B$4:$Q$83,7,FALSE)=0,"",VLOOKUP($B130,$B$4:$Q$83,7,FALSE))</f>
        <v/>
      </c>
      <c r="I130">
        <f>IF(J130="","",J130-K130)</f>
        <v/>
      </c>
      <c r="J130">
        <f>IF(ISNA(VLOOKUP($B130,$B$4:$Q$83,9,FALSE)),"",VLOOKUP($B130,$B$4:$Q$83,9,FALSE))</f>
        <v/>
      </c>
      <c r="K130">
        <f>IF(ISNA(VLOOKUP($B130,$B$4:$Q$83,10,FALSE)),"",VLOOKUP($B130,$B$4:$Q$83,10,FALSE))</f>
        <v/>
      </c>
      <c r="M130" s="41">
        <f>IF(VLOOKUP($B130,$B$4:$Q$83,12,FALSE)=0,"",VLOOKUP($B130,$B$4:$Q$83,12,FALSE))</f>
        <v/>
      </c>
      <c r="N130">
        <f>IF(O130="","",O130-P130)</f>
        <v/>
      </c>
      <c r="O130">
        <f>IF(ISNA(VLOOKUP($B130,$B$4:$Q$83,14,FALSE)),"",VLOOKUP($B130,$B$4:$Q$83,14,FALSE))</f>
        <v/>
      </c>
      <c r="P130">
        <f>IF(ISNA(VLOOKUP($B130,$B$4:$Q$83,15,FALSE)),"",VLOOKUP($B130,$B$4:$Q$83,15,FALSE))</f>
        <v/>
      </c>
    </row>
  </sheetData>
  <mergeCells count="5">
    <mergeCell ref="H2:L2"/>
    <mergeCell ref="C1:Q1"/>
    <mergeCell ref="M2:Q2"/>
    <mergeCell ref="C2:G2"/>
    <mergeCell ref="C86:Q86"/>
  </mergeCells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9"/>
  <sheetViews>
    <sheetView showGridLines="0" tabSelected="1" zoomScale="60" zoomScaleNormal="60" workbookViewId="0">
      <selection activeCell="H12" sqref="H12"/>
    </sheetView>
  </sheetViews>
  <sheetFormatPr baseColWidth="8" defaultRowHeight="17.4"/>
  <cols>
    <col width="16" customWidth="1" style="14" min="2" max="2"/>
    <col width="18" customWidth="1" style="14" min="3" max="3"/>
    <col width="12" customWidth="1" style="14" min="4" max="7"/>
    <col width="18" customWidth="1" style="14" min="8" max="8"/>
    <col width="12" customWidth="1" style="14" min="9" max="12"/>
    <col width="18" customWidth="1" style="14" min="13" max="13"/>
    <col width="12" customWidth="1" style="14" min="14" max="17"/>
  </cols>
  <sheetData>
    <row r="1" ht="19.8" customHeight="1" s="14">
      <c r="C1" s="17" t="inlineStr">
        <is>
          <t>July(3rd)</t>
        </is>
      </c>
    </row>
    <row r="2">
      <c r="C2" s="16" t="inlineStr">
        <is>
          <t>MSH</t>
        </is>
      </c>
      <c r="H2" s="13" t="inlineStr">
        <is>
          <t>Interdiscount</t>
        </is>
      </c>
      <c r="M2" s="15" t="inlineStr">
        <is>
          <t>Digitec</t>
        </is>
      </c>
    </row>
    <row r="3" ht="25.05" customHeight="1" s="14">
      <c r="A3" s="33" t="inlineStr">
        <is>
          <t>Display</t>
        </is>
      </c>
      <c r="B3" s="1" t="inlineStr">
        <is>
          <t>Series</t>
        </is>
      </c>
      <c r="C3" s="1" t="inlineStr">
        <is>
          <t>Model</t>
        </is>
      </c>
      <c r="D3" s="1" t="inlineStr">
        <is>
          <t>Net Value</t>
        </is>
      </c>
      <c r="E3" s="1" t="inlineStr">
        <is>
          <t>판촉가</t>
        </is>
      </c>
      <c r="F3" s="1" t="inlineStr">
        <is>
          <t>Cashback</t>
        </is>
      </c>
      <c r="G3" s="1" t="inlineStr">
        <is>
          <t>ATA</t>
        </is>
      </c>
      <c r="H3" s="1" t="inlineStr">
        <is>
          <t>Model</t>
        </is>
      </c>
      <c r="I3" s="1" t="inlineStr">
        <is>
          <t>Net Value</t>
        </is>
      </c>
      <c r="J3" s="1" t="inlineStr">
        <is>
          <t>판촉가</t>
        </is>
      </c>
      <c r="K3" s="1" t="inlineStr">
        <is>
          <t>Cashback</t>
        </is>
      </c>
      <c r="L3" s="1" t="inlineStr">
        <is>
          <t>ATA</t>
        </is>
      </c>
      <c r="M3" s="1" t="inlineStr">
        <is>
          <t>Model</t>
        </is>
      </c>
      <c r="N3" s="1" t="inlineStr">
        <is>
          <t>Net Value</t>
        </is>
      </c>
      <c r="O3" s="1" t="inlineStr">
        <is>
          <t>판촉가</t>
        </is>
      </c>
      <c r="P3" s="1" t="inlineStr">
        <is>
          <t>Cashback</t>
        </is>
      </c>
      <c r="Q3" s="1" t="inlineStr">
        <is>
          <t>ATA</t>
        </is>
      </c>
    </row>
    <row r="4" ht="19.95" customHeight="1" s="14">
      <c r="A4" s="34" t="inlineStr">
        <is>
          <t>OLED</t>
        </is>
      </c>
      <c r="B4" s="34" t="inlineStr">
        <is>
          <t>83G6</t>
        </is>
      </c>
      <c r="C4" s="26" t="inlineStr"/>
      <c r="D4" s="30">
        <f>IF(E4="","",E4-F4)</f>
        <v/>
      </c>
      <c r="E4" s="30" t="inlineStr"/>
      <c r="F4" s="30" t="inlineStr"/>
      <c r="G4" s="29">
        <f>IFERROR(D4/D4,"")</f>
        <v/>
      </c>
      <c r="H4" s="26" t="inlineStr"/>
      <c r="I4" s="30">
        <f>IF(J4="","",J4-K4)</f>
        <v/>
      </c>
      <c r="J4" s="30" t="inlineStr"/>
      <c r="K4" s="30" t="inlineStr"/>
      <c r="L4" s="29">
        <f>IFERROR(I4/I4,"")</f>
        <v/>
      </c>
      <c r="M4" s="26" t="inlineStr">
        <is>
          <t>OLED83G67LW</t>
        </is>
      </c>
      <c r="N4" s="30">
        <f>IF(O4="","",O4-P4)</f>
        <v/>
      </c>
      <c r="O4" s="30" t="n">
        <v>5999</v>
      </c>
      <c r="P4" s="30" t="n">
        <v>0</v>
      </c>
      <c r="Q4" s="29">
        <f>IFERROR(N4/N4,"")</f>
        <v/>
      </c>
    </row>
    <row r="5" ht="19.95" customHeight="1" s="14">
      <c r="A5" s="34" t="inlineStr">
        <is>
          <t>OLED</t>
        </is>
      </c>
      <c r="B5" s="34" t="inlineStr">
        <is>
          <t>77G6</t>
        </is>
      </c>
      <c r="C5" s="26" t="inlineStr"/>
      <c r="D5" s="30">
        <f>IF(E5="","",E5-F5)</f>
        <v/>
      </c>
      <c r="E5" s="30" t="inlineStr"/>
      <c r="F5" s="30" t="inlineStr"/>
      <c r="G5" s="29">
        <f>IFERROR(D5/D5,"")</f>
        <v/>
      </c>
      <c r="H5" s="26" t="inlineStr"/>
      <c r="I5" s="30">
        <f>IF(J5="","",J5-K5)</f>
        <v/>
      </c>
      <c r="J5" s="30" t="inlineStr"/>
      <c r="K5" s="30" t="inlineStr"/>
      <c r="L5" s="29">
        <f>IFERROR(I5/I5,"")</f>
        <v/>
      </c>
      <c r="M5" s="26" t="inlineStr">
        <is>
          <t>OLED77G67LW</t>
        </is>
      </c>
      <c r="N5" s="30">
        <f>IF(O5="","",O5-P5)</f>
        <v/>
      </c>
      <c r="O5" s="30" t="n">
        <v>4999</v>
      </c>
      <c r="P5" s="30" t="n">
        <v>0</v>
      </c>
      <c r="Q5" s="29">
        <f>IFERROR(N5/N5,"")</f>
        <v/>
      </c>
    </row>
    <row r="6" ht="19.95" customHeight="1" s="14">
      <c r="A6" s="34" t="inlineStr">
        <is>
          <t>OLED</t>
        </is>
      </c>
      <c r="B6" s="34" t="inlineStr">
        <is>
          <t>65G6</t>
        </is>
      </c>
      <c r="C6" s="26" t="inlineStr"/>
      <c r="D6" s="30">
        <f>IF(E6="","",E6-F6)</f>
        <v/>
      </c>
      <c r="E6" s="30" t="inlineStr"/>
      <c r="F6" s="30" t="inlineStr"/>
      <c r="G6" s="29">
        <f>IFERROR(D6/D6,"")</f>
        <v/>
      </c>
      <c r="H6" s="26" t="inlineStr"/>
      <c r="I6" s="30">
        <f>IF(J6="","",J6-K6)</f>
        <v/>
      </c>
      <c r="J6" s="30" t="inlineStr"/>
      <c r="K6" s="30" t="inlineStr"/>
      <c r="L6" s="29">
        <f>IFERROR(I6/I6,"")</f>
        <v/>
      </c>
      <c r="M6" s="26" t="inlineStr">
        <is>
          <t>OLED65G67LW</t>
        </is>
      </c>
      <c r="N6" s="30">
        <f>IF(O6="","",O6-P6)</f>
        <v/>
      </c>
      <c r="O6" s="30" t="n">
        <v>3499</v>
      </c>
      <c r="P6" s="30" t="n">
        <v>0</v>
      </c>
      <c r="Q6" s="29">
        <f>IFERROR(N6/N6,"")</f>
        <v/>
      </c>
    </row>
    <row r="7" ht="19.95" customHeight="1" s="14">
      <c r="A7" s="34" t="inlineStr">
        <is>
          <t>OLED</t>
        </is>
      </c>
      <c r="B7" s="34" t="inlineStr">
        <is>
          <t>55G6</t>
        </is>
      </c>
      <c r="C7" s="26" t="inlineStr"/>
      <c r="D7" s="30">
        <f>IF(E7="","",E7-F7)</f>
        <v/>
      </c>
      <c r="E7" s="30" t="inlineStr"/>
      <c r="F7" s="30" t="inlineStr"/>
      <c r="G7" s="29">
        <f>IFERROR(D7/D7,"")</f>
        <v/>
      </c>
      <c r="H7" s="26" t="inlineStr"/>
      <c r="I7" s="30">
        <f>IF(J7="","",J7-K7)</f>
        <v/>
      </c>
      <c r="J7" s="30" t="inlineStr"/>
      <c r="K7" s="30" t="inlineStr"/>
      <c r="L7" s="29">
        <f>IFERROR(I7/I7,"")</f>
        <v/>
      </c>
      <c r="M7" s="26" t="inlineStr">
        <is>
          <t>OLED55G67LW</t>
        </is>
      </c>
      <c r="N7" s="30">
        <f>IF(O7="","",O7-P7)</f>
        <v/>
      </c>
      <c r="O7" s="30" t="n">
        <v>1772</v>
      </c>
      <c r="P7" s="30" t="n">
        <v>0</v>
      </c>
      <c r="Q7" s="29">
        <f>IFERROR(N7/N7,"")</f>
        <v/>
      </c>
    </row>
    <row r="8" ht="19.95" customFormat="1" customHeight="1" s="24">
      <c r="A8" s="20" t="inlineStr"/>
      <c r="B8" s="20" t="n"/>
      <c r="C8" s="21" t="inlineStr"/>
      <c r="D8" s="22" t="inlineStr"/>
      <c r="E8" s="22" t="inlineStr"/>
      <c r="F8" s="22" t="inlineStr"/>
      <c r="G8" s="23" t="inlineStr"/>
      <c r="H8" s="21" t="inlineStr"/>
      <c r="I8" s="22" t="inlineStr"/>
      <c r="J8" s="22" t="inlineStr"/>
      <c r="K8" s="22" t="inlineStr"/>
      <c r="L8" s="23" t="inlineStr"/>
      <c r="M8" s="21" t="inlineStr"/>
      <c r="N8" s="22" t="inlineStr"/>
      <c r="O8" s="22" t="inlineStr"/>
      <c r="P8" s="22" t="inlineStr"/>
      <c r="Q8" s="23" t="inlineStr"/>
    </row>
    <row r="9" ht="19.95" customHeight="1" s="14">
      <c r="A9" s="34" t="inlineStr">
        <is>
          <t>OLED</t>
        </is>
      </c>
      <c r="B9" s="34" t="inlineStr">
        <is>
          <t>83C6</t>
        </is>
      </c>
      <c r="C9" s="26" t="inlineStr">
        <is>
          <t>OLED83C67LA</t>
        </is>
      </c>
      <c r="D9" s="27">
        <f>IF(E9="","",E9-F9)</f>
        <v/>
      </c>
      <c r="E9" s="30" t="n">
        <v>4499</v>
      </c>
      <c r="F9" s="30" t="n">
        <v>0</v>
      </c>
      <c r="G9" s="29">
        <f>IFERROR(D9/D4,"")</f>
        <v/>
      </c>
      <c r="H9" s="26" t="inlineStr">
        <is>
          <t>OLED83C6</t>
        </is>
      </c>
      <c r="I9" s="27">
        <f>IF(J9="","",J9-K9)</f>
        <v/>
      </c>
      <c r="J9" s="30" t="n">
        <v>4499.95</v>
      </c>
      <c r="K9" s="30" t="n">
        <v>0</v>
      </c>
      <c r="L9" s="29">
        <f>IFERROR(I9/I4,"")</f>
        <v/>
      </c>
      <c r="M9" s="26" t="inlineStr">
        <is>
          <t>OLED83C6ELB</t>
        </is>
      </c>
      <c r="N9" s="27">
        <f>IF(O9="","",O9-P9)</f>
        <v/>
      </c>
      <c r="O9" s="30" t="n">
        <v>4499</v>
      </c>
      <c r="P9" s="30" t="n">
        <v>0</v>
      </c>
      <c r="Q9" s="29">
        <f>IFERROR(N9/N4,"")</f>
        <v/>
      </c>
    </row>
    <row r="10" ht="19.95" customHeight="1" s="14">
      <c r="A10" s="34" t="inlineStr">
        <is>
          <t>OLED</t>
        </is>
      </c>
      <c r="B10" s="34" t="inlineStr">
        <is>
          <t>77C6</t>
        </is>
      </c>
      <c r="C10" s="26" t="inlineStr">
        <is>
          <t>OLED77C67LA</t>
        </is>
      </c>
      <c r="D10" s="30">
        <f>IF(E10="","",E10-F10)</f>
        <v/>
      </c>
      <c r="E10" s="30" t="n">
        <v>3499</v>
      </c>
      <c r="F10" s="30" t="n">
        <v>0</v>
      </c>
      <c r="G10" s="29">
        <f>IFERROR(D10/D5,"")</f>
        <v/>
      </c>
      <c r="H10" s="26" t="inlineStr">
        <is>
          <t>OLED77C6</t>
        </is>
      </c>
      <c r="I10" s="30">
        <f>IF(J10="","",J10-K10)</f>
        <v/>
      </c>
      <c r="J10" s="30" t="n">
        <v>3499.95</v>
      </c>
      <c r="K10" s="30" t="n">
        <v>0</v>
      </c>
      <c r="L10" s="29">
        <f>IFERROR(I10/I5,"")</f>
        <v/>
      </c>
      <c r="M10" s="26" t="inlineStr"/>
      <c r="N10" s="30">
        <f>IF(O10="","",O10-P10)</f>
        <v/>
      </c>
      <c r="O10" s="30" t="inlineStr"/>
      <c r="P10" s="30" t="inlineStr"/>
      <c r="Q10" s="29">
        <f>IFERROR(N10/N5,"")</f>
        <v/>
      </c>
    </row>
    <row r="11" ht="19.95" customHeight="1" s="14">
      <c r="A11" s="34" t="inlineStr">
        <is>
          <t>OLED</t>
        </is>
      </c>
      <c r="B11" s="34" t="inlineStr">
        <is>
          <t>65C6</t>
        </is>
      </c>
      <c r="C11" s="26" t="inlineStr">
        <is>
          <t>OLED65C67LA</t>
        </is>
      </c>
      <c r="D11" s="30">
        <f>IF(E11="","",E11-F11)</f>
        <v/>
      </c>
      <c r="E11" s="30" t="n">
        <v>2599</v>
      </c>
      <c r="F11" s="30" t="n">
        <v>0</v>
      </c>
      <c r="G11" s="29">
        <f>IFERROR(D11/D6,"")</f>
        <v/>
      </c>
      <c r="H11" s="26" t="inlineStr">
        <is>
          <t>OLED65C6</t>
        </is>
      </c>
      <c r="I11" s="30">
        <f>IF(J11="","",J11-K11)</f>
        <v/>
      </c>
      <c r="J11" s="30" t="n">
        <v>2599.95</v>
      </c>
      <c r="K11" s="30" t="n">
        <v>0</v>
      </c>
      <c r="L11" s="29">
        <f>IFERROR(I11/I6,"")</f>
        <v/>
      </c>
      <c r="M11" s="26" t="inlineStr">
        <is>
          <t>OLED65C67LA</t>
        </is>
      </c>
      <c r="N11" s="30">
        <f>IF(O11="","",O11-P11)</f>
        <v/>
      </c>
      <c r="O11" s="30" t="n">
        <v>2599</v>
      </c>
      <c r="P11" s="30" t="n">
        <v>0</v>
      </c>
      <c r="Q11" s="29">
        <f>IFERROR(N11/N6,"")</f>
        <v/>
      </c>
    </row>
    <row r="12" ht="19.95" customHeight="1" s="14">
      <c r="A12" s="34" t="inlineStr">
        <is>
          <t>OLED</t>
        </is>
      </c>
      <c r="B12" s="34" t="inlineStr">
        <is>
          <t>55C6</t>
        </is>
      </c>
      <c r="C12" s="26" t="inlineStr">
        <is>
          <t>OLED55C67LA</t>
        </is>
      </c>
      <c r="D12" s="30">
        <f>IF(E12="","",E12-F12)</f>
        <v/>
      </c>
      <c r="E12" s="30" t="n">
        <v>1799</v>
      </c>
      <c r="F12" s="30" t="n">
        <v>0</v>
      </c>
      <c r="G12" s="29">
        <f>IFERROR(D12/D7,"")</f>
        <v/>
      </c>
      <c r="H12" s="26" t="inlineStr">
        <is>
          <t>OLED55C6</t>
        </is>
      </c>
      <c r="I12" s="30">
        <f>IF(J12="","",J12-K12)</f>
        <v/>
      </c>
      <c r="J12" s="30" t="n">
        <v>1799.95</v>
      </c>
      <c r="K12" s="30" t="n">
        <v>0</v>
      </c>
      <c r="L12" s="29">
        <f>IFERROR(I12/I7,"")</f>
        <v/>
      </c>
      <c r="M12" s="26" t="inlineStr">
        <is>
          <t>OLED55C6ELB</t>
        </is>
      </c>
      <c r="N12" s="30">
        <f>IF(O12="","",O12-P12)</f>
        <v/>
      </c>
      <c r="O12" s="30" t="n">
        <v>1799</v>
      </c>
      <c r="P12" s="30" t="n">
        <v>0</v>
      </c>
      <c r="Q12" s="29">
        <f>IFERROR(N12/N7,"")</f>
        <v/>
      </c>
    </row>
    <row r="13" ht="19.95" customHeight="1" s="14">
      <c r="A13" s="34" t="inlineStr">
        <is>
          <t>OLED</t>
        </is>
      </c>
      <c r="B13" s="34" t="inlineStr">
        <is>
          <t>48C6</t>
        </is>
      </c>
      <c r="C13" s="26" t="inlineStr">
        <is>
          <t>OLED48C67LA</t>
        </is>
      </c>
      <c r="D13" s="30">
        <f>IF(E13="","",E13-F13)</f>
        <v/>
      </c>
      <c r="E13" s="30" t="n">
        <v>1599</v>
      </c>
      <c r="F13" s="30" t="n">
        <v>0</v>
      </c>
      <c r="G13" s="29">
        <f>IFERROR(D13/D7,"")</f>
        <v/>
      </c>
      <c r="H13" s="26" t="inlineStr">
        <is>
          <t>OLED48C6</t>
        </is>
      </c>
      <c r="I13" s="30">
        <f>IF(J13="","",J13-K13)</f>
        <v/>
      </c>
      <c r="J13" s="30" t="n">
        <v>1599.95</v>
      </c>
      <c r="K13" s="30" t="n">
        <v>0</v>
      </c>
      <c r="L13" s="29">
        <f>IFERROR(I13/I7,"")</f>
        <v/>
      </c>
      <c r="M13" s="26" t="inlineStr">
        <is>
          <t>OLED48C6ELB</t>
        </is>
      </c>
      <c r="N13" s="30">
        <f>IF(O13="","",O13-P13)</f>
        <v/>
      </c>
      <c r="O13" s="30" t="n">
        <v>1599</v>
      </c>
      <c r="P13" s="30" t="n">
        <v>0</v>
      </c>
      <c r="Q13" s="29">
        <f>IFERROR(N13/N7,"")</f>
        <v/>
      </c>
    </row>
    <row r="14" ht="19.95" customHeight="1" s="14">
      <c r="A14" s="34" t="inlineStr">
        <is>
          <t>OLED</t>
        </is>
      </c>
      <c r="B14" s="34" t="inlineStr">
        <is>
          <t>42C6</t>
        </is>
      </c>
      <c r="C14" s="26" t="inlineStr">
        <is>
          <t>OLED42C67LA</t>
        </is>
      </c>
      <c r="D14" s="30">
        <f>IF(E14="","",E14-F14)</f>
        <v/>
      </c>
      <c r="E14" s="30" t="n">
        <v>1499</v>
      </c>
      <c r="F14" s="30" t="n">
        <v>0</v>
      </c>
      <c r="G14" s="29">
        <f>IFERROR(D14/D7,"")</f>
        <v/>
      </c>
      <c r="H14" s="26" t="inlineStr">
        <is>
          <t>OLED42C6</t>
        </is>
      </c>
      <c r="I14" s="30">
        <f>IF(J14="","",J14-K14)</f>
        <v/>
      </c>
      <c r="J14" s="30" t="n">
        <v>1499.95</v>
      </c>
      <c r="K14" s="30" t="n">
        <v>0</v>
      </c>
      <c r="L14" s="29">
        <f>IFERROR(I14/I7,"")</f>
        <v/>
      </c>
      <c r="M14" s="26" t="inlineStr">
        <is>
          <t>OLED42C6ELB</t>
        </is>
      </c>
      <c r="N14" s="30">
        <f>IF(O14="","",O14-P14)</f>
        <v/>
      </c>
      <c r="O14" s="30" t="n">
        <v>1194</v>
      </c>
      <c r="P14" s="30" t="n">
        <v>0</v>
      </c>
      <c r="Q14" s="29">
        <f>IFERROR(N14/N7,"")</f>
        <v/>
      </c>
    </row>
    <row r="15" ht="19.95" customFormat="1" customHeight="1" s="24">
      <c r="A15" s="20" t="inlineStr"/>
      <c r="B15" s="20" t="n"/>
      <c r="C15" s="21" t="inlineStr"/>
      <c r="D15" s="22" t="inlineStr"/>
      <c r="E15" s="22" t="inlineStr"/>
      <c r="F15" s="22" t="inlineStr"/>
      <c r="G15" s="23" t="inlineStr"/>
      <c r="H15" s="21" t="inlineStr"/>
      <c r="I15" s="22" t="inlineStr"/>
      <c r="J15" s="22" t="inlineStr"/>
      <c r="K15" s="22" t="inlineStr"/>
      <c r="L15" s="23" t="inlineStr"/>
      <c r="M15" s="21" t="inlineStr"/>
      <c r="N15" s="22" t="inlineStr"/>
      <c r="O15" s="22" t="inlineStr"/>
      <c r="P15" s="22" t="inlineStr"/>
      <c r="Q15" s="23" t="inlineStr"/>
    </row>
    <row r="16" ht="19.95" customHeight="1" s="14">
      <c r="A16" s="34" t="inlineStr">
        <is>
          <t>OLED</t>
        </is>
      </c>
      <c r="B16" s="34" t="inlineStr">
        <is>
          <t>83B6</t>
        </is>
      </c>
      <c r="C16" s="26" t="inlineStr"/>
      <c r="D16" s="30">
        <f>IF(E16="","",E16-F16)</f>
        <v/>
      </c>
      <c r="E16" s="30" t="inlineStr"/>
      <c r="F16" s="30" t="inlineStr"/>
      <c r="G16" s="29">
        <f>IFERROR(D16/D4,"")</f>
        <v/>
      </c>
      <c r="H16" s="26" t="inlineStr"/>
      <c r="I16" s="30">
        <f>IF(J16="","",J16-K16)</f>
        <v/>
      </c>
      <c r="J16" s="30" t="inlineStr"/>
      <c r="K16" s="30" t="inlineStr"/>
      <c r="L16" s="29">
        <f>IFERROR(I16/I4,"")</f>
        <v/>
      </c>
      <c r="M16" s="26" t="inlineStr">
        <is>
          <t>OLED83B68LA</t>
        </is>
      </c>
      <c r="N16" s="30">
        <f>IF(O16="","",O16-P16)</f>
        <v/>
      </c>
      <c r="O16" s="30" t="n">
        <v>3699</v>
      </c>
      <c r="P16" s="30" t="n">
        <v>0</v>
      </c>
      <c r="Q16" s="29">
        <f>IFERROR(N16/N4,"")</f>
        <v/>
      </c>
    </row>
    <row r="17" ht="19.95" customHeight="1" s="14">
      <c r="A17" s="34" t="inlineStr">
        <is>
          <t>OLED</t>
        </is>
      </c>
      <c r="B17" s="34" t="inlineStr">
        <is>
          <t>77B6</t>
        </is>
      </c>
      <c r="C17" s="26" t="inlineStr"/>
      <c r="D17" s="27">
        <f>IF(E17="","",E17-F17)</f>
        <v/>
      </c>
      <c r="E17" s="28" t="inlineStr"/>
      <c r="F17" s="28" t="inlineStr"/>
      <c r="G17" s="29">
        <f>IFERROR(D17/D5,"")</f>
        <v/>
      </c>
      <c r="H17" s="26" t="inlineStr"/>
      <c r="I17" s="27">
        <f>IF(J17="","",J17-K17)</f>
        <v/>
      </c>
      <c r="J17" s="28" t="inlineStr"/>
      <c r="K17" s="28" t="inlineStr"/>
      <c r="L17" s="29">
        <f>IFERROR(I17/I5,"")</f>
        <v/>
      </c>
      <c r="M17" s="26" t="inlineStr">
        <is>
          <t>OLED77B68LA</t>
        </is>
      </c>
      <c r="N17" s="27">
        <f>IF(O17="","",O17-P17)</f>
        <v/>
      </c>
      <c r="O17" s="30" t="n">
        <v>2999</v>
      </c>
      <c r="P17" s="30" t="n">
        <v>0</v>
      </c>
      <c r="Q17" s="29">
        <f>IFERROR(N17/N5,"")</f>
        <v/>
      </c>
    </row>
    <row r="18" ht="19.95" customHeight="1" s="14">
      <c r="A18" s="34" t="inlineStr">
        <is>
          <t>OLED</t>
        </is>
      </c>
      <c r="B18" s="34" t="inlineStr">
        <is>
          <t>65B6</t>
        </is>
      </c>
      <c r="C18" s="26" t="inlineStr"/>
      <c r="D18" s="30">
        <f>IF(E18="","",E18-F18)</f>
        <v/>
      </c>
      <c r="E18" s="30" t="inlineStr"/>
      <c r="F18" s="30" t="inlineStr"/>
      <c r="G18" s="29">
        <f>IFERROR(D18/D6,"")</f>
        <v/>
      </c>
      <c r="H18" s="26" t="inlineStr"/>
      <c r="I18" s="30">
        <f>IF(J18="","",J18-K18)</f>
        <v/>
      </c>
      <c r="J18" s="30" t="inlineStr"/>
      <c r="K18" s="30" t="inlineStr"/>
      <c r="L18" s="29">
        <f>IFERROR(I18/I6,"")</f>
        <v/>
      </c>
      <c r="M18" s="26" t="inlineStr">
        <is>
          <t>OLED65B68LA</t>
        </is>
      </c>
      <c r="N18" s="30">
        <f>IF(O18="","",O18-P18)</f>
        <v/>
      </c>
      <c r="O18" s="30" t="n">
        <v>2399</v>
      </c>
      <c r="P18" s="30" t="n">
        <v>0</v>
      </c>
      <c r="Q18" s="29">
        <f>IFERROR(N18/N6,"")</f>
        <v/>
      </c>
    </row>
    <row r="19" ht="19.95" customHeight="1" s="14">
      <c r="A19" s="34" t="inlineStr">
        <is>
          <t>OLED</t>
        </is>
      </c>
      <c r="B19" s="34" t="inlineStr">
        <is>
          <t>55B6</t>
        </is>
      </c>
      <c r="C19" s="26" t="inlineStr"/>
      <c r="D19" s="30">
        <f>IF(E19="","",E19-F19)</f>
        <v/>
      </c>
      <c r="E19" s="30" t="inlineStr"/>
      <c r="F19" s="30" t="inlineStr"/>
      <c r="G19" s="29">
        <f>IFERROR(D19/D7,"")</f>
        <v/>
      </c>
      <c r="H19" s="26" t="inlineStr"/>
      <c r="I19" s="30">
        <f>IF(J19="","",J19-K19)</f>
        <v/>
      </c>
      <c r="J19" s="30" t="inlineStr"/>
      <c r="K19" s="30" t="inlineStr"/>
      <c r="L19" s="29">
        <f>IFERROR(I19/I7,"")</f>
        <v/>
      </c>
      <c r="M19" s="26" t="inlineStr">
        <is>
          <t>OLED55B68LA</t>
        </is>
      </c>
      <c r="N19" s="30">
        <f>IF(O19="","",O19-P19)</f>
        <v/>
      </c>
      <c r="O19" s="30" t="n">
        <v>1599</v>
      </c>
      <c r="P19" s="30" t="n">
        <v>0</v>
      </c>
      <c r="Q19" s="29">
        <f>IFERROR(N19/N7,"")</f>
        <v/>
      </c>
    </row>
    <row r="20" ht="19.95" customHeight="1" s="14">
      <c r="A20" s="34" t="inlineStr">
        <is>
          <t>OLED</t>
        </is>
      </c>
      <c r="B20" s="34" t="inlineStr">
        <is>
          <t>48B6</t>
        </is>
      </c>
      <c r="C20" s="26" t="inlineStr"/>
      <c r="D20" s="30">
        <f>IF(E20="","",E20-F20)</f>
        <v/>
      </c>
      <c r="E20" s="30" t="inlineStr"/>
      <c r="F20" s="30" t="inlineStr"/>
      <c r="G20" s="29">
        <f>IFERROR(D20/D7,"")</f>
        <v/>
      </c>
      <c r="H20" s="26" t="inlineStr"/>
      <c r="I20" s="30">
        <f>IF(J20="","",J20-K20)</f>
        <v/>
      </c>
      <c r="J20" s="30" t="inlineStr"/>
      <c r="K20" s="30" t="inlineStr"/>
      <c r="L20" s="29">
        <f>IFERROR(I20/I7,"")</f>
        <v/>
      </c>
      <c r="M20" s="26" t="inlineStr">
        <is>
          <t>OLED48B68LA</t>
        </is>
      </c>
      <c r="N20" s="30">
        <f>IF(O20="","",O20-P20)</f>
        <v/>
      </c>
      <c r="O20" s="30" t="n">
        <v>1399</v>
      </c>
      <c r="P20" s="30" t="n">
        <v>0</v>
      </c>
      <c r="Q20" s="29">
        <f>IFERROR(N20/N7,"")</f>
        <v/>
      </c>
    </row>
    <row r="21" ht="19.95" customFormat="1" customHeight="1" s="24">
      <c r="A21" s="20" t="inlineStr"/>
      <c r="B21" s="20" t="n"/>
      <c r="C21" s="21" t="inlineStr"/>
      <c r="D21" s="22" t="inlineStr"/>
      <c r="E21" s="22" t="inlineStr"/>
      <c r="F21" s="22" t="inlineStr"/>
      <c r="G21" s="23" t="inlineStr"/>
      <c r="H21" s="21" t="inlineStr"/>
      <c r="I21" s="22" t="inlineStr"/>
      <c r="J21" s="22" t="inlineStr"/>
      <c r="K21" s="22" t="inlineStr"/>
      <c r="L21" s="23" t="inlineStr"/>
      <c r="M21" s="21" t="inlineStr"/>
      <c r="N21" s="22" t="inlineStr"/>
      <c r="O21" s="22" t="inlineStr"/>
      <c r="P21" s="22" t="inlineStr"/>
      <c r="Q21" s="23" t="inlineStr"/>
    </row>
    <row r="22" ht="19.95" customHeight="1" s="14">
      <c r="A22" s="35" t="inlineStr">
        <is>
          <t>OLED</t>
        </is>
      </c>
      <c r="B22" s="35" t="inlineStr">
        <is>
          <t>83S99H</t>
        </is>
      </c>
      <c r="C22" s="36" t="inlineStr"/>
      <c r="D22" s="9">
        <f>IF(E22="","",E22-F22)</f>
        <v/>
      </c>
      <c r="E22" s="9" t="inlineStr"/>
      <c r="F22" s="9" t="inlineStr"/>
      <c r="G22" s="10" t="inlineStr"/>
      <c r="H22" s="36" t="inlineStr">
        <is>
          <t>QE83S99HAEXZU</t>
        </is>
      </c>
      <c r="I22" s="9">
        <f>IF(J22="","",J22-K22)</f>
        <v/>
      </c>
      <c r="J22" s="9" t="n">
        <v>5267</v>
      </c>
      <c r="K22" s="9" t="n">
        <v>0</v>
      </c>
      <c r="L22" s="10" t="inlineStr"/>
      <c r="M22" s="36" t="inlineStr"/>
      <c r="N22" s="9">
        <f>IF(O22="","",O22-P22)</f>
        <v/>
      </c>
      <c r="O22" s="9" t="inlineStr"/>
      <c r="P22" s="9" t="inlineStr"/>
      <c r="Q22" s="10" t="inlineStr"/>
    </row>
    <row r="23" ht="19.95" customHeight="1" s="14">
      <c r="A23" s="35" t="inlineStr">
        <is>
          <t>OLED</t>
        </is>
      </c>
      <c r="B23" s="35" t="inlineStr">
        <is>
          <t>77S99H</t>
        </is>
      </c>
      <c r="C23" s="36" t="inlineStr">
        <is>
          <t>77-OLED-S99H-4K-NQ4-AI-GEN3-PROZESSOR-VISION-AI-SMART-TV-2026</t>
        </is>
      </c>
      <c r="D23" s="9">
        <f>IF(E23="","",E23-F23)</f>
        <v/>
      </c>
      <c r="E23" s="9" t="n">
        <v>4499</v>
      </c>
      <c r="F23" s="9" t="n">
        <v>0</v>
      </c>
      <c r="G23" s="10" t="inlineStr"/>
      <c r="H23" s="36" t="inlineStr">
        <is>
          <t>QE77S99H</t>
        </is>
      </c>
      <c r="I23" s="9">
        <f>IF(J23="","",J23-K23)</f>
        <v/>
      </c>
      <c r="J23" s="9" t="n">
        <v>4499.95</v>
      </c>
      <c r="K23" s="9" t="n">
        <v>0</v>
      </c>
      <c r="L23" s="10" t="inlineStr"/>
      <c r="M23" s="36" t="inlineStr">
        <is>
          <t>QE77S99HATXZU</t>
        </is>
      </c>
      <c r="N23" s="9">
        <f>IF(O23="","",O23-P23)</f>
        <v/>
      </c>
      <c r="O23" s="9" t="n">
        <v>4149</v>
      </c>
      <c r="P23" s="9" t="n">
        <v>0</v>
      </c>
      <c r="Q23" s="10" t="inlineStr"/>
    </row>
    <row r="24" ht="19.95" customHeight="1" s="14">
      <c r="A24" s="35" t="inlineStr">
        <is>
          <t>OLED</t>
        </is>
      </c>
      <c r="B24" s="35" t="inlineStr">
        <is>
          <t>65S99H</t>
        </is>
      </c>
      <c r="C24" s="36" t="inlineStr">
        <is>
          <t>65-OLED-S99H-4K-NQ4-AI-GEN3-PROZESSOR-VISION-AI-SMART-TV-2026</t>
        </is>
      </c>
      <c r="D24" s="11">
        <f>IF(E24="","",E24-F24)</f>
        <v/>
      </c>
      <c r="E24" s="9" t="n">
        <v>3499</v>
      </c>
      <c r="F24" s="9" t="n">
        <v>0</v>
      </c>
      <c r="G24" s="10" t="inlineStr"/>
      <c r="H24" s="36" t="inlineStr">
        <is>
          <t>QE65S99H</t>
        </is>
      </c>
      <c r="I24" s="11">
        <f>IF(J24="","",J24-K24)</f>
        <v/>
      </c>
      <c r="J24" s="9" t="n">
        <v>3499.95</v>
      </c>
      <c r="K24" s="9" t="n">
        <v>0</v>
      </c>
      <c r="L24" s="10" t="inlineStr"/>
      <c r="M24" s="36" t="inlineStr">
        <is>
          <t>QE65S99HATXZU</t>
        </is>
      </c>
      <c r="N24" s="11">
        <f>IF(O24="","",O24-P24)</f>
        <v/>
      </c>
      <c r="O24" s="9" t="n">
        <v>3269</v>
      </c>
      <c r="P24" s="9" t="n">
        <v>0</v>
      </c>
      <c r="Q24" s="10" t="inlineStr"/>
    </row>
    <row r="25" ht="19.95" customHeight="1" s="14">
      <c r="A25" s="35" t="inlineStr">
        <is>
          <t>OLED</t>
        </is>
      </c>
      <c r="B25" s="35" t="inlineStr">
        <is>
          <t>55S99H</t>
        </is>
      </c>
      <c r="C25" s="36" t="inlineStr">
        <is>
          <t>55-OLED-S99H-4K-NQ4-AI-GEN3-PROZESSOR-VISION-AI-SMART-TV-2026</t>
        </is>
      </c>
      <c r="D25" s="9">
        <f>IF(E25="","",E25-F25)</f>
        <v/>
      </c>
      <c r="E25" s="9" t="n">
        <v>2499</v>
      </c>
      <c r="F25" s="9" t="n">
        <v>0</v>
      </c>
      <c r="G25" s="10" t="inlineStr"/>
      <c r="H25" s="36" t="inlineStr">
        <is>
          <t>QE55S99H</t>
        </is>
      </c>
      <c r="I25" s="9">
        <f>IF(J25="","",J25-K25)</f>
        <v/>
      </c>
      <c r="J25" s="9" t="n">
        <v>2499.95</v>
      </c>
      <c r="K25" s="9" t="n">
        <v>0</v>
      </c>
      <c r="L25" s="10" t="inlineStr"/>
      <c r="M25" s="36" t="inlineStr">
        <is>
          <t>QE55S99HATXZU</t>
        </is>
      </c>
      <c r="N25" s="9">
        <f>IF(O25="","",O25-P25)</f>
        <v/>
      </c>
      <c r="O25" s="9" t="n">
        <v>2449</v>
      </c>
      <c r="P25" s="9" t="n">
        <v>0</v>
      </c>
      <c r="Q25" s="10" t="inlineStr"/>
    </row>
    <row r="26" ht="19.95" customHeight="1" s="14">
      <c r="A26" s="7" t="inlineStr"/>
      <c r="B26" s="7" t="n"/>
      <c r="C26" s="8" t="inlineStr"/>
      <c r="D26" s="9" t="inlineStr"/>
      <c r="E26" s="9" t="inlineStr"/>
      <c r="F26" s="9" t="inlineStr"/>
      <c r="G26" s="10" t="inlineStr"/>
      <c r="H26" s="8" t="inlineStr"/>
      <c r="I26" s="9" t="inlineStr"/>
      <c r="J26" s="9" t="inlineStr"/>
      <c r="K26" s="9" t="inlineStr"/>
      <c r="L26" s="10" t="inlineStr"/>
      <c r="M26" s="8" t="inlineStr"/>
      <c r="N26" s="9" t="inlineStr"/>
      <c r="O26" s="9" t="inlineStr"/>
      <c r="P26" s="9" t="inlineStr"/>
      <c r="Q26" s="10" t="inlineStr"/>
    </row>
    <row r="27" ht="19.95" customHeight="1" s="14">
      <c r="A27" s="35" t="inlineStr">
        <is>
          <t>OLED</t>
        </is>
      </c>
      <c r="B27" s="35" t="inlineStr">
        <is>
          <t>83S95H</t>
        </is>
      </c>
      <c r="C27" s="36" t="inlineStr"/>
      <c r="D27" s="9">
        <f>IF(E27="","",E27-F27)</f>
        <v/>
      </c>
      <c r="E27" s="9" t="inlineStr"/>
      <c r="F27" s="9" t="inlineStr"/>
      <c r="G27" s="10" t="inlineStr"/>
      <c r="H27" s="36" t="inlineStr"/>
      <c r="I27" s="9">
        <f>IF(J27="","",J27-K27)</f>
        <v/>
      </c>
      <c r="J27" s="9" t="inlineStr"/>
      <c r="K27" s="9" t="inlineStr"/>
      <c r="L27" s="10" t="inlineStr"/>
      <c r="M27" s="36" t="inlineStr"/>
      <c r="N27" s="9">
        <f>IF(O27="","",O27-P27)</f>
        <v/>
      </c>
      <c r="O27" s="9" t="inlineStr"/>
      <c r="P27" s="9" t="inlineStr"/>
      <c r="Q27" s="10" t="inlineStr"/>
    </row>
    <row r="28" ht="19.95" customHeight="1" s="14">
      <c r="A28" s="35" t="inlineStr">
        <is>
          <t>OLED</t>
        </is>
      </c>
      <c r="B28" s="35" t="inlineStr">
        <is>
          <t>77S95H</t>
        </is>
      </c>
      <c r="C28" s="36" t="inlineStr"/>
      <c r="D28" s="9">
        <f>IF(E28="","",E28-F28)</f>
        <v/>
      </c>
      <c r="E28" s="9" t="inlineStr"/>
      <c r="F28" s="9" t="inlineStr"/>
      <c r="G28" s="10" t="inlineStr"/>
      <c r="H28" s="36" t="inlineStr"/>
      <c r="I28" s="9">
        <f>IF(J28="","",J28-K28)</f>
        <v/>
      </c>
      <c r="J28" s="9" t="inlineStr"/>
      <c r="K28" s="9" t="inlineStr"/>
      <c r="L28" s="10" t="inlineStr"/>
      <c r="M28" s="36" t="inlineStr"/>
      <c r="N28" s="9">
        <f>IF(O28="","",O28-P28)</f>
        <v/>
      </c>
      <c r="O28" s="9" t="inlineStr"/>
      <c r="P28" s="9" t="inlineStr"/>
      <c r="Q28" s="10" t="inlineStr"/>
    </row>
    <row r="29" ht="19.95" customHeight="1" s="14">
      <c r="A29" s="35" t="inlineStr">
        <is>
          <t>OLED</t>
        </is>
      </c>
      <c r="B29" s="35" t="inlineStr">
        <is>
          <t>65S95H</t>
        </is>
      </c>
      <c r="C29" s="36" t="inlineStr"/>
      <c r="D29" s="9">
        <f>IF(E29="","",E29-F29)</f>
        <v/>
      </c>
      <c r="E29" s="9" t="inlineStr"/>
      <c r="F29" s="9" t="inlineStr"/>
      <c r="G29" s="10" t="inlineStr"/>
      <c r="H29" s="36" t="inlineStr"/>
      <c r="I29" s="9">
        <f>IF(J29="","",J29-K29)</f>
        <v/>
      </c>
      <c r="J29" s="9" t="inlineStr"/>
      <c r="K29" s="9" t="inlineStr"/>
      <c r="L29" s="10" t="inlineStr"/>
      <c r="M29" s="36" t="inlineStr"/>
      <c r="N29" s="9">
        <f>IF(O29="","",O29-P29)</f>
        <v/>
      </c>
      <c r="O29" s="9" t="inlineStr"/>
      <c r="P29" s="9" t="inlineStr"/>
      <c r="Q29" s="10" t="inlineStr"/>
    </row>
    <row r="30" ht="19.95" customHeight="1" s="14">
      <c r="A30" s="35" t="inlineStr">
        <is>
          <t>OLED</t>
        </is>
      </c>
      <c r="B30" s="35" t="inlineStr">
        <is>
          <t>55S95H</t>
        </is>
      </c>
      <c r="C30" s="36" t="inlineStr"/>
      <c r="D30" s="11">
        <f>IF(E30="","",E30-F30)</f>
        <v/>
      </c>
      <c r="E30" s="12" t="inlineStr"/>
      <c r="F30" s="12" t="inlineStr"/>
      <c r="G30" s="10" t="inlineStr"/>
      <c r="H30" s="36" t="inlineStr">
        <is>
          <t>QE55S95HFTXZU</t>
        </is>
      </c>
      <c r="I30" s="11">
        <f>IF(J30="","",J30-K30)</f>
        <v/>
      </c>
      <c r="J30" s="9" t="n">
        <v>2400</v>
      </c>
      <c r="K30" s="9" t="n">
        <v>0</v>
      </c>
      <c r="L30" s="10" t="inlineStr"/>
      <c r="M30" s="36" t="inlineStr"/>
      <c r="N30" s="11">
        <f>IF(O30="","",O30-P30)</f>
        <v/>
      </c>
      <c r="O30" s="12" t="inlineStr"/>
      <c r="P30" s="12" t="inlineStr"/>
      <c r="Q30" s="10" t="inlineStr"/>
    </row>
    <row r="31" ht="19.95" customHeight="1" s="14">
      <c r="A31" s="7" t="inlineStr"/>
      <c r="B31" s="7" t="n"/>
      <c r="C31" s="8" t="inlineStr"/>
      <c r="D31" s="11" t="inlineStr"/>
      <c r="E31" s="12" t="inlineStr"/>
      <c r="F31" s="12" t="inlineStr"/>
      <c r="G31" s="10" t="inlineStr"/>
      <c r="H31" s="8" t="inlineStr"/>
      <c r="I31" s="11" t="inlineStr"/>
      <c r="J31" s="9" t="inlineStr"/>
      <c r="K31" s="9" t="inlineStr"/>
      <c r="L31" s="10" t="inlineStr"/>
      <c r="M31" s="8" t="inlineStr"/>
      <c r="N31" s="11" t="inlineStr"/>
      <c r="O31" s="12" t="inlineStr"/>
      <c r="P31" s="12" t="inlineStr"/>
      <c r="Q31" s="10" t="inlineStr"/>
    </row>
    <row r="32" ht="19.95" customHeight="1" s="14">
      <c r="A32" s="35" t="inlineStr">
        <is>
          <t>OLED</t>
        </is>
      </c>
      <c r="B32" s="35" t="inlineStr">
        <is>
          <t>83S90H</t>
        </is>
      </c>
      <c r="C32" s="36" t="inlineStr">
        <is>
          <t>83-OLED-S90H-4K-NQ4-AI-GEN3-PROZESSOR-VISION-AI-SMART-TV-2026</t>
        </is>
      </c>
      <c r="D32" s="9">
        <f>IF(E32="","",E32-F32)</f>
        <v/>
      </c>
      <c r="E32" s="9" t="n">
        <v>4999</v>
      </c>
      <c r="F32" s="9" t="n">
        <v>0</v>
      </c>
      <c r="G32" s="10" t="inlineStr"/>
      <c r="H32" s="36" t="inlineStr">
        <is>
          <t>QE83S90H</t>
        </is>
      </c>
      <c r="I32" s="9">
        <f>IF(J32="","",J32-K32)</f>
        <v/>
      </c>
      <c r="J32" s="9" t="n">
        <v>4999.95</v>
      </c>
      <c r="K32" s="9" t="n">
        <v>0</v>
      </c>
      <c r="L32" s="10" t="inlineStr"/>
      <c r="M32" s="36" t="inlineStr">
        <is>
          <t>QE83S90HAEXZU</t>
        </is>
      </c>
      <c r="N32" s="9">
        <f>IF(O32="","",O32-P32)</f>
        <v/>
      </c>
      <c r="O32" s="9" t="n">
        <v>4779</v>
      </c>
      <c r="P32" s="9" t="n">
        <v>0</v>
      </c>
      <c r="Q32" s="10" t="inlineStr"/>
    </row>
    <row r="33" ht="19.95" customHeight="1" s="14">
      <c r="A33" s="35" t="inlineStr">
        <is>
          <t>OLED</t>
        </is>
      </c>
      <c r="B33" s="35" t="inlineStr">
        <is>
          <t>77S90H</t>
        </is>
      </c>
      <c r="C33" s="36" t="inlineStr">
        <is>
          <t>77-OLED-S90H-4K-NQ4-AI-GEN3-PROZESSOR-VISION-AI-SMART-TV-2026</t>
        </is>
      </c>
      <c r="D33" s="9">
        <f>IF(E33="","",E33-F33)</f>
        <v/>
      </c>
      <c r="E33" s="9" t="n">
        <v>3499</v>
      </c>
      <c r="F33" s="9" t="n">
        <v>0</v>
      </c>
      <c r="G33" s="10" t="inlineStr"/>
      <c r="H33" s="36" t="inlineStr">
        <is>
          <t>QE77S90H</t>
        </is>
      </c>
      <c r="I33" s="9">
        <f>IF(J33="","",J33-K33)</f>
        <v/>
      </c>
      <c r="J33" s="9" t="n">
        <v>3499.95</v>
      </c>
      <c r="K33" s="9" t="n">
        <v>0</v>
      </c>
      <c r="L33" s="10" t="inlineStr"/>
      <c r="M33" s="36" t="inlineStr">
        <is>
          <t>QE77S90HATXZU</t>
        </is>
      </c>
      <c r="N33" s="9">
        <f>IF(O33="","",O33-P33)</f>
        <v/>
      </c>
      <c r="O33" s="9" t="n">
        <v>3429</v>
      </c>
      <c r="P33" s="9" t="n">
        <v>0</v>
      </c>
      <c r="Q33" s="10" t="inlineStr"/>
    </row>
    <row r="34" ht="19.95" customHeight="1" s="14">
      <c r="A34" s="35" t="inlineStr">
        <is>
          <t>OLED</t>
        </is>
      </c>
      <c r="B34" s="35" t="inlineStr">
        <is>
          <t>65S90H</t>
        </is>
      </c>
      <c r="C34" s="36" t="inlineStr">
        <is>
          <t>65-OLED-S90H-4K-NQ4-AI-GEN3-PROZESSOR-VISION-AI-SMART-TV-2026</t>
        </is>
      </c>
      <c r="D34" s="9">
        <f>IF(E34="","",E34-F34)</f>
        <v/>
      </c>
      <c r="E34" s="9" t="n">
        <v>2599</v>
      </c>
      <c r="F34" s="9" t="n">
        <v>0</v>
      </c>
      <c r="G34" s="10" t="inlineStr"/>
      <c r="H34" s="36" t="inlineStr">
        <is>
          <t>QE65S90H</t>
        </is>
      </c>
      <c r="I34" s="9">
        <f>IF(J34="","",J34-K34)</f>
        <v/>
      </c>
      <c r="J34" s="9" t="n">
        <v>2599.95</v>
      </c>
      <c r="K34" s="9" t="n">
        <v>0</v>
      </c>
      <c r="L34" s="10" t="inlineStr"/>
      <c r="M34" s="36" t="inlineStr">
        <is>
          <t>QE65S90HAEXZU</t>
        </is>
      </c>
      <c r="N34" s="9">
        <f>IF(O34="","",O34-P34)</f>
        <v/>
      </c>
      <c r="O34" s="9" t="n">
        <v>2518</v>
      </c>
      <c r="P34" s="9" t="n">
        <v>0</v>
      </c>
      <c r="Q34" s="10" t="inlineStr"/>
    </row>
    <row r="35" ht="19.95" customHeight="1" s="14">
      <c r="A35" s="35" t="inlineStr">
        <is>
          <t>OLED</t>
        </is>
      </c>
      <c r="B35" s="35" t="inlineStr">
        <is>
          <t>55S90H</t>
        </is>
      </c>
      <c r="C35" s="36" t="inlineStr">
        <is>
          <t>55-OLED-S90H-4K-NQ4-AI-GEN3-PROZESSOR-VISION-AI-SMART-TV-2026</t>
        </is>
      </c>
      <c r="D35" s="9">
        <f>IF(E35="","",E35-F35)</f>
        <v/>
      </c>
      <c r="E35" s="9" t="n">
        <v>1799</v>
      </c>
      <c r="F35" s="9" t="n">
        <v>0</v>
      </c>
      <c r="G35" s="10" t="inlineStr"/>
      <c r="H35" s="36" t="inlineStr">
        <is>
          <t>QE55S90H</t>
        </is>
      </c>
      <c r="I35" s="9">
        <f>IF(J35="","",J35-K35)</f>
        <v/>
      </c>
      <c r="J35" s="9" t="n">
        <v>1799.95</v>
      </c>
      <c r="K35" s="9" t="n">
        <v>0</v>
      </c>
      <c r="L35" s="10" t="inlineStr"/>
      <c r="M35" s="36" t="inlineStr">
        <is>
          <t>QE55S90HAEXZU</t>
        </is>
      </c>
      <c r="N35" s="9">
        <f>IF(O35="","",O35-P35)</f>
        <v/>
      </c>
      <c r="O35" s="9" t="n">
        <v>1764</v>
      </c>
      <c r="P35" s="9" t="n">
        <v>0</v>
      </c>
      <c r="Q35" s="10" t="inlineStr"/>
    </row>
    <row r="36" ht="19.95" customHeight="1" s="14">
      <c r="A36" s="35" t="inlineStr">
        <is>
          <t>OLED</t>
        </is>
      </c>
      <c r="B36" s="35" t="inlineStr">
        <is>
          <t>48S90H</t>
        </is>
      </c>
      <c r="C36" s="36" t="inlineStr">
        <is>
          <t>48-OLED-S90H-4K-NQ4-AI-GEN3-PROZESSOR-VISION-AI-SMART-TV-2026</t>
        </is>
      </c>
      <c r="D36" s="11">
        <f>IF(E36="","",E36-F36)</f>
        <v/>
      </c>
      <c r="E36" s="9" t="n">
        <v>1599</v>
      </c>
      <c r="F36" s="9" t="n">
        <v>0</v>
      </c>
      <c r="G36" s="10" t="inlineStr"/>
      <c r="H36" s="36" t="inlineStr">
        <is>
          <t>QE48S90H</t>
        </is>
      </c>
      <c r="I36" s="11">
        <f>IF(J36="","",J36-K36)</f>
        <v/>
      </c>
      <c r="J36" s="9" t="n">
        <v>1599.95</v>
      </c>
      <c r="K36" s="9" t="n">
        <v>0</v>
      </c>
      <c r="L36" s="10" t="inlineStr"/>
      <c r="M36" s="36" t="inlineStr">
        <is>
          <t>QE48S90HAEXZU</t>
        </is>
      </c>
      <c r="N36" s="11">
        <f>IF(O36="","",O36-P36)</f>
        <v/>
      </c>
      <c r="O36" s="9" t="n">
        <v>1599</v>
      </c>
      <c r="P36" s="9" t="n">
        <v>0</v>
      </c>
      <c r="Q36" s="10" t="inlineStr"/>
    </row>
    <row r="37" ht="19.95" customHeight="1" s="14">
      <c r="A37" s="35" t="inlineStr">
        <is>
          <t>OLED</t>
        </is>
      </c>
      <c r="B37" s="35" t="inlineStr">
        <is>
          <t>42S90H</t>
        </is>
      </c>
      <c r="C37" s="36" t="inlineStr">
        <is>
          <t>42-OLED-S90H-4K-NQ4-AI-GEN3-PROZESSOR-VISION-AI-SMART-TV-2026</t>
        </is>
      </c>
      <c r="D37" s="9">
        <f>IF(E37="","",E37-F37)</f>
        <v/>
      </c>
      <c r="E37" s="9" t="n">
        <v>1499</v>
      </c>
      <c r="F37" s="9" t="n">
        <v>0</v>
      </c>
      <c r="G37" s="10" t="inlineStr"/>
      <c r="H37" s="36" t="inlineStr">
        <is>
          <t>QE42S90H</t>
        </is>
      </c>
      <c r="I37" s="9">
        <f>IF(J37="","",J37-K37)</f>
        <v/>
      </c>
      <c r="J37" s="9" t="n">
        <v>1499.95</v>
      </c>
      <c r="K37" s="9" t="n">
        <v>0</v>
      </c>
      <c r="L37" s="10" t="inlineStr"/>
      <c r="M37" s="36" t="inlineStr">
        <is>
          <t>QE42S90HAEXXN</t>
        </is>
      </c>
      <c r="N37" s="9">
        <f>IF(O37="","",O37-P37)</f>
        <v/>
      </c>
      <c r="O37" s="9" t="n">
        <v>1499</v>
      </c>
      <c r="P37" s="9" t="n">
        <v>0</v>
      </c>
      <c r="Q37" s="10" t="inlineStr"/>
    </row>
    <row r="38" ht="19.95" customHeight="1" s="14">
      <c r="A38" s="7" t="inlineStr"/>
      <c r="B38" s="7" t="n"/>
      <c r="C38" s="8" t="inlineStr"/>
      <c r="D38" s="9" t="inlineStr"/>
      <c r="E38" s="9" t="inlineStr"/>
      <c r="F38" s="9" t="inlineStr"/>
      <c r="G38" s="10" t="inlineStr"/>
      <c r="H38" s="8" t="inlineStr"/>
      <c r="I38" s="9" t="inlineStr"/>
      <c r="J38" s="9" t="inlineStr"/>
      <c r="K38" s="9" t="inlineStr"/>
      <c r="L38" s="10" t="inlineStr"/>
      <c r="M38" s="8" t="inlineStr"/>
      <c r="N38" s="9" t="inlineStr"/>
      <c r="O38" s="9" t="inlineStr"/>
      <c r="P38" s="9" t="inlineStr"/>
      <c r="Q38" s="10" t="inlineStr"/>
    </row>
    <row r="39" ht="19.95" customHeight="1" s="14">
      <c r="A39" s="35" t="inlineStr">
        <is>
          <t>OLED</t>
        </is>
      </c>
      <c r="B39" s="35" t="inlineStr">
        <is>
          <t>83S85H</t>
        </is>
      </c>
      <c r="C39" s="36" t="inlineStr"/>
      <c r="D39" s="9">
        <f>IF(E39="","",E39-F39)</f>
        <v/>
      </c>
      <c r="E39" s="9" t="inlineStr"/>
      <c r="F39" s="9" t="inlineStr"/>
      <c r="G39" s="10" t="inlineStr"/>
      <c r="H39" s="36" t="inlineStr">
        <is>
          <t>QE83S85H</t>
        </is>
      </c>
      <c r="I39" s="9">
        <f>IF(J39="","",J39-K39)</f>
        <v/>
      </c>
      <c r="J39" s="9" t="n">
        <v>4799.95</v>
      </c>
      <c r="K39" s="9" t="n">
        <v>0</v>
      </c>
      <c r="L39" s="10" t="inlineStr"/>
      <c r="M39" s="36" t="inlineStr">
        <is>
          <t>QE83S85HAEXZU</t>
        </is>
      </c>
      <c r="N39" s="9">
        <f>IF(O39="","",O39-P39)</f>
        <v/>
      </c>
      <c r="O39" s="9" t="n">
        <v>4800</v>
      </c>
      <c r="P39" s="9" t="n">
        <v>0</v>
      </c>
      <c r="Q39" s="10" t="inlineStr"/>
    </row>
    <row r="40" ht="19.95" customHeight="1" s="14">
      <c r="A40" s="35" t="inlineStr">
        <is>
          <t>OLED</t>
        </is>
      </c>
      <c r="B40" s="35" t="inlineStr">
        <is>
          <t>77S85H</t>
        </is>
      </c>
      <c r="C40" s="36" t="inlineStr"/>
      <c r="D40" s="9">
        <f>IF(E40="","",E40-F40)</f>
        <v/>
      </c>
      <c r="E40" s="9" t="inlineStr"/>
      <c r="F40" s="9" t="inlineStr"/>
      <c r="G40" s="10" t="inlineStr"/>
      <c r="H40" s="36" t="inlineStr">
        <is>
          <t>QE77S85H</t>
        </is>
      </c>
      <c r="I40" s="9">
        <f>IF(J40="","",J40-K40)</f>
        <v/>
      </c>
      <c r="J40" s="9" t="n">
        <v>3299.95</v>
      </c>
      <c r="K40" s="9" t="n">
        <v>0</v>
      </c>
      <c r="L40" s="10" t="inlineStr"/>
      <c r="M40" s="36" t="inlineStr">
        <is>
          <t>QE77S85HAEXZU</t>
        </is>
      </c>
      <c r="N40" s="9">
        <f>IF(O40="","",O40-P40)</f>
        <v/>
      </c>
      <c r="O40" s="9" t="n">
        <v>3295</v>
      </c>
      <c r="P40" s="9" t="n">
        <v>0</v>
      </c>
      <c r="Q40" s="10" t="inlineStr"/>
    </row>
    <row r="41" ht="19.95" customHeight="1" s="14">
      <c r="A41" s="35" t="inlineStr">
        <is>
          <t>OLED</t>
        </is>
      </c>
      <c r="B41" s="35" t="inlineStr">
        <is>
          <t>65S85H</t>
        </is>
      </c>
      <c r="C41" s="36" t="inlineStr"/>
      <c r="D41" s="9">
        <f>IF(E41="","",E41-F41)</f>
        <v/>
      </c>
      <c r="E41" s="9" t="inlineStr"/>
      <c r="F41" s="9" t="inlineStr"/>
      <c r="G41" s="10" t="inlineStr"/>
      <c r="H41" s="36" t="inlineStr">
        <is>
          <t>QE65S85H</t>
        </is>
      </c>
      <c r="I41" s="9">
        <f>IF(J41="","",J41-K41)</f>
        <v/>
      </c>
      <c r="J41" s="9" t="n">
        <v>2499.95</v>
      </c>
      <c r="K41" s="9" t="n">
        <v>0</v>
      </c>
      <c r="L41" s="10" t="inlineStr"/>
      <c r="M41" s="36" t="inlineStr">
        <is>
          <t>QE65S85HAEXZU</t>
        </is>
      </c>
      <c r="N41" s="9">
        <f>IF(O41="","",O41-P41)</f>
        <v/>
      </c>
      <c r="O41" s="9" t="n">
        <v>2419</v>
      </c>
      <c r="P41" s="9" t="n">
        <v>0</v>
      </c>
      <c r="Q41" s="10" t="inlineStr"/>
    </row>
    <row r="42" ht="19.95" customHeight="1" s="14">
      <c r="A42" s="35" t="inlineStr">
        <is>
          <t>OLED</t>
        </is>
      </c>
      <c r="B42" s="35" t="inlineStr">
        <is>
          <t>55S85H</t>
        </is>
      </c>
      <c r="C42" s="36" t="inlineStr"/>
      <c r="D42" s="9">
        <f>IF(E42="","",E42-F42)</f>
        <v/>
      </c>
      <c r="E42" s="9" t="inlineStr"/>
      <c r="F42" s="9" t="inlineStr"/>
      <c r="G42" s="10" t="inlineStr"/>
      <c r="H42" s="36" t="inlineStr">
        <is>
          <t>QE55S85H</t>
        </is>
      </c>
      <c r="I42" s="9">
        <f>IF(J42="","",J42-K42)</f>
        <v/>
      </c>
      <c r="J42" s="9" t="n">
        <v>1699.95</v>
      </c>
      <c r="K42" s="9" t="n">
        <v>0</v>
      </c>
      <c r="L42" s="10" t="inlineStr"/>
      <c r="M42" s="36" t="inlineStr">
        <is>
          <t>QE55S85HAEXZU</t>
        </is>
      </c>
      <c r="N42" s="9">
        <f>IF(O42="","",O42-P42)</f>
        <v/>
      </c>
      <c r="O42" s="9" t="n">
        <v>1666</v>
      </c>
      <c r="P42" s="9" t="n">
        <v>0</v>
      </c>
      <c r="Q42" s="10" t="inlineStr"/>
    </row>
    <row r="43" ht="19.95" customHeight="1" s="14">
      <c r="A43" s="35" t="inlineStr">
        <is>
          <t>OLED</t>
        </is>
      </c>
      <c r="B43" s="35" t="inlineStr">
        <is>
          <t>48S85H</t>
        </is>
      </c>
      <c r="C43" s="36" t="inlineStr"/>
      <c r="D43" s="9">
        <f>IF(E43="","",E43-F43)</f>
        <v/>
      </c>
      <c r="E43" s="9" t="inlineStr"/>
      <c r="F43" s="9" t="inlineStr"/>
      <c r="G43" s="10" t="inlineStr"/>
      <c r="H43" s="36" t="inlineStr">
        <is>
          <t>QE48S85H</t>
        </is>
      </c>
      <c r="I43" s="9">
        <f>IF(J43="","",J43-K43)</f>
        <v/>
      </c>
      <c r="J43" s="9" t="n">
        <v>1399.95</v>
      </c>
      <c r="K43" s="9" t="n">
        <v>0</v>
      </c>
      <c r="L43" s="10" t="inlineStr"/>
      <c r="M43" s="36" t="inlineStr">
        <is>
          <t>QE48S85HAEXXN</t>
        </is>
      </c>
      <c r="N43" s="9">
        <f>IF(O43="","",O43-P43)</f>
        <v/>
      </c>
      <c r="O43" s="9" t="n">
        <v>1399</v>
      </c>
      <c r="P43" s="9" t="n">
        <v>0</v>
      </c>
      <c r="Q43" s="10" t="inlineStr"/>
    </row>
    <row r="44" ht="19.95" customHeight="1" s="14">
      <c r="A44" s="7" t="inlineStr"/>
      <c r="B44" s="7" t="n"/>
      <c r="C44" s="8" t="inlineStr"/>
      <c r="D44" s="9" t="inlineStr"/>
      <c r="E44" s="9" t="inlineStr"/>
      <c r="F44" s="9" t="inlineStr"/>
      <c r="G44" s="10" t="inlineStr"/>
      <c r="H44" s="8" t="inlineStr"/>
      <c r="I44" s="9" t="inlineStr"/>
      <c r="J44" s="9" t="inlineStr"/>
      <c r="K44" s="9" t="inlineStr"/>
      <c r="L44" s="10" t="inlineStr"/>
      <c r="M44" s="8" t="inlineStr"/>
      <c r="N44" s="9" t="inlineStr"/>
      <c r="O44" s="9" t="inlineStr"/>
      <c r="P44" s="9" t="inlineStr"/>
      <c r="Q44" s="10" t="inlineStr"/>
    </row>
    <row r="45" ht="19.95" customHeight="1" s="14">
      <c r="A45" s="34" t="inlineStr">
        <is>
          <t>MRGB</t>
        </is>
      </c>
      <c r="B45" s="34" t="inlineStr">
        <is>
          <t>86MRGB95</t>
        </is>
      </c>
      <c r="C45" s="26" t="inlineStr"/>
      <c r="D45" s="27">
        <f>IF(E45="","",E45-F45)</f>
        <v/>
      </c>
      <c r="E45" s="28" t="inlineStr"/>
      <c r="F45" s="28" t="inlineStr"/>
      <c r="G45" s="29">
        <f>IFERROR(D45/D4,"")</f>
        <v/>
      </c>
      <c r="H45" s="26" t="inlineStr"/>
      <c r="I45" s="27">
        <f>IF(J45="","",J45-K45)</f>
        <v/>
      </c>
      <c r="J45" s="28" t="inlineStr"/>
      <c r="K45" s="28" t="inlineStr"/>
      <c r="L45" s="29">
        <f>IFERROR(I45/I4,"")</f>
        <v/>
      </c>
      <c r="M45" s="26" t="inlineStr"/>
      <c r="N45" s="27">
        <f>IF(O45="","",O45-P45)</f>
        <v/>
      </c>
      <c r="O45" s="28" t="inlineStr"/>
      <c r="P45" s="28" t="inlineStr"/>
      <c r="Q45" s="29">
        <f>IFERROR(N45/N4,"")</f>
        <v/>
      </c>
    </row>
    <row r="46" ht="19.95" customHeight="1" s="14">
      <c r="A46" s="34" t="inlineStr">
        <is>
          <t>MRGB</t>
        </is>
      </c>
      <c r="B46" s="34" t="inlineStr">
        <is>
          <t>75MRGB95</t>
        </is>
      </c>
      <c r="C46" s="26" t="inlineStr"/>
      <c r="D46" s="30">
        <f>IF(E46="","",E46-F46)</f>
        <v/>
      </c>
      <c r="E46" s="30" t="inlineStr"/>
      <c r="F46" s="30" t="inlineStr"/>
      <c r="G46" s="29">
        <f>IFERROR(D46/D5,"")</f>
        <v/>
      </c>
      <c r="H46" s="26" t="inlineStr"/>
      <c r="I46" s="30">
        <f>IF(J46="","",J46-K46)</f>
        <v/>
      </c>
      <c r="J46" s="30" t="inlineStr"/>
      <c r="K46" s="30" t="inlineStr"/>
      <c r="L46" s="29">
        <f>IFERROR(I46/I5,"")</f>
        <v/>
      </c>
      <c r="M46" s="26" t="inlineStr">
        <is>
          <t>75MRGB96B9B</t>
        </is>
      </c>
      <c r="N46" s="30">
        <f>IF(O46="","",O46-P46)</f>
        <v/>
      </c>
      <c r="O46" s="30" t="n">
        <v>4999</v>
      </c>
      <c r="P46" s="30" t="n">
        <v>0</v>
      </c>
      <c r="Q46" s="29">
        <f>IFERROR(N46/N5,"")</f>
        <v/>
      </c>
    </row>
    <row r="47" ht="19.95" customFormat="1" customHeight="1" s="24">
      <c r="A47" s="20" t="inlineStr"/>
      <c r="B47" s="20" t="n"/>
      <c r="C47" s="21" t="inlineStr"/>
      <c r="D47" s="22" t="inlineStr"/>
      <c r="E47" s="22" t="inlineStr"/>
      <c r="F47" s="22" t="inlineStr"/>
      <c r="G47" s="23" t="inlineStr"/>
      <c r="H47" s="21" t="inlineStr"/>
      <c r="I47" s="22" t="inlineStr"/>
      <c r="J47" s="22" t="inlineStr"/>
      <c r="K47" s="22" t="inlineStr"/>
      <c r="L47" s="23" t="inlineStr"/>
      <c r="M47" s="21" t="inlineStr"/>
      <c r="N47" s="22" t="inlineStr"/>
      <c r="O47" s="22" t="inlineStr"/>
      <c r="P47" s="22" t="inlineStr"/>
      <c r="Q47" s="23" t="inlineStr"/>
    </row>
    <row r="48" ht="19.95" customHeight="1" s="14">
      <c r="A48" s="34" t="inlineStr">
        <is>
          <t>MRGB</t>
        </is>
      </c>
      <c r="B48" s="34" t="inlineStr">
        <is>
          <t>86MRGB85</t>
        </is>
      </c>
      <c r="C48" s="26" t="inlineStr"/>
      <c r="D48" s="30">
        <f>IF(E48="","",E48-F48)</f>
        <v/>
      </c>
      <c r="E48" s="30" t="inlineStr"/>
      <c r="F48" s="30" t="inlineStr"/>
      <c r="G48" s="29">
        <f>IFERROR(D48/D4,"")</f>
        <v/>
      </c>
      <c r="H48" s="26" t="inlineStr">
        <is>
          <t>86MRGB87B</t>
        </is>
      </c>
      <c r="I48" s="30">
        <f>IF(J48="","",J48-K48)</f>
        <v/>
      </c>
      <c r="J48" s="30" t="n">
        <v>2499.95</v>
      </c>
      <c r="K48" s="30" t="n">
        <v>0</v>
      </c>
      <c r="L48" s="29">
        <f>IFERROR(I48/I4,"")</f>
        <v/>
      </c>
      <c r="M48" s="26" t="inlineStr"/>
      <c r="N48" s="30">
        <f>IF(O48="","",O48-P48)</f>
        <v/>
      </c>
      <c r="O48" s="30" t="inlineStr"/>
      <c r="P48" s="30" t="inlineStr"/>
      <c r="Q48" s="29">
        <f>IFERROR(N48/N4,"")</f>
        <v/>
      </c>
    </row>
    <row r="49" ht="19.95" customHeight="1" s="14">
      <c r="A49" s="34" t="inlineStr">
        <is>
          <t>MRGB</t>
        </is>
      </c>
      <c r="B49" s="34" t="inlineStr">
        <is>
          <t>75MRGB85</t>
        </is>
      </c>
      <c r="C49" s="26" t="inlineStr"/>
      <c r="D49" s="30">
        <f>IF(E49="","",E49-F49)</f>
        <v/>
      </c>
      <c r="E49" s="30" t="inlineStr"/>
      <c r="F49" s="30" t="inlineStr"/>
      <c r="G49" s="29">
        <f>IFERROR(D49/D5,"")</f>
        <v/>
      </c>
      <c r="H49" s="26" t="inlineStr">
        <is>
          <t>75MRGB87B</t>
        </is>
      </c>
      <c r="I49" s="30">
        <f>IF(J49="","",J49-K49)</f>
        <v/>
      </c>
      <c r="J49" s="30" t="n">
        <v>1999.95</v>
      </c>
      <c r="K49" s="30" t="n">
        <v>0</v>
      </c>
      <c r="L49" s="29">
        <f>IFERROR(I49/I5,"")</f>
        <v/>
      </c>
      <c r="M49" s="26" t="inlineStr"/>
      <c r="N49" s="30">
        <f>IF(O49="","",O49-P49)</f>
        <v/>
      </c>
      <c r="O49" s="30" t="inlineStr"/>
      <c r="P49" s="30" t="inlineStr"/>
      <c r="Q49" s="29">
        <f>IFERROR(N49/N5,"")</f>
        <v/>
      </c>
    </row>
    <row r="50" ht="19.95" customHeight="1" s="14">
      <c r="A50" s="34" t="inlineStr">
        <is>
          <t>MRGB</t>
        </is>
      </c>
      <c r="B50" s="34" t="inlineStr">
        <is>
          <t>65MRGB85</t>
        </is>
      </c>
      <c r="C50" s="26" t="inlineStr"/>
      <c r="D50" s="27">
        <f>IF(E50="","",E50-F50)</f>
        <v/>
      </c>
      <c r="E50" s="28" t="inlineStr"/>
      <c r="F50" s="28" t="inlineStr"/>
      <c r="G50" s="29">
        <f>IFERROR(D50/D6,"")</f>
        <v/>
      </c>
      <c r="H50" s="26" t="inlineStr">
        <is>
          <t>65MRGB87B</t>
        </is>
      </c>
      <c r="I50" s="27">
        <f>IF(J50="","",J50-K50)</f>
        <v/>
      </c>
      <c r="J50" s="28" t="n">
        <v>1399.95</v>
      </c>
      <c r="K50" s="28" t="n">
        <v>0</v>
      </c>
      <c r="L50" s="29">
        <f>IFERROR(I50/I6,"")</f>
        <v/>
      </c>
      <c r="M50" s="26" t="inlineStr"/>
      <c r="N50" s="27">
        <f>IF(O50="","",O50-P50)</f>
        <v/>
      </c>
      <c r="O50" s="28" t="inlineStr"/>
      <c r="P50" s="28" t="inlineStr"/>
      <c r="Q50" s="29">
        <f>IFERROR(N50/N6,"")</f>
        <v/>
      </c>
    </row>
    <row r="51" ht="19.95" customHeight="1" s="14">
      <c r="A51" s="34" t="inlineStr">
        <is>
          <t>MRGB</t>
        </is>
      </c>
      <c r="B51" s="34" t="inlineStr">
        <is>
          <t>55MRGB85</t>
        </is>
      </c>
      <c r="C51" s="26" t="inlineStr"/>
      <c r="D51" s="30">
        <f>IF(E51="","",E51-F51)</f>
        <v/>
      </c>
      <c r="E51" s="30" t="inlineStr"/>
      <c r="F51" s="30" t="inlineStr"/>
      <c r="G51" s="29">
        <f>IFERROR(D51/D7,"")</f>
        <v/>
      </c>
      <c r="H51" s="26" t="inlineStr">
        <is>
          <t>55MRGB87B</t>
        </is>
      </c>
      <c r="I51" s="30">
        <f>IF(J51="","",J51-K51)</f>
        <v/>
      </c>
      <c r="J51" s="30" t="n">
        <v>1199.95</v>
      </c>
      <c r="K51" s="30" t="n">
        <v>0</v>
      </c>
      <c r="L51" s="29">
        <f>IFERROR(I51/I7,"")</f>
        <v/>
      </c>
      <c r="M51" s="26" t="inlineStr"/>
      <c r="N51" s="30">
        <f>IF(O51="","",O51-P51)</f>
        <v/>
      </c>
      <c r="O51" s="30" t="inlineStr"/>
      <c r="P51" s="30" t="inlineStr"/>
      <c r="Q51" s="29">
        <f>IFERROR(N51/N7,"")</f>
        <v/>
      </c>
    </row>
    <row r="52" ht="19.95" customHeight="1" s="14">
      <c r="A52" s="34" t="inlineStr">
        <is>
          <t>MRGB</t>
        </is>
      </c>
      <c r="B52" s="34" t="inlineStr">
        <is>
          <t>50MRGB85</t>
        </is>
      </c>
      <c r="C52" s="26" t="inlineStr"/>
      <c r="D52" s="30">
        <f>IF(E52="","",E52-F52)</f>
        <v/>
      </c>
      <c r="E52" s="30" t="inlineStr"/>
      <c r="F52" s="30" t="inlineStr"/>
      <c r="G52" s="29">
        <f>IFERROR(D52/D7,"")</f>
        <v/>
      </c>
      <c r="H52" s="26" t="inlineStr">
        <is>
          <t>50MRGB87B</t>
        </is>
      </c>
      <c r="I52" s="30">
        <f>IF(J52="","",J52-K52)</f>
        <v/>
      </c>
      <c r="J52" s="30" t="n">
        <v>999.95</v>
      </c>
      <c r="K52" s="30" t="n">
        <v>0</v>
      </c>
      <c r="L52" s="29">
        <f>IFERROR(I52/I7,"")</f>
        <v/>
      </c>
      <c r="M52" s="26" t="inlineStr"/>
      <c r="N52" s="30">
        <f>IF(O52="","",O52-P52)</f>
        <v/>
      </c>
      <c r="O52" s="30" t="inlineStr"/>
      <c r="P52" s="30" t="inlineStr"/>
      <c r="Q52" s="29">
        <f>IFERROR(N52/N7,"")</f>
        <v/>
      </c>
    </row>
    <row r="53" ht="19.95" customHeight="1" s="14">
      <c r="A53" s="7" t="inlineStr"/>
      <c r="B53" s="7" t="n"/>
      <c r="C53" s="8" t="inlineStr"/>
      <c r="D53" s="9" t="inlineStr"/>
      <c r="E53" s="9" t="inlineStr"/>
      <c r="F53" s="9" t="inlineStr"/>
      <c r="G53" s="10" t="inlineStr"/>
      <c r="H53" s="8" t="inlineStr"/>
      <c r="I53" s="9" t="inlineStr"/>
      <c r="J53" s="9" t="inlineStr"/>
      <c r="K53" s="9" t="inlineStr"/>
      <c r="L53" s="10" t="inlineStr"/>
      <c r="M53" s="8" t="inlineStr"/>
      <c r="N53" s="9" t="inlineStr"/>
      <c r="O53" s="9" t="inlineStr"/>
      <c r="P53" s="9" t="inlineStr"/>
      <c r="Q53" s="10" t="inlineStr"/>
    </row>
    <row r="54" ht="19.95" customHeight="1" s="14">
      <c r="A54" s="34" t="inlineStr">
        <is>
          <t>QNED</t>
        </is>
      </c>
      <c r="B54" s="34" t="inlineStr">
        <is>
          <t>85QNED93</t>
        </is>
      </c>
      <c r="C54" s="26" t="inlineStr"/>
      <c r="D54" s="27">
        <f>IF(E54="","",E54-F54)</f>
        <v/>
      </c>
      <c r="E54" s="28" t="inlineStr"/>
      <c r="F54" s="28" t="inlineStr"/>
      <c r="G54" s="29">
        <f>IFERROR(D54/D4,"")</f>
        <v/>
      </c>
      <c r="H54" s="26" t="inlineStr"/>
      <c r="I54" s="27">
        <f>IF(J54="","",J54-K54)</f>
        <v/>
      </c>
      <c r="J54" s="28" t="inlineStr"/>
      <c r="K54" s="28" t="inlineStr"/>
      <c r="L54" s="29">
        <f>IFERROR(I54/I4,"")</f>
        <v/>
      </c>
      <c r="M54" s="26" t="inlineStr"/>
      <c r="N54" s="27">
        <f>IF(O54="","",O54-P54)</f>
        <v/>
      </c>
      <c r="O54" s="28" t="inlineStr"/>
      <c r="P54" s="28" t="inlineStr"/>
      <c r="Q54" s="29">
        <f>IFERROR(N54/N4,"")</f>
        <v/>
      </c>
    </row>
    <row r="55" ht="19.95" customHeight="1" s="14">
      <c r="A55" s="34" t="inlineStr">
        <is>
          <t>QNED</t>
        </is>
      </c>
      <c r="B55" s="34" t="inlineStr">
        <is>
          <t>75QNED93</t>
        </is>
      </c>
      <c r="C55" s="26" t="inlineStr"/>
      <c r="D55" s="30">
        <f>IF(E55="","",E55-F55)</f>
        <v/>
      </c>
      <c r="E55" s="30" t="inlineStr"/>
      <c r="F55" s="30" t="inlineStr"/>
      <c r="G55" s="29">
        <f>IFERROR(D55/D5,"")</f>
        <v/>
      </c>
      <c r="H55" s="26" t="inlineStr"/>
      <c r="I55" s="30">
        <f>IF(J55="","",J55-K55)</f>
        <v/>
      </c>
      <c r="J55" s="30" t="inlineStr"/>
      <c r="K55" s="30" t="inlineStr"/>
      <c r="L55" s="29">
        <f>IFERROR(I55/I5,"")</f>
        <v/>
      </c>
      <c r="M55" s="26" t="inlineStr"/>
      <c r="N55" s="30">
        <f>IF(O55="","",O55-P55)</f>
        <v/>
      </c>
      <c r="O55" s="30" t="inlineStr"/>
      <c r="P55" s="30" t="inlineStr"/>
      <c r="Q55" s="29">
        <f>IFERROR(N55/N5,"")</f>
        <v/>
      </c>
    </row>
    <row r="56" ht="19.95" customHeight="1" s="14">
      <c r="A56" s="34" t="inlineStr">
        <is>
          <t>QNED</t>
        </is>
      </c>
      <c r="B56" s="34" t="inlineStr">
        <is>
          <t>65QNED93</t>
        </is>
      </c>
      <c r="C56" s="26" t="inlineStr"/>
      <c r="D56" s="30">
        <f>IF(E56="","",E56-F56)</f>
        <v/>
      </c>
      <c r="E56" s="30" t="inlineStr"/>
      <c r="F56" s="30" t="inlineStr"/>
      <c r="G56" s="29">
        <f>IFERROR(D56/D6,"")</f>
        <v/>
      </c>
      <c r="H56" s="26" t="inlineStr"/>
      <c r="I56" s="30">
        <f>IF(J56="","",J56-K56)</f>
        <v/>
      </c>
      <c r="J56" s="30" t="inlineStr"/>
      <c r="K56" s="30" t="inlineStr"/>
      <c r="L56" s="29">
        <f>IFERROR(I56/I6,"")</f>
        <v/>
      </c>
      <c r="M56" s="26" t="inlineStr"/>
      <c r="N56" s="30">
        <f>IF(O56="","",O56-P56)</f>
        <v/>
      </c>
      <c r="O56" s="30" t="inlineStr"/>
      <c r="P56" s="30" t="inlineStr"/>
      <c r="Q56" s="29">
        <f>IFERROR(N56/N6,"")</f>
        <v/>
      </c>
    </row>
    <row r="57" ht="19.95" customHeight="1" s="14">
      <c r="A57" s="34" t="inlineStr">
        <is>
          <t>QNED</t>
        </is>
      </c>
      <c r="B57" s="34" t="inlineStr">
        <is>
          <t>55QNED93</t>
        </is>
      </c>
      <c r="C57" s="26" t="inlineStr"/>
      <c r="D57" s="30">
        <f>IF(E57="","",E57-F57)</f>
        <v/>
      </c>
      <c r="E57" s="30" t="inlineStr"/>
      <c r="F57" s="30" t="inlineStr"/>
      <c r="G57" s="29">
        <f>IFERROR(D57/D7,"")</f>
        <v/>
      </c>
      <c r="H57" s="26" t="inlineStr"/>
      <c r="I57" s="30">
        <f>IF(J57="","",J57-K57)</f>
        <v/>
      </c>
      <c r="J57" s="30" t="inlineStr"/>
      <c r="K57" s="30" t="inlineStr"/>
      <c r="L57" s="29">
        <f>IFERROR(I57/I7,"")</f>
        <v/>
      </c>
      <c r="M57" s="26" t="inlineStr"/>
      <c r="N57" s="30">
        <f>IF(O57="","",O57-P57)</f>
        <v/>
      </c>
      <c r="O57" s="30" t="inlineStr"/>
      <c r="P57" s="30" t="inlineStr"/>
      <c r="Q57" s="29">
        <f>IFERROR(N57/N7,"")</f>
        <v/>
      </c>
    </row>
    <row r="58" ht="19.95" customHeight="1" s="14">
      <c r="A58" s="2" t="inlineStr"/>
      <c r="B58" s="2" t="n"/>
      <c r="C58" s="3" t="inlineStr"/>
      <c r="D58" s="4" t="inlineStr"/>
      <c r="E58" s="4" t="inlineStr"/>
      <c r="F58" s="4" t="inlineStr"/>
      <c r="G58" s="5" t="inlineStr"/>
      <c r="H58" s="3" t="inlineStr"/>
      <c r="I58" s="4" t="inlineStr"/>
      <c r="J58" s="4" t="inlineStr"/>
      <c r="K58" s="4" t="inlineStr"/>
      <c r="L58" s="5" t="inlineStr"/>
      <c r="M58" s="3" t="inlineStr"/>
      <c r="N58" s="4" t="inlineStr"/>
      <c r="O58" s="4" t="inlineStr"/>
      <c r="P58" s="4" t="inlineStr"/>
      <c r="Q58" s="5" t="inlineStr"/>
    </row>
    <row r="59" ht="19.95" customHeight="1" s="14">
      <c r="A59" s="34" t="inlineStr">
        <is>
          <t>QNED</t>
        </is>
      </c>
      <c r="B59" s="34" t="inlineStr">
        <is>
          <t>86QNED85</t>
        </is>
      </c>
      <c r="C59" s="26" t="inlineStr">
        <is>
          <t>QNED86B6B</t>
        </is>
      </c>
      <c r="D59" s="30">
        <f>IF(E59="","",E59-F59)</f>
        <v/>
      </c>
      <c r="E59" s="30" t="n">
        <v>499</v>
      </c>
      <c r="F59" s="30" t="n">
        <v>0</v>
      </c>
      <c r="G59" s="29">
        <f>IFERROR(D59/D4,"")</f>
        <v/>
      </c>
      <c r="H59" s="26" t="inlineStr">
        <is>
          <t>86QNED86B</t>
        </is>
      </c>
      <c r="I59" s="30">
        <f>IF(J59="","",J59-K59)</f>
        <v/>
      </c>
      <c r="J59" s="30" t="n">
        <v>2299.95</v>
      </c>
      <c r="K59" s="30" t="n">
        <v>0</v>
      </c>
      <c r="L59" s="29">
        <f>IFERROR(I59/I4,"")</f>
        <v/>
      </c>
      <c r="M59" s="26" t="inlineStr"/>
      <c r="N59" s="30">
        <f>IF(O59="","",O59-P59)</f>
        <v/>
      </c>
      <c r="O59" s="30" t="inlineStr"/>
      <c r="P59" s="30" t="inlineStr"/>
      <c r="Q59" s="29">
        <f>IFERROR(N59/N4,"")</f>
        <v/>
      </c>
    </row>
    <row r="60" ht="19.95" customHeight="1" s="14">
      <c r="A60" s="34" t="inlineStr">
        <is>
          <t>QNED</t>
        </is>
      </c>
      <c r="B60" s="34" t="inlineStr">
        <is>
          <t>75QNED85</t>
        </is>
      </c>
      <c r="C60" s="26" t="inlineStr"/>
      <c r="D60" s="27">
        <f>IF(E60="","",E60-F60)</f>
        <v/>
      </c>
      <c r="E60" s="30" t="inlineStr"/>
      <c r="F60" s="30" t="inlineStr"/>
      <c r="G60" s="29">
        <f>IFERROR(D60/D5,"")</f>
        <v/>
      </c>
      <c r="H60" s="26" t="inlineStr">
        <is>
          <t>65QNED86B</t>
        </is>
      </c>
      <c r="I60" s="27">
        <f>IF(J60="","",J60-K60)</f>
        <v/>
      </c>
      <c r="J60" s="30" t="n">
        <v>1899.95</v>
      </c>
      <c r="K60" s="30" t="n">
        <v>0</v>
      </c>
      <c r="L60" s="29">
        <f>IFERROR(I60/I5,"")</f>
        <v/>
      </c>
      <c r="M60" s="26" t="inlineStr"/>
      <c r="N60" s="27">
        <f>IF(O60="","",O60-P60)</f>
        <v/>
      </c>
      <c r="O60" s="28" t="inlineStr"/>
      <c r="P60" s="28" t="inlineStr"/>
      <c r="Q60" s="29">
        <f>IFERROR(N60/N5,"")</f>
        <v/>
      </c>
    </row>
    <row r="61" ht="19.95" customHeight="1" s="14">
      <c r="A61" s="34" t="inlineStr">
        <is>
          <t>QNED</t>
        </is>
      </c>
      <c r="B61" s="34" t="inlineStr">
        <is>
          <t>65QNED85</t>
        </is>
      </c>
      <c r="C61" s="26" t="inlineStr"/>
      <c r="D61" s="30">
        <f>IF(E61="","",E61-F61)</f>
        <v/>
      </c>
      <c r="E61" s="30" t="inlineStr"/>
      <c r="F61" s="30" t="inlineStr"/>
      <c r="G61" s="29">
        <f>IFERROR(D61/D6,"")</f>
        <v/>
      </c>
      <c r="H61" s="26" t="inlineStr"/>
      <c r="I61" s="30">
        <f>IF(J61="","",J61-K61)</f>
        <v/>
      </c>
      <c r="J61" s="30" t="inlineStr"/>
      <c r="K61" s="30" t="inlineStr"/>
      <c r="L61" s="29">
        <f>IFERROR(I61/I6,"")</f>
        <v/>
      </c>
      <c r="M61" s="26" t="inlineStr"/>
      <c r="N61" s="30">
        <f>IF(O61="","",O61-P61)</f>
        <v/>
      </c>
      <c r="O61" s="30" t="inlineStr"/>
      <c r="P61" s="30" t="inlineStr"/>
      <c r="Q61" s="29">
        <f>IFERROR(N61/N6,"")</f>
        <v/>
      </c>
    </row>
    <row r="62" ht="19.95" customHeight="1" s="14">
      <c r="A62" s="34" t="inlineStr">
        <is>
          <t>QNED</t>
        </is>
      </c>
      <c r="B62" s="34" t="inlineStr">
        <is>
          <t>55QNED85</t>
        </is>
      </c>
      <c r="C62" s="26" t="inlineStr"/>
      <c r="D62" s="30">
        <f>IF(E62="","",E62-F62)</f>
        <v/>
      </c>
      <c r="E62" s="30" t="inlineStr"/>
      <c r="F62" s="30" t="inlineStr"/>
      <c r="G62" s="29">
        <f>IFERROR(D62/D7,"")</f>
        <v/>
      </c>
      <c r="H62" s="26" t="inlineStr">
        <is>
          <t>55QNED86B</t>
        </is>
      </c>
      <c r="I62" s="30">
        <f>IF(J62="","",J62-K62)</f>
        <v/>
      </c>
      <c r="J62" s="30" t="n">
        <v>1099.95</v>
      </c>
      <c r="K62" s="30" t="n">
        <v>0</v>
      </c>
      <c r="L62" s="29">
        <f>IFERROR(I62/I7,"")</f>
        <v/>
      </c>
      <c r="M62" s="26" t="inlineStr"/>
      <c r="N62" s="30">
        <f>IF(O62="","",O62-P62)</f>
        <v/>
      </c>
      <c r="O62" s="30" t="inlineStr"/>
      <c r="P62" s="30" t="inlineStr"/>
      <c r="Q62" s="29">
        <f>IFERROR(N62/N7,"")</f>
        <v/>
      </c>
    </row>
    <row r="63" ht="19.95" customHeight="1" s="14">
      <c r="A63" s="34" t="inlineStr">
        <is>
          <t>QNED</t>
        </is>
      </c>
      <c r="B63" s="34" t="inlineStr">
        <is>
          <t>50QNED85</t>
        </is>
      </c>
      <c r="C63" s="26" t="inlineStr"/>
      <c r="D63" s="30">
        <f>IF(E63="","",E63-F63)</f>
        <v/>
      </c>
      <c r="E63" s="30" t="inlineStr"/>
      <c r="F63" s="30" t="inlineStr"/>
      <c r="G63" s="29">
        <f>IFERROR(D63/D7,"")</f>
        <v/>
      </c>
      <c r="H63" s="26" t="inlineStr">
        <is>
          <t>50QNED86B</t>
        </is>
      </c>
      <c r="I63" s="30">
        <f>IF(J63="","",J63-K63)</f>
        <v/>
      </c>
      <c r="J63" s="30" t="n">
        <v>999.95</v>
      </c>
      <c r="K63" s="30" t="n">
        <v>0</v>
      </c>
      <c r="L63" s="29">
        <f>IFERROR(I63/I7,"")</f>
        <v/>
      </c>
      <c r="M63" s="26" t="inlineStr"/>
      <c r="N63" s="30">
        <f>IF(O63="","",O63-P63)</f>
        <v/>
      </c>
      <c r="O63" s="30" t="inlineStr"/>
      <c r="P63" s="30" t="inlineStr"/>
      <c r="Q63" s="29">
        <f>IFERROR(N63/N7,"")</f>
        <v/>
      </c>
    </row>
    <row r="64" ht="19.95" customHeight="1" s="14">
      <c r="A64" s="34" t="inlineStr">
        <is>
          <t>QNED</t>
        </is>
      </c>
      <c r="B64" s="34" t="inlineStr">
        <is>
          <t>43QNED85</t>
        </is>
      </c>
      <c r="C64" s="26" t="inlineStr"/>
      <c r="D64" s="30">
        <f>IF(E64="","",E64-F64)</f>
        <v/>
      </c>
      <c r="E64" s="30" t="inlineStr"/>
      <c r="F64" s="30" t="inlineStr"/>
      <c r="G64" s="29">
        <f>IFERROR(D64/D7,"")</f>
        <v/>
      </c>
      <c r="H64" s="26" t="inlineStr">
        <is>
          <t>43QNED86B</t>
        </is>
      </c>
      <c r="I64" s="30">
        <f>IF(J64="","",J64-K64)</f>
        <v/>
      </c>
      <c r="J64" s="30" t="n">
        <v>699.95</v>
      </c>
      <c r="K64" s="30" t="n">
        <v>0</v>
      </c>
      <c r="L64" s="29">
        <f>IFERROR(I64/I7,"")</f>
        <v/>
      </c>
      <c r="M64" s="26" t="inlineStr"/>
      <c r="N64" s="30">
        <f>IF(O64="","",O64-P64)</f>
        <v/>
      </c>
      <c r="O64" s="30" t="inlineStr"/>
      <c r="P64" s="30" t="inlineStr"/>
      <c r="Q64" s="29">
        <f>IFERROR(N64/N7,"")</f>
        <v/>
      </c>
    </row>
    <row r="65" ht="19.95" customHeight="1" s="14">
      <c r="A65" s="2" t="inlineStr"/>
      <c r="B65" s="2" t="n"/>
      <c r="C65" s="3" t="inlineStr"/>
      <c r="D65" s="4" t="inlineStr"/>
      <c r="E65" s="4" t="inlineStr"/>
      <c r="F65" s="4" t="inlineStr"/>
      <c r="G65" s="5" t="inlineStr"/>
      <c r="H65" s="3" t="inlineStr"/>
      <c r="I65" s="4" t="inlineStr"/>
      <c r="J65" s="4" t="inlineStr"/>
      <c r="K65" s="4" t="inlineStr"/>
      <c r="L65" s="5" t="inlineStr"/>
      <c r="M65" s="3" t="inlineStr"/>
      <c r="N65" s="4" t="inlineStr"/>
      <c r="O65" s="4" t="inlineStr"/>
      <c r="P65" s="4" t="inlineStr"/>
      <c r="Q65" s="5" t="inlineStr"/>
    </row>
    <row r="66" ht="19.95" customHeight="1" s="14">
      <c r="A66" s="34" t="inlineStr">
        <is>
          <t>QNED</t>
        </is>
      </c>
      <c r="B66" s="34" t="inlineStr">
        <is>
          <t>86QNED80</t>
        </is>
      </c>
      <c r="C66" s="26" t="inlineStr"/>
      <c r="D66" s="30">
        <f>IF(E66="","",E66-F66)</f>
        <v/>
      </c>
      <c r="E66" s="30" t="inlineStr"/>
      <c r="F66" s="30" t="inlineStr"/>
      <c r="G66" s="29">
        <f>IFERROR(D66/D4,"")</f>
        <v/>
      </c>
      <c r="H66" s="26" t="inlineStr"/>
      <c r="I66" s="30">
        <f>IF(J66="","",J66-K66)</f>
        <v/>
      </c>
      <c r="J66" s="30" t="inlineStr"/>
      <c r="K66" s="30" t="inlineStr"/>
      <c r="L66" s="29">
        <f>IFERROR(I66/I4,"")</f>
        <v/>
      </c>
      <c r="M66" s="26" t="inlineStr"/>
      <c r="N66" s="30">
        <f>IF(O66="","",O66-P66)</f>
        <v/>
      </c>
      <c r="O66" s="30" t="inlineStr"/>
      <c r="P66" s="30" t="inlineStr"/>
      <c r="Q66" s="29">
        <f>IFERROR(N66/N4,"")</f>
        <v/>
      </c>
    </row>
    <row r="67" ht="19.95" customHeight="1" s="14">
      <c r="A67" s="34" t="inlineStr">
        <is>
          <t>QNED</t>
        </is>
      </c>
      <c r="B67" s="34" t="inlineStr">
        <is>
          <t>75QNED80</t>
        </is>
      </c>
      <c r="C67" s="26" t="inlineStr"/>
      <c r="D67" s="30">
        <f>IF(E67="","",E67-F67)</f>
        <v/>
      </c>
      <c r="E67" s="30" t="inlineStr"/>
      <c r="F67" s="30" t="inlineStr"/>
      <c r="G67" s="29">
        <f>IFERROR(D67/D5,"")</f>
        <v/>
      </c>
      <c r="H67" s="26" t="inlineStr"/>
      <c r="I67" s="30">
        <f>IF(J67="","",J67-K67)</f>
        <v/>
      </c>
      <c r="J67" s="30" t="inlineStr"/>
      <c r="K67" s="30" t="inlineStr"/>
      <c r="L67" s="29">
        <f>IFERROR(I67/I5,"")</f>
        <v/>
      </c>
      <c r="M67" s="26" t="inlineStr"/>
      <c r="N67" s="30">
        <f>IF(O67="","",O67-P67)</f>
        <v/>
      </c>
      <c r="O67" s="30" t="inlineStr"/>
      <c r="P67" s="30" t="inlineStr"/>
      <c r="Q67" s="29">
        <f>IFERROR(N67/N5,"")</f>
        <v/>
      </c>
    </row>
    <row r="68" ht="19.95" customHeight="1" s="14">
      <c r="A68" s="34" t="inlineStr">
        <is>
          <t>QNED</t>
        </is>
      </c>
      <c r="B68" s="34" t="inlineStr">
        <is>
          <t>65QNED80</t>
        </is>
      </c>
      <c r="C68" s="26" t="inlineStr"/>
      <c r="D68" s="27">
        <f>IF(E68="","",E68-F68)</f>
        <v/>
      </c>
      <c r="E68" s="28" t="inlineStr"/>
      <c r="F68" s="28" t="inlineStr"/>
      <c r="G68" s="29">
        <f>IFERROR(D68/D6,"")</f>
        <v/>
      </c>
      <c r="H68" s="26" t="inlineStr"/>
      <c r="I68" s="27">
        <f>IF(J68="","",J68-K68)</f>
        <v/>
      </c>
      <c r="J68" s="28" t="inlineStr"/>
      <c r="K68" s="28" t="inlineStr"/>
      <c r="L68" s="29">
        <f>IFERROR(I68/I6,"")</f>
        <v/>
      </c>
      <c r="M68" s="26" t="inlineStr"/>
      <c r="N68" s="27">
        <f>IF(O68="","",O68-P68)</f>
        <v/>
      </c>
      <c r="O68" s="28" t="inlineStr"/>
      <c r="P68" s="28" t="inlineStr"/>
      <c r="Q68" s="29">
        <f>IFERROR(N68/N6,"")</f>
        <v/>
      </c>
    </row>
    <row r="69" ht="19.95" customHeight="1" s="14">
      <c r="A69" s="34" t="inlineStr">
        <is>
          <t>QNED</t>
        </is>
      </c>
      <c r="B69" s="34" t="inlineStr">
        <is>
          <t>55QNED80</t>
        </is>
      </c>
      <c r="C69" s="26" t="inlineStr"/>
      <c r="D69" s="30">
        <f>IF(E69="","",E69-F69)</f>
        <v/>
      </c>
      <c r="E69" s="30" t="inlineStr"/>
      <c r="F69" s="30" t="inlineStr"/>
      <c r="G69" s="29">
        <f>IFERROR(D69/D7,"")</f>
        <v/>
      </c>
      <c r="H69" s="26" t="inlineStr"/>
      <c r="I69" s="30">
        <f>IF(J69="","",J69-K69)</f>
        <v/>
      </c>
      <c r="J69" s="30" t="inlineStr"/>
      <c r="K69" s="30" t="inlineStr"/>
      <c r="L69" s="29">
        <f>IFERROR(I69/I7,"")</f>
        <v/>
      </c>
      <c r="M69" s="26" t="inlineStr"/>
      <c r="N69" s="30">
        <f>IF(O69="","",O69-P69)</f>
        <v/>
      </c>
      <c r="O69" s="30" t="inlineStr"/>
      <c r="P69" s="30" t="inlineStr"/>
      <c r="Q69" s="29">
        <f>IFERROR(N69/N7,"")</f>
        <v/>
      </c>
    </row>
    <row r="70" ht="19.95" customHeight="1" s="14">
      <c r="A70" s="34" t="inlineStr">
        <is>
          <t>QNED</t>
        </is>
      </c>
      <c r="B70" s="34" t="inlineStr">
        <is>
          <t>50QNED80</t>
        </is>
      </c>
      <c r="C70" s="26" t="inlineStr"/>
      <c r="D70" s="30">
        <f>IF(E70="","",E70-F70)</f>
        <v/>
      </c>
      <c r="E70" s="30" t="inlineStr"/>
      <c r="F70" s="30" t="inlineStr"/>
      <c r="G70" s="29">
        <f>IFERROR(D70/D7,"")</f>
        <v/>
      </c>
      <c r="H70" s="26" t="inlineStr"/>
      <c r="I70" s="30">
        <f>IF(J70="","",J70-K70)</f>
        <v/>
      </c>
      <c r="J70" s="30" t="inlineStr"/>
      <c r="K70" s="30" t="inlineStr"/>
      <c r="L70" s="29">
        <f>IFERROR(I70/I7,"")</f>
        <v/>
      </c>
      <c r="M70" s="26" t="inlineStr"/>
      <c r="N70" s="30">
        <f>IF(O70="","",O70-P70)</f>
        <v/>
      </c>
      <c r="O70" s="30" t="inlineStr"/>
      <c r="P70" s="30" t="inlineStr"/>
      <c r="Q70" s="29">
        <f>IFERROR(N70/N7,"")</f>
        <v/>
      </c>
    </row>
    <row r="71" ht="19.95" customHeight="1" s="14">
      <c r="A71" s="34" t="inlineStr">
        <is>
          <t>QNED</t>
        </is>
      </c>
      <c r="B71" s="34" t="inlineStr">
        <is>
          <t>43QNED80</t>
        </is>
      </c>
      <c r="C71" s="26" t="inlineStr"/>
      <c r="D71" s="30">
        <f>IF(E71="","",E71-F71)</f>
        <v/>
      </c>
      <c r="E71" s="30" t="inlineStr"/>
      <c r="F71" s="30" t="inlineStr"/>
      <c r="G71" s="29">
        <f>IFERROR(D71/D7,"")</f>
        <v/>
      </c>
      <c r="H71" s="26" t="inlineStr"/>
      <c r="I71" s="30">
        <f>IF(J71="","",J71-K71)</f>
        <v/>
      </c>
      <c r="J71" s="30" t="inlineStr"/>
      <c r="K71" s="30" t="inlineStr"/>
      <c r="L71" s="29">
        <f>IFERROR(I71/I7,"")</f>
        <v/>
      </c>
      <c r="M71" s="26" t="inlineStr"/>
      <c r="N71" s="30">
        <f>IF(O71="","",O71-P71)</f>
        <v/>
      </c>
      <c r="O71" s="30" t="inlineStr"/>
      <c r="P71" s="30" t="inlineStr"/>
      <c r="Q71" s="29">
        <f>IFERROR(N71/N7,"")</f>
        <v/>
      </c>
    </row>
    <row r="72" ht="19.95" customHeight="1" s="14">
      <c r="A72" s="2" t="inlineStr"/>
      <c r="B72" s="2" t="n"/>
      <c r="C72" s="3" t="inlineStr"/>
      <c r="D72" s="4" t="inlineStr"/>
      <c r="E72" s="4" t="inlineStr"/>
      <c r="F72" s="4" t="inlineStr"/>
      <c r="G72" s="5" t="inlineStr"/>
      <c r="H72" s="3" t="inlineStr"/>
      <c r="I72" s="4" t="inlineStr"/>
      <c r="J72" s="4" t="inlineStr"/>
      <c r="K72" s="4" t="inlineStr"/>
      <c r="L72" s="5" t="inlineStr"/>
      <c r="M72" s="3" t="inlineStr"/>
      <c r="N72" s="4" t="inlineStr"/>
      <c r="O72" s="4" t="inlineStr"/>
      <c r="P72" s="4" t="inlineStr"/>
      <c r="Q72" s="5" t="inlineStr"/>
    </row>
    <row r="73" ht="19.95" customHeight="1" s="14">
      <c r="A73" s="34" t="inlineStr">
        <is>
          <t>QNED</t>
        </is>
      </c>
      <c r="B73" s="34" t="inlineStr">
        <is>
          <t>86QNED70</t>
        </is>
      </c>
      <c r="C73" s="26" t="inlineStr"/>
      <c r="D73" s="30">
        <f>IF(E73="","",E73-F73)</f>
        <v/>
      </c>
      <c r="E73" s="30" t="inlineStr"/>
      <c r="F73" s="30" t="inlineStr"/>
      <c r="G73" s="29">
        <f>IFERROR(D73/D4,"")</f>
        <v/>
      </c>
      <c r="H73" s="26" t="inlineStr"/>
      <c r="I73" s="30">
        <f>IF(J73="","",J73-K73)</f>
        <v/>
      </c>
      <c r="J73" s="30" t="inlineStr"/>
      <c r="K73" s="30" t="inlineStr"/>
      <c r="L73" s="29">
        <f>IFERROR(I73/I4,"")</f>
        <v/>
      </c>
      <c r="M73" s="26" t="inlineStr"/>
      <c r="N73" s="30">
        <f>IF(O73="","",O73-P73)</f>
        <v/>
      </c>
      <c r="O73" s="30" t="inlineStr"/>
      <c r="P73" s="30" t="inlineStr"/>
      <c r="Q73" s="29">
        <f>IFERROR(N73/N4,"")</f>
        <v/>
      </c>
    </row>
    <row r="74" ht="19.95" customHeight="1" s="14">
      <c r="A74" s="34" t="inlineStr">
        <is>
          <t>QNED</t>
        </is>
      </c>
      <c r="B74" s="34" t="inlineStr">
        <is>
          <t>75QNED70</t>
        </is>
      </c>
      <c r="C74" s="26" t="inlineStr"/>
      <c r="D74" s="30">
        <f>IF(E74="","",E74-F74)</f>
        <v/>
      </c>
      <c r="E74" s="30" t="inlineStr"/>
      <c r="F74" s="30" t="inlineStr"/>
      <c r="G74" s="29">
        <f>IFERROR(D74/D5,"")</f>
        <v/>
      </c>
      <c r="H74" s="26" t="inlineStr">
        <is>
          <t>75QNED7EB</t>
        </is>
      </c>
      <c r="I74" s="30">
        <f>IF(J74="","",J74-K74)</f>
        <v/>
      </c>
      <c r="J74" s="30" t="n">
        <v>699.95</v>
      </c>
      <c r="K74" s="30" t="n">
        <v>0</v>
      </c>
      <c r="L74" s="29">
        <f>IFERROR(I74/I5,"")</f>
        <v/>
      </c>
      <c r="M74" s="26" t="inlineStr">
        <is>
          <t>75QNED7EB3A</t>
        </is>
      </c>
      <c r="N74" s="30">
        <f>IF(O74="","",O74-P74)</f>
        <v/>
      </c>
      <c r="O74" s="30" t="n">
        <v>784</v>
      </c>
      <c r="P74" s="30" t="n">
        <v>0</v>
      </c>
      <c r="Q74" s="29">
        <f>IFERROR(N74/N5,"")</f>
        <v/>
      </c>
    </row>
    <row r="75" ht="19.95" customHeight="1" s="14">
      <c r="A75" s="34" t="inlineStr">
        <is>
          <t>QNED</t>
        </is>
      </c>
      <c r="B75" s="34" t="inlineStr">
        <is>
          <t>65QNED70</t>
        </is>
      </c>
      <c r="C75" s="26" t="inlineStr"/>
      <c r="D75" s="30">
        <f>IF(E75="","",E75-F75)</f>
        <v/>
      </c>
      <c r="E75" s="30" t="inlineStr"/>
      <c r="F75" s="30" t="inlineStr"/>
      <c r="G75" s="29">
        <f>IFERROR(D75/D6,"")</f>
        <v/>
      </c>
      <c r="H75" s="26" t="inlineStr">
        <is>
          <t>65QNED7EB</t>
        </is>
      </c>
      <c r="I75" s="30">
        <f>IF(J75="","",J75-K75)</f>
        <v/>
      </c>
      <c r="J75" s="30" t="n">
        <v>499.95</v>
      </c>
      <c r="K75" s="30" t="n">
        <v>0</v>
      </c>
      <c r="L75" s="29">
        <f>IFERROR(I75/I6,"")</f>
        <v/>
      </c>
      <c r="M75" s="26" t="inlineStr">
        <is>
          <t>65QNED7EB3C</t>
        </is>
      </c>
      <c r="N75" s="30">
        <f>IF(O75="","",O75-P75)</f>
        <v/>
      </c>
      <c r="O75" s="30" t="n">
        <v>579</v>
      </c>
      <c r="P75" s="30" t="n">
        <v>0</v>
      </c>
      <c r="Q75" s="29">
        <f>IFERROR(N75/N6,"")</f>
        <v/>
      </c>
    </row>
    <row r="76" ht="19.95" customHeight="1" s="14">
      <c r="A76" s="34" t="inlineStr">
        <is>
          <t>QNED</t>
        </is>
      </c>
      <c r="B76" s="34" t="inlineStr">
        <is>
          <t>55QNED70</t>
        </is>
      </c>
      <c r="C76" s="26" t="inlineStr"/>
      <c r="D76" s="27">
        <f>IF(E76="","",E76-F76)</f>
        <v/>
      </c>
      <c r="E76" s="28" t="inlineStr"/>
      <c r="F76" s="28" t="inlineStr"/>
      <c r="G76" s="29">
        <f>IFERROR(D76/D7,"")</f>
        <v/>
      </c>
      <c r="H76" s="26" t="inlineStr">
        <is>
          <t>55QNED7EB</t>
        </is>
      </c>
      <c r="I76" s="27">
        <f>IF(J76="","",J76-K76)</f>
        <v/>
      </c>
      <c r="J76" s="30" t="n">
        <v>399.95</v>
      </c>
      <c r="K76" s="30" t="n">
        <v>0</v>
      </c>
      <c r="L76" s="29">
        <f>IFERROR(I76/I7,"")</f>
        <v/>
      </c>
      <c r="M76" s="26" t="inlineStr">
        <is>
          <t>55QNED7EB3C</t>
        </is>
      </c>
      <c r="N76" s="27">
        <f>IF(O76="","",O76-P76)</f>
        <v/>
      </c>
      <c r="O76" s="30" t="n">
        <v>457</v>
      </c>
      <c r="P76" s="30" t="n">
        <v>0</v>
      </c>
      <c r="Q76" s="29">
        <f>IFERROR(N76/N7,"")</f>
        <v/>
      </c>
    </row>
    <row r="77" ht="19.95" customHeight="1" s="14">
      <c r="A77" s="34" t="inlineStr">
        <is>
          <t>QNED</t>
        </is>
      </c>
      <c r="B77" s="34" t="inlineStr">
        <is>
          <t>50QNED70</t>
        </is>
      </c>
      <c r="C77" s="26" t="inlineStr"/>
      <c r="D77" s="30">
        <f>IF(E77="","",E77-F77)</f>
        <v/>
      </c>
      <c r="E77" s="30" t="inlineStr"/>
      <c r="F77" s="30" t="inlineStr"/>
      <c r="G77" s="29">
        <f>IFERROR(D77/D7,"")</f>
        <v/>
      </c>
      <c r="H77" s="26" t="inlineStr">
        <is>
          <t>50QNED7EB</t>
        </is>
      </c>
      <c r="I77" s="30">
        <f>IF(J77="","",J77-K77)</f>
        <v/>
      </c>
      <c r="J77" s="30" t="n">
        <v>349.95</v>
      </c>
      <c r="K77" s="30" t="n">
        <v>0</v>
      </c>
      <c r="L77" s="29">
        <f>IFERROR(I77/I7,"")</f>
        <v/>
      </c>
      <c r="M77" s="26" t="inlineStr">
        <is>
          <t>50QNED7EB3C</t>
        </is>
      </c>
      <c r="N77" s="30">
        <f>IF(O77="","",O77-P77)</f>
        <v/>
      </c>
      <c r="O77" s="30" t="n">
        <v>395</v>
      </c>
      <c r="P77" s="30" t="n">
        <v>0</v>
      </c>
      <c r="Q77" s="29">
        <f>IFERROR(N77/N7,"")</f>
        <v/>
      </c>
    </row>
    <row r="78" ht="19.95" customHeight="1" s="14">
      <c r="A78" s="34" t="inlineStr">
        <is>
          <t>QNED</t>
        </is>
      </c>
      <c r="B78" s="34" t="inlineStr">
        <is>
          <t>43QNED70</t>
        </is>
      </c>
      <c r="C78" s="26" t="inlineStr"/>
      <c r="D78" s="30">
        <f>IF(E78="","",E78-F78)</f>
        <v/>
      </c>
      <c r="E78" s="30" t="inlineStr"/>
      <c r="F78" s="30" t="inlineStr"/>
      <c r="G78" s="29">
        <f>IFERROR(D78/D7,"")</f>
        <v/>
      </c>
      <c r="H78" s="26" t="inlineStr">
        <is>
          <t>43QNED7EB</t>
        </is>
      </c>
      <c r="I78" s="30">
        <f>IF(J78="","",J78-K78)</f>
        <v/>
      </c>
      <c r="J78" s="30" t="n">
        <v>329.95</v>
      </c>
      <c r="K78" s="30" t="n">
        <v>0</v>
      </c>
      <c r="L78" s="29">
        <f>IFERROR(I78/I7,"")</f>
        <v/>
      </c>
      <c r="M78" s="26" t="inlineStr">
        <is>
          <t>43QNED7EB3C</t>
        </is>
      </c>
      <c r="N78" s="30">
        <f>IF(O78="","",O78-P78)</f>
        <v/>
      </c>
      <c r="O78" s="30" t="n">
        <v>353</v>
      </c>
      <c r="P78" s="30" t="n">
        <v>0</v>
      </c>
      <c r="Q78" s="29">
        <f>IFERROR(N78/N7,"")</f>
        <v/>
      </c>
    </row>
    <row r="79" ht="19.95" customFormat="1" customHeight="1" s="24">
      <c r="A79" s="20" t="inlineStr"/>
      <c r="B79" s="20" t="n"/>
      <c r="C79" s="21" t="inlineStr"/>
      <c r="D79" s="22" t="inlineStr"/>
      <c r="E79" s="22" t="inlineStr"/>
      <c r="F79" s="22" t="inlineStr"/>
      <c r="G79" s="23" t="inlineStr"/>
      <c r="H79" s="21" t="inlineStr"/>
      <c r="I79" s="22" t="inlineStr"/>
      <c r="J79" s="22" t="inlineStr"/>
      <c r="K79" s="22" t="inlineStr"/>
      <c r="L79" s="23" t="inlineStr"/>
      <c r="M79" s="21" t="inlineStr"/>
      <c r="N79" s="22" t="inlineStr"/>
      <c r="O79" s="22" t="inlineStr"/>
      <c r="P79" s="22" t="inlineStr"/>
      <c r="Q79" s="23" t="inlineStr"/>
    </row>
    <row r="80" ht="19.95" customHeight="1" s="14">
      <c r="A80" s="35" t="inlineStr">
        <is>
          <t>MRGB</t>
        </is>
      </c>
      <c r="B80" s="35" t="inlineStr">
        <is>
          <t>85R95H</t>
        </is>
      </c>
      <c r="C80" s="36" t="inlineStr"/>
      <c r="D80" s="9">
        <f>IF(E80="","",E80-F80)</f>
        <v/>
      </c>
      <c r="E80" s="9" t="inlineStr"/>
      <c r="F80" s="9" t="inlineStr"/>
      <c r="G80" s="10" t="inlineStr"/>
      <c r="H80" s="36" t="inlineStr">
        <is>
          <t>MRE85R95HATXZU</t>
        </is>
      </c>
      <c r="I80" s="9">
        <f>IF(J80="","",J80-K80)</f>
        <v/>
      </c>
      <c r="J80" s="9" t="n">
        <v>5252</v>
      </c>
      <c r="K80" s="9" t="n">
        <v>0</v>
      </c>
      <c r="L80" s="10" t="inlineStr"/>
      <c r="M80" s="36" t="inlineStr"/>
      <c r="N80" s="9">
        <f>IF(O80="","",O80-P80)</f>
        <v/>
      </c>
      <c r="O80" s="9" t="inlineStr"/>
      <c r="P80" s="9" t="inlineStr"/>
      <c r="Q80" s="10" t="inlineStr"/>
    </row>
    <row r="81" ht="19.95" customHeight="1" s="14">
      <c r="A81" s="35" t="inlineStr">
        <is>
          <t>MRGB</t>
        </is>
      </c>
      <c r="B81" s="35" t="inlineStr">
        <is>
          <t>75R95H</t>
        </is>
      </c>
      <c r="C81" s="36" t="inlineStr"/>
      <c r="D81" s="9">
        <f>IF(E81="","",E81-F81)</f>
        <v/>
      </c>
      <c r="E81" s="9" t="inlineStr"/>
      <c r="F81" s="9" t="inlineStr"/>
      <c r="G81" s="10" t="inlineStr"/>
      <c r="H81" s="36" t="inlineStr"/>
      <c r="I81" s="9">
        <f>IF(J81="","",J81-K81)</f>
        <v/>
      </c>
      <c r="J81" s="9" t="inlineStr"/>
      <c r="K81" s="9" t="inlineStr"/>
      <c r="L81" s="10" t="inlineStr"/>
      <c r="M81" s="36" t="inlineStr"/>
      <c r="N81" s="9">
        <f>IF(O81="","",O81-P81)</f>
        <v/>
      </c>
      <c r="O81" s="9" t="inlineStr"/>
      <c r="P81" s="9" t="inlineStr"/>
      <c r="Q81" s="10" t="inlineStr"/>
    </row>
    <row r="82" ht="19.95" customHeight="1" s="14">
      <c r="A82" s="35" t="inlineStr">
        <is>
          <t>MRGB</t>
        </is>
      </c>
      <c r="B82" s="35" t="inlineStr">
        <is>
          <t>65R95H</t>
        </is>
      </c>
      <c r="C82" s="36" t="inlineStr"/>
      <c r="D82" s="11">
        <f>IF(E82="","",E82-F82)</f>
        <v/>
      </c>
      <c r="E82" s="9" t="inlineStr"/>
      <c r="F82" s="9" t="inlineStr"/>
      <c r="G82" s="10" t="inlineStr"/>
      <c r="H82" s="36" t="inlineStr">
        <is>
          <t>MRE65R95HATXZU</t>
        </is>
      </c>
      <c r="I82" s="11">
        <f>IF(J82="","",J82-K82)</f>
        <v/>
      </c>
      <c r="J82" s="9" t="n">
        <v>3325.6</v>
      </c>
      <c r="K82" s="9" t="n">
        <v>0</v>
      </c>
      <c r="L82" s="10" t="inlineStr"/>
      <c r="M82" s="36" t="inlineStr"/>
      <c r="N82" s="11">
        <f>IF(O82="","",O82-P82)</f>
        <v/>
      </c>
      <c r="O82" s="9" t="inlineStr"/>
      <c r="P82" s="9" t="inlineStr"/>
      <c r="Q82" s="10" t="inlineStr"/>
    </row>
    <row r="83" ht="19.95" customHeight="1" s="14">
      <c r="A83" s="35" t="inlineStr">
        <is>
          <t>MRGB</t>
        </is>
      </c>
      <c r="B83" s="35" t="inlineStr">
        <is>
          <t>55R95H</t>
        </is>
      </c>
      <c r="C83" s="36" t="inlineStr"/>
      <c r="D83" s="9">
        <f>IF(E83="","",E83-F83)</f>
        <v/>
      </c>
      <c r="E83" s="9" t="inlineStr"/>
      <c r="F83" s="9" t="inlineStr"/>
      <c r="G83" s="10" t="inlineStr"/>
      <c r="H83" s="36" t="inlineStr"/>
      <c r="I83" s="9">
        <f>IF(J83="","",J83-K83)</f>
        <v/>
      </c>
      <c r="J83" s="9" t="inlineStr"/>
      <c r="K83" s="9" t="inlineStr"/>
      <c r="L83" s="10" t="inlineStr"/>
      <c r="M83" s="36" t="inlineStr"/>
      <c r="N83" s="9">
        <f>IF(O83="","",O83-P83)</f>
        <v/>
      </c>
      <c r="O83" s="9" t="inlineStr"/>
      <c r="P83" s="9" t="inlineStr"/>
      <c r="Q83" s="10" t="inlineStr"/>
    </row>
    <row r="84" ht="19.95" customHeight="1" s="14">
      <c r="A84" s="19" t="inlineStr"/>
      <c r="B84" s="7" t="n"/>
      <c r="C84" s="8" t="inlineStr"/>
      <c r="D84" s="9" t="inlineStr"/>
      <c r="E84" s="9" t="inlineStr"/>
      <c r="F84" s="9" t="inlineStr"/>
      <c r="G84" s="10" t="inlineStr"/>
      <c r="H84" s="8" t="inlineStr"/>
      <c r="I84" s="9" t="inlineStr"/>
      <c r="J84" s="9" t="inlineStr"/>
      <c r="K84" s="9" t="inlineStr"/>
      <c r="L84" s="10" t="inlineStr"/>
      <c r="M84" s="8" t="inlineStr"/>
      <c r="N84" s="9" t="inlineStr"/>
      <c r="O84" s="9" t="inlineStr"/>
      <c r="P84" s="9" t="inlineStr"/>
      <c r="Q84" s="10" t="inlineStr"/>
    </row>
    <row r="85" ht="19.95" customHeight="1" s="14">
      <c r="A85" s="35" t="inlineStr">
        <is>
          <t>MRGB</t>
        </is>
      </c>
      <c r="B85" s="35" t="inlineStr">
        <is>
          <t>85R85H</t>
        </is>
      </c>
      <c r="C85" s="36" t="inlineStr">
        <is>
          <t>85-MICRO-RGB-R85H-4K-MICRO-RGB-AI-ENGINE-VISION-AI-SMART-TV-2026</t>
        </is>
      </c>
      <c r="D85" s="9">
        <f>IF(E85="","",E85-F85)</f>
        <v/>
      </c>
      <c r="E85" s="9" t="n">
        <v>4499</v>
      </c>
      <c r="F85" s="9" t="n">
        <v>0</v>
      </c>
      <c r="G85" s="10" t="inlineStr"/>
      <c r="H85" s="36" t="inlineStr">
        <is>
          <t>MRE85R85H</t>
        </is>
      </c>
      <c r="I85" s="9">
        <f>IF(J85="","",J85-K85)</f>
        <v/>
      </c>
      <c r="J85" s="9" t="n">
        <v>3999.95</v>
      </c>
      <c r="K85" s="9" t="n">
        <v>0</v>
      </c>
      <c r="L85" s="10" t="inlineStr"/>
      <c r="M85" s="36" t="inlineStr">
        <is>
          <t>MRE85R85HAUXXN</t>
        </is>
      </c>
      <c r="N85" s="9">
        <f>IF(O85="","",O85-P85)</f>
        <v/>
      </c>
      <c r="O85" s="9" t="n">
        <v>4000</v>
      </c>
      <c r="P85" s="9" t="n">
        <v>0</v>
      </c>
      <c r="Q85" s="10" t="inlineStr"/>
    </row>
    <row r="86" ht="19.95" customHeight="1" s="14">
      <c r="A86" s="35" t="inlineStr">
        <is>
          <t>MRGB</t>
        </is>
      </c>
      <c r="B86" s="35" t="inlineStr">
        <is>
          <t>75R85H</t>
        </is>
      </c>
      <c r="C86" s="36" t="inlineStr">
        <is>
          <t>75-MICRO-RGB-R85H-4K-MICRO-RGB-AI-ENGINE-VISION-AI-SMART-TV-2026</t>
        </is>
      </c>
      <c r="D86" s="9">
        <f>IF(E86="","",E86-F86)</f>
        <v/>
      </c>
      <c r="E86" s="9" t="n">
        <v>2999</v>
      </c>
      <c r="F86" s="9" t="n">
        <v>0</v>
      </c>
      <c r="G86" s="10" t="inlineStr"/>
      <c r="H86" s="36" t="inlineStr">
        <is>
          <t>MRE75R85H</t>
        </is>
      </c>
      <c r="I86" s="9">
        <f>IF(J86="","",J86-K86)</f>
        <v/>
      </c>
      <c r="J86" s="9" t="n">
        <v>2499.95</v>
      </c>
      <c r="K86" s="9" t="n">
        <v>0</v>
      </c>
      <c r="L86" s="10" t="inlineStr"/>
      <c r="M86" s="36" t="inlineStr">
        <is>
          <t>MRE75R85HAUXXN</t>
        </is>
      </c>
      <c r="N86" s="9">
        <f>IF(O86="","",O86-P86)</f>
        <v/>
      </c>
      <c r="O86" s="9" t="n">
        <v>2500</v>
      </c>
      <c r="P86" s="9" t="n">
        <v>0</v>
      </c>
      <c r="Q86" s="10" t="inlineStr"/>
    </row>
    <row r="87" ht="19.95" customHeight="1" s="14">
      <c r="A87" s="35" t="inlineStr">
        <is>
          <t>MRGB</t>
        </is>
      </c>
      <c r="B87" s="35" t="inlineStr">
        <is>
          <t>65R85H</t>
        </is>
      </c>
      <c r="C87" s="36" t="inlineStr">
        <is>
          <t>65-MICRO-RGB-R85H-4K-MICRO-RGB-AI-ENGINE-VISION-AI-SMART-TV-2026</t>
        </is>
      </c>
      <c r="D87" s="9">
        <f>IF(E87="","",E87-F87)</f>
        <v/>
      </c>
      <c r="E87" s="9" t="n">
        <v>2499</v>
      </c>
      <c r="F87" s="9" t="n">
        <v>0</v>
      </c>
      <c r="G87" s="10" t="inlineStr"/>
      <c r="H87" s="36" t="inlineStr">
        <is>
          <t>MRE65R85H</t>
        </is>
      </c>
      <c r="I87" s="9">
        <f>IF(J87="","",J87-K87)</f>
        <v/>
      </c>
      <c r="J87" s="9" t="n">
        <v>1999.95</v>
      </c>
      <c r="K87" s="9" t="n">
        <v>0</v>
      </c>
      <c r="L87" s="10" t="inlineStr"/>
      <c r="M87" s="36" t="inlineStr">
        <is>
          <t>MRE65R85HAUXXN</t>
        </is>
      </c>
      <c r="N87" s="9">
        <f>IF(O87="","",O87-P87)</f>
        <v/>
      </c>
      <c r="O87" s="9" t="n">
        <v>1959</v>
      </c>
      <c r="P87" s="9" t="n">
        <v>0</v>
      </c>
      <c r="Q87" s="10" t="inlineStr"/>
    </row>
    <row r="88" ht="19.95" customHeight="1" s="14">
      <c r="A88" s="35" t="inlineStr">
        <is>
          <t>MRGB</t>
        </is>
      </c>
      <c r="B88" s="35" t="inlineStr">
        <is>
          <t>55R85H</t>
        </is>
      </c>
      <c r="C88" s="36" t="inlineStr">
        <is>
          <t>55-MICRO-RGB-R85H-4K-MICRO-RGB-AI-ENGINE-VISION-AI-SMART-TV-2026</t>
        </is>
      </c>
      <c r="D88" s="9">
        <f>IF(E88="","",E88-F88)</f>
        <v/>
      </c>
      <c r="E88" s="9" t="n">
        <v>1699</v>
      </c>
      <c r="F88" s="9" t="n">
        <v>0</v>
      </c>
      <c r="G88" s="10" t="inlineStr"/>
      <c r="H88" s="36" t="inlineStr">
        <is>
          <t>MRE55R85H</t>
        </is>
      </c>
      <c r="I88" s="9">
        <f>IF(J88="","",J88-K88)</f>
        <v/>
      </c>
      <c r="J88" s="9" t="n">
        <v>1499.95</v>
      </c>
      <c r="K88" s="9" t="n">
        <v>0</v>
      </c>
      <c r="L88" s="10" t="inlineStr"/>
      <c r="M88" s="36" t="inlineStr">
        <is>
          <t>MRE55R85HAUXXN</t>
        </is>
      </c>
      <c r="N88" s="9">
        <f>IF(O88="","",O88-P88)</f>
        <v/>
      </c>
      <c r="O88" s="9" t="n">
        <v>1500</v>
      </c>
      <c r="P88" s="9" t="n">
        <v>0</v>
      </c>
      <c r="Q88" s="10" t="inlineStr"/>
    </row>
    <row r="89" ht="19.95" customHeight="1" s="14">
      <c r="A89" s="35" t="inlineStr">
        <is>
          <t>MRGB</t>
        </is>
      </c>
      <c r="B89" s="35" t="inlineStr">
        <is>
          <t>50R85H</t>
        </is>
      </c>
      <c r="C89" s="36" t="inlineStr"/>
      <c r="D89" s="9">
        <f>IF(E89="","",E89-F89)</f>
        <v/>
      </c>
      <c r="E89" s="9" t="inlineStr"/>
      <c r="F89" s="9" t="inlineStr"/>
      <c r="G89" s="10" t="inlineStr"/>
      <c r="H89" s="36" t="inlineStr"/>
      <c r="I89" s="9">
        <f>IF(J89="","",J89-K89)</f>
        <v/>
      </c>
      <c r="J89" s="9" t="inlineStr"/>
      <c r="K89" s="9" t="inlineStr"/>
      <c r="L89" s="10" t="inlineStr"/>
      <c r="M89" s="36" t="inlineStr"/>
      <c r="N89" s="9">
        <f>IF(O89="","",O89-P89)</f>
        <v/>
      </c>
      <c r="O89" s="9" t="inlineStr"/>
      <c r="P89" s="9" t="inlineStr"/>
      <c r="Q89" s="10" t="inlineStr"/>
    </row>
    <row r="90" ht="19.95" customHeight="1" s="14">
      <c r="A90" s="19" t="inlineStr"/>
      <c r="B90" s="7" t="n"/>
      <c r="C90" s="8" t="inlineStr"/>
      <c r="D90" s="9" t="inlineStr"/>
      <c r="E90" s="9" t="inlineStr"/>
      <c r="F90" s="9" t="inlineStr"/>
      <c r="G90" s="10" t="inlineStr"/>
      <c r="H90" s="8" t="inlineStr"/>
      <c r="I90" s="9" t="inlineStr"/>
      <c r="J90" s="9" t="inlineStr"/>
      <c r="K90" s="9" t="inlineStr"/>
      <c r="L90" s="10" t="inlineStr"/>
      <c r="M90" s="8" t="inlineStr"/>
      <c r="N90" s="9" t="inlineStr"/>
      <c r="O90" s="9" t="inlineStr"/>
      <c r="P90" s="9" t="inlineStr"/>
      <c r="Q90" s="10" t="inlineStr"/>
    </row>
    <row r="91" ht="19.95" customHeight="1" s="14">
      <c r="A91" s="35" t="inlineStr">
        <is>
          <t>QLED</t>
        </is>
      </c>
      <c r="B91" s="35" t="inlineStr">
        <is>
          <t>100QN80H</t>
        </is>
      </c>
      <c r="C91" s="36" t="inlineStr">
        <is>
          <t>100-NEO-QLED-QN80H-4K-MINI-LED-NQ4-AI-GEN2-PROZESSOR-VISION-AI-SMART-TV-2026</t>
        </is>
      </c>
      <c r="D91" s="9">
        <f>IF(E91="","",E91-F91)</f>
        <v/>
      </c>
      <c r="E91" s="9" t="n">
        <v>4799</v>
      </c>
      <c r="F91" s="9" t="n">
        <v>0</v>
      </c>
      <c r="G91" s="10" t="inlineStr"/>
      <c r="H91" s="36" t="inlineStr">
        <is>
          <t>QE100QN80H</t>
        </is>
      </c>
      <c r="I91" s="9">
        <f>IF(J91="","",J91-K91)</f>
        <v/>
      </c>
      <c r="J91" s="9" t="n">
        <v>4799.95</v>
      </c>
      <c r="K91" s="9" t="n">
        <v>0</v>
      </c>
      <c r="L91" s="10" t="inlineStr"/>
      <c r="M91" s="36" t="inlineStr"/>
      <c r="N91" s="9">
        <f>IF(O91="","",O91-P91)</f>
        <v/>
      </c>
      <c r="O91" s="9" t="inlineStr"/>
      <c r="P91" s="9" t="inlineStr"/>
      <c r="Q91" s="10" t="inlineStr"/>
    </row>
    <row r="92" ht="19.95" customHeight="1" s="14">
      <c r="A92" s="35" t="inlineStr">
        <is>
          <t>QLED</t>
        </is>
      </c>
      <c r="B92" s="35" t="inlineStr">
        <is>
          <t>85QN80H</t>
        </is>
      </c>
      <c r="C92" s="36" t="inlineStr">
        <is>
          <t>85-NEO-QLED-QN80H-4K-MINI-LED-NQ4-AI-GEN2-PROZESSOR-VISION-AI-SMART-TV-2026</t>
        </is>
      </c>
      <c r="D92" s="9">
        <f>IF(E92="","",E92-F92)</f>
        <v/>
      </c>
      <c r="E92" s="9" t="n">
        <v>2999</v>
      </c>
      <c r="F92" s="9" t="n">
        <v>0</v>
      </c>
      <c r="G92" s="10" t="inlineStr"/>
      <c r="H92" s="36" t="inlineStr">
        <is>
          <t>QE85QN80H</t>
        </is>
      </c>
      <c r="I92" s="9">
        <f>IF(J92="","",J92-K92)</f>
        <v/>
      </c>
      <c r="J92" s="9" t="n">
        <v>2999.95</v>
      </c>
      <c r="K92" s="9" t="n">
        <v>0</v>
      </c>
      <c r="L92" s="10" t="inlineStr"/>
      <c r="M92" s="36" t="inlineStr">
        <is>
          <t>QE85QN80HAUXXN</t>
        </is>
      </c>
      <c r="N92" s="9">
        <f>IF(O92="","",O92-P92)</f>
        <v/>
      </c>
      <c r="O92" s="9" t="n">
        <v>2900</v>
      </c>
      <c r="P92" s="9" t="n">
        <v>0</v>
      </c>
      <c r="Q92" s="10" t="inlineStr"/>
    </row>
    <row r="93" ht="19.95" customHeight="1" s="14">
      <c r="A93" s="35" t="inlineStr">
        <is>
          <t>QLED</t>
        </is>
      </c>
      <c r="B93" s="35" t="inlineStr">
        <is>
          <t>75QN80H</t>
        </is>
      </c>
      <c r="C93" s="36" t="inlineStr">
        <is>
          <t>75-NEO-QLED-QN80H-4K-MINI-LED-NQ4-AI-GEN2-PROZESSOR-VISION-AI-SMART-TV-2026</t>
        </is>
      </c>
      <c r="D93" s="9">
        <f>IF(E93="","",E93-F93)</f>
        <v/>
      </c>
      <c r="E93" s="9" t="n">
        <v>2499</v>
      </c>
      <c r="F93" s="9" t="n">
        <v>0</v>
      </c>
      <c r="G93" s="10" t="inlineStr"/>
      <c r="H93" s="36" t="inlineStr">
        <is>
          <t>QE75QN80H</t>
        </is>
      </c>
      <c r="I93" s="9">
        <f>IF(J93="","",J93-K93)</f>
        <v/>
      </c>
      <c r="J93" s="9" t="n">
        <v>2499.95</v>
      </c>
      <c r="K93" s="9" t="n">
        <v>0</v>
      </c>
      <c r="L93" s="10" t="inlineStr"/>
      <c r="M93" s="36" t="inlineStr">
        <is>
          <t>QE75QN80HAUXXN</t>
        </is>
      </c>
      <c r="N93" s="9">
        <f>IF(O93="","",O93-P93)</f>
        <v/>
      </c>
      <c r="O93" s="9" t="n">
        <v>2449</v>
      </c>
      <c r="P93" s="9" t="n">
        <v>0</v>
      </c>
      <c r="Q93" s="10" t="inlineStr"/>
    </row>
    <row r="94" ht="19.95" customHeight="1" s="14">
      <c r="A94" s="35" t="inlineStr">
        <is>
          <t>QLED</t>
        </is>
      </c>
      <c r="B94" s="35" t="inlineStr">
        <is>
          <t>65QN80H</t>
        </is>
      </c>
      <c r="C94" s="36" t="inlineStr">
        <is>
          <t>65-NEO-QLED-QN80H-4K-MINI-LED-NQ4-AI-GEN2-PROZESSOR-VISION-AI-SMART-TV-2026</t>
        </is>
      </c>
      <c r="D94" s="9">
        <f>IF(E94="","",E94-F94)</f>
        <v/>
      </c>
      <c r="E94" s="9" t="n">
        <v>1799</v>
      </c>
      <c r="F94" s="9" t="n">
        <v>0</v>
      </c>
      <c r="G94" s="10" t="inlineStr"/>
      <c r="H94" s="36" t="inlineStr">
        <is>
          <t>QE65QN80H</t>
        </is>
      </c>
      <c r="I94" s="9">
        <f>IF(J94="","",J94-K94)</f>
        <v/>
      </c>
      <c r="J94" s="9" t="n">
        <v>1799.95</v>
      </c>
      <c r="K94" s="9" t="n">
        <v>0</v>
      </c>
      <c r="L94" s="10" t="inlineStr"/>
      <c r="M94" s="36" t="inlineStr">
        <is>
          <t>QE65QN80HAUXXN</t>
        </is>
      </c>
      <c r="N94" s="9">
        <f>IF(O94="","",O94-P94)</f>
        <v/>
      </c>
      <c r="O94" s="9" t="n">
        <v>1715</v>
      </c>
      <c r="P94" s="9" t="n">
        <v>0</v>
      </c>
      <c r="Q94" s="10" t="inlineStr"/>
    </row>
    <row r="95" ht="19.95" customHeight="1" s="14">
      <c r="A95" s="35" t="inlineStr">
        <is>
          <t>QLED</t>
        </is>
      </c>
      <c r="B95" s="35" t="inlineStr">
        <is>
          <t>55QN80H</t>
        </is>
      </c>
      <c r="C95" s="36" t="inlineStr">
        <is>
          <t>55-NEO-QLED-QN80H-4K-MINI-LED-NQ4-AI-GEN2-PROZESSOR-VISION-AI-SMART-TV-2026</t>
        </is>
      </c>
      <c r="D95" s="11">
        <f>IF(E95="","",E95-F95)</f>
        <v/>
      </c>
      <c r="E95" s="9" t="n">
        <v>1499</v>
      </c>
      <c r="F95" s="9" t="n">
        <v>0</v>
      </c>
      <c r="G95" s="10" t="inlineStr"/>
      <c r="H95" s="36" t="inlineStr">
        <is>
          <t>QE55QN80H</t>
        </is>
      </c>
      <c r="I95" s="11">
        <f>IF(J95="","",J95-K95)</f>
        <v/>
      </c>
      <c r="J95" s="9" t="n">
        <v>1499.95</v>
      </c>
      <c r="K95" s="9" t="n">
        <v>0</v>
      </c>
      <c r="L95" s="10" t="inlineStr"/>
      <c r="M95" s="36" t="inlineStr">
        <is>
          <t>QE55QN80HAUXXN</t>
        </is>
      </c>
      <c r="N95" s="11">
        <f>IF(O95="","",O95-P95)</f>
        <v/>
      </c>
      <c r="O95" s="9" t="n">
        <v>1419</v>
      </c>
      <c r="P95" s="9" t="n">
        <v>0</v>
      </c>
      <c r="Q95" s="10" t="inlineStr"/>
    </row>
    <row r="96" ht="19.95" customHeight="1" s="14">
      <c r="A96" s="35" t="inlineStr">
        <is>
          <t>QLED</t>
        </is>
      </c>
      <c r="B96" s="35" t="inlineStr">
        <is>
          <t>50QN80H</t>
        </is>
      </c>
      <c r="C96" s="36" t="inlineStr">
        <is>
          <t>50-NEO-QLED-QN80H-4K-MINI-LED-NQ4-AI-GEN2-PROZESSOR-VISION-AI-SMART-TV-2026</t>
        </is>
      </c>
      <c r="D96" s="9">
        <f>IF(E96="","",E96-F96)</f>
        <v/>
      </c>
      <c r="E96" s="9" t="n">
        <v>1299</v>
      </c>
      <c r="F96" s="9" t="n">
        <v>0</v>
      </c>
      <c r="G96" s="10" t="inlineStr"/>
      <c r="H96" s="36" t="inlineStr">
        <is>
          <t>QE50QN80H</t>
        </is>
      </c>
      <c r="I96" s="9">
        <f>IF(J96="","",J96-K96)</f>
        <v/>
      </c>
      <c r="J96" s="9" t="n">
        <v>1299.95</v>
      </c>
      <c r="K96" s="9" t="n">
        <v>0</v>
      </c>
      <c r="L96" s="10" t="inlineStr"/>
      <c r="M96" s="36" t="inlineStr">
        <is>
          <t>QE50QN80HAUXXN</t>
        </is>
      </c>
      <c r="N96" s="9">
        <f>IF(O96="","",O96-P96)</f>
        <v/>
      </c>
      <c r="O96" s="9" t="n">
        <v>1230</v>
      </c>
      <c r="P96" s="9" t="n">
        <v>0</v>
      </c>
      <c r="Q96" s="10" t="inlineStr"/>
    </row>
    <row r="97" ht="19.95" customHeight="1" s="14">
      <c r="A97" s="7" t="inlineStr"/>
      <c r="B97" s="7" t="n"/>
      <c r="C97" s="8" t="inlineStr"/>
      <c r="D97" s="9" t="inlineStr"/>
      <c r="E97" s="9" t="inlineStr"/>
      <c r="F97" s="9" t="inlineStr"/>
      <c r="G97" s="10" t="inlineStr"/>
      <c r="H97" s="8" t="inlineStr"/>
      <c r="I97" s="9" t="inlineStr"/>
      <c r="J97" s="9" t="inlineStr"/>
      <c r="K97" s="9" t="inlineStr"/>
      <c r="L97" s="10" t="inlineStr"/>
      <c r="M97" s="8" t="inlineStr"/>
      <c r="N97" s="9" t="inlineStr"/>
      <c r="O97" s="9" t="inlineStr"/>
      <c r="P97" s="9" t="inlineStr"/>
      <c r="Q97" s="10" t="inlineStr"/>
    </row>
    <row r="98" ht="19.95" customHeight="1" s="14">
      <c r="A98" s="35" t="inlineStr">
        <is>
          <t>QLED</t>
        </is>
      </c>
      <c r="B98" s="35" t="inlineStr">
        <is>
          <t>85QN70H</t>
        </is>
      </c>
      <c r="C98" s="36" t="inlineStr"/>
      <c r="D98" s="9">
        <f>IF(E98="","",E98-F98)</f>
        <v/>
      </c>
      <c r="E98" s="9" t="inlineStr"/>
      <c r="F98" s="9" t="inlineStr"/>
      <c r="G98" s="10" t="inlineStr"/>
      <c r="H98" s="36" t="inlineStr"/>
      <c r="I98" s="9">
        <f>IF(J98="","",J98-K98)</f>
        <v/>
      </c>
      <c r="J98" s="9" t="inlineStr"/>
      <c r="K98" s="9" t="inlineStr"/>
      <c r="L98" s="10" t="inlineStr"/>
      <c r="M98" s="36" t="inlineStr"/>
      <c r="N98" s="9">
        <f>IF(O98="","",O98-P98)</f>
        <v/>
      </c>
      <c r="O98" s="9" t="inlineStr"/>
      <c r="P98" s="9" t="inlineStr"/>
      <c r="Q98" s="10" t="inlineStr"/>
    </row>
    <row r="99" ht="19.95" customHeight="1" s="14">
      <c r="A99" s="35" t="inlineStr">
        <is>
          <t>QLED</t>
        </is>
      </c>
      <c r="B99" s="35" t="inlineStr">
        <is>
          <t>75QN70H</t>
        </is>
      </c>
      <c r="C99" s="36" t="inlineStr"/>
      <c r="D99" s="9">
        <f>IF(E99="","",E99-F99)</f>
        <v/>
      </c>
      <c r="E99" s="9" t="inlineStr"/>
      <c r="F99" s="9" t="inlineStr"/>
      <c r="G99" s="10" t="inlineStr"/>
      <c r="H99" s="36" t="inlineStr"/>
      <c r="I99" s="9">
        <f>IF(J99="","",J99-K99)</f>
        <v/>
      </c>
      <c r="J99" s="9" t="inlineStr"/>
      <c r="K99" s="9" t="inlineStr"/>
      <c r="L99" s="10" t="inlineStr"/>
      <c r="M99" s="36" t="inlineStr"/>
      <c r="N99" s="9">
        <f>IF(O99="","",O99-P99)</f>
        <v/>
      </c>
      <c r="O99" s="9" t="inlineStr"/>
      <c r="P99" s="9" t="inlineStr"/>
      <c r="Q99" s="10" t="inlineStr"/>
    </row>
    <row r="100" ht="19.95" customHeight="1" s="14">
      <c r="A100" s="35" t="inlineStr">
        <is>
          <t>QLED</t>
        </is>
      </c>
      <c r="B100" s="35" t="inlineStr">
        <is>
          <t>65QN70H</t>
        </is>
      </c>
      <c r="C100" s="36" t="inlineStr"/>
      <c r="D100" s="9">
        <f>IF(E100="","",E100-F100)</f>
        <v/>
      </c>
      <c r="E100" s="9" t="inlineStr"/>
      <c r="F100" s="9" t="inlineStr"/>
      <c r="G100" s="10" t="inlineStr"/>
      <c r="H100" s="36" t="inlineStr"/>
      <c r="I100" s="9">
        <f>IF(J100="","",J100-K100)</f>
        <v/>
      </c>
      <c r="J100" s="9" t="inlineStr"/>
      <c r="K100" s="9" t="inlineStr"/>
      <c r="L100" s="10" t="inlineStr"/>
      <c r="M100" s="36" t="inlineStr"/>
      <c r="N100" s="9">
        <f>IF(O100="","",O100-P100)</f>
        <v/>
      </c>
      <c r="O100" s="9" t="inlineStr"/>
      <c r="P100" s="9" t="inlineStr"/>
      <c r="Q100" s="10" t="inlineStr"/>
    </row>
    <row r="101" ht="19.95" customHeight="1" s="14">
      <c r="A101" s="35" t="inlineStr">
        <is>
          <t>QLED</t>
        </is>
      </c>
      <c r="B101" s="35" t="inlineStr">
        <is>
          <t>55QN70H</t>
        </is>
      </c>
      <c r="C101" s="36" t="inlineStr"/>
      <c r="D101" s="9">
        <f>IF(E101="","",E101-F101)</f>
        <v/>
      </c>
      <c r="E101" s="9" t="inlineStr"/>
      <c r="F101" s="9" t="inlineStr"/>
      <c r="G101" s="10" t="inlineStr"/>
      <c r="H101" s="36" t="inlineStr"/>
      <c r="I101" s="9">
        <f>IF(J101="","",J101-K101)</f>
        <v/>
      </c>
      <c r="J101" s="9" t="inlineStr"/>
      <c r="K101" s="9" t="inlineStr"/>
      <c r="L101" s="10" t="inlineStr"/>
      <c r="M101" s="36" t="inlineStr"/>
      <c r="N101" s="9">
        <f>IF(O101="","",O101-P101)</f>
        <v/>
      </c>
      <c r="O101" s="9" t="inlineStr"/>
      <c r="P101" s="9" t="inlineStr"/>
      <c r="Q101" s="10" t="inlineStr"/>
    </row>
    <row r="102" ht="19.95" customHeight="1" s="14">
      <c r="A102" s="35" t="inlineStr">
        <is>
          <t>QLED</t>
        </is>
      </c>
      <c r="B102" s="35" t="inlineStr">
        <is>
          <t>50QN70H</t>
        </is>
      </c>
      <c r="C102" s="36" t="inlineStr"/>
      <c r="D102" s="9">
        <f>IF(E102="","",E102-F102)</f>
        <v/>
      </c>
      <c r="E102" s="9" t="inlineStr"/>
      <c r="F102" s="9" t="inlineStr"/>
      <c r="G102" s="10" t="inlineStr"/>
      <c r="H102" s="36" t="inlineStr"/>
      <c r="I102" s="9">
        <f>IF(J102="","",J102-K102)</f>
        <v/>
      </c>
      <c r="J102" s="9" t="inlineStr"/>
      <c r="K102" s="9" t="inlineStr"/>
      <c r="L102" s="10" t="inlineStr"/>
      <c r="M102" s="36" t="inlineStr"/>
      <c r="N102" s="9">
        <f>IF(O102="","",O102-P102)</f>
        <v/>
      </c>
      <c r="O102" s="9" t="inlineStr"/>
      <c r="P102" s="9" t="inlineStr"/>
      <c r="Q102" s="10" t="inlineStr"/>
    </row>
    <row r="103" ht="19.95" customHeight="1" s="14">
      <c r="A103" s="35" t="inlineStr">
        <is>
          <t>QLED</t>
        </is>
      </c>
      <c r="B103" s="35" t="inlineStr">
        <is>
          <t>43QN70H</t>
        </is>
      </c>
      <c r="C103" s="36" t="inlineStr"/>
      <c r="D103" s="11">
        <f>IF(E103="","",E103-F103)</f>
        <v/>
      </c>
      <c r="E103" s="12" t="inlineStr"/>
      <c r="F103" s="12" t="inlineStr"/>
      <c r="G103" s="10" t="inlineStr"/>
      <c r="H103" s="36" t="inlineStr"/>
      <c r="I103" s="11">
        <f>IF(J103="","",J103-K103)</f>
        <v/>
      </c>
      <c r="J103" s="12" t="inlineStr"/>
      <c r="K103" s="12" t="inlineStr"/>
      <c r="L103" s="10" t="inlineStr"/>
      <c r="M103" s="36" t="inlineStr"/>
      <c r="N103" s="11">
        <f>IF(O103="","",O103-P103)</f>
        <v/>
      </c>
      <c r="O103" s="12" t="inlineStr"/>
      <c r="P103" s="12" t="inlineStr"/>
      <c r="Q103" s="10" t="inlineStr"/>
    </row>
    <row r="104" ht="19.95" customHeight="1" s="14">
      <c r="A104" s="7" t="inlineStr"/>
      <c r="B104" s="7" t="n"/>
      <c r="C104" s="8" t="inlineStr"/>
      <c r="D104" s="11" t="inlineStr"/>
      <c r="E104" s="12" t="inlineStr"/>
      <c r="F104" s="12" t="inlineStr"/>
      <c r="G104" s="10" t="inlineStr"/>
      <c r="H104" s="8" t="inlineStr"/>
      <c r="I104" s="11" t="inlineStr"/>
      <c r="J104" s="12" t="inlineStr"/>
      <c r="K104" s="12" t="inlineStr"/>
      <c r="L104" s="10" t="inlineStr"/>
      <c r="M104" s="8" t="inlineStr"/>
      <c r="N104" s="11" t="inlineStr"/>
      <c r="O104" s="12" t="inlineStr"/>
      <c r="P104" s="12" t="inlineStr"/>
      <c r="Q104" s="10" t="inlineStr"/>
    </row>
    <row r="105" ht="19.95" customHeight="1" s="14">
      <c r="A105" s="35" t="inlineStr">
        <is>
          <t>QLED</t>
        </is>
      </c>
      <c r="B105" s="35" t="inlineStr">
        <is>
          <t>85M80H</t>
        </is>
      </c>
      <c r="C105" s="36" t="inlineStr"/>
      <c r="D105" s="9">
        <f>IF(E105="","",E105-F105)</f>
        <v/>
      </c>
      <c r="E105" s="9" t="inlineStr"/>
      <c r="F105" s="9" t="inlineStr"/>
      <c r="G105" s="10" t="inlineStr"/>
      <c r="H105" s="36" t="inlineStr"/>
      <c r="I105" s="9">
        <f>IF(J105="","",J105-K105)</f>
        <v/>
      </c>
      <c r="J105" s="9" t="inlineStr"/>
      <c r="K105" s="9" t="inlineStr"/>
      <c r="L105" s="10" t="inlineStr"/>
      <c r="M105" s="36" t="inlineStr"/>
      <c r="N105" s="9">
        <f>IF(O105="","",O105-P105)</f>
        <v/>
      </c>
      <c r="O105" s="9" t="inlineStr"/>
      <c r="P105" s="9" t="inlineStr"/>
      <c r="Q105" s="10" t="inlineStr"/>
    </row>
    <row r="106" ht="19.95" customHeight="1" s="14">
      <c r="A106" s="35" t="inlineStr">
        <is>
          <t>QLED</t>
        </is>
      </c>
      <c r="B106" s="35" t="inlineStr">
        <is>
          <t>75M80H</t>
        </is>
      </c>
      <c r="C106" s="36" t="inlineStr"/>
      <c r="D106" s="9">
        <f>IF(E106="","",E106-F106)</f>
        <v/>
      </c>
      <c r="E106" s="9" t="inlineStr"/>
      <c r="F106" s="9" t="inlineStr"/>
      <c r="G106" s="10" t="inlineStr"/>
      <c r="H106" s="36" t="inlineStr"/>
      <c r="I106" s="9">
        <f>IF(J106="","",J106-K106)</f>
        <v/>
      </c>
      <c r="J106" s="9" t="inlineStr"/>
      <c r="K106" s="9" t="inlineStr"/>
      <c r="L106" s="10" t="inlineStr"/>
      <c r="M106" s="36" t="inlineStr"/>
      <c r="N106" s="9">
        <f>IF(O106="","",O106-P106)</f>
        <v/>
      </c>
      <c r="O106" s="9" t="inlineStr"/>
      <c r="P106" s="9" t="inlineStr"/>
      <c r="Q106" s="10" t="inlineStr"/>
    </row>
    <row r="107" ht="19.95" customHeight="1" s="14">
      <c r="A107" s="35" t="inlineStr">
        <is>
          <t>QLED</t>
        </is>
      </c>
      <c r="B107" s="35" t="inlineStr">
        <is>
          <t>65M80H</t>
        </is>
      </c>
      <c r="C107" s="36" t="inlineStr"/>
      <c r="D107" s="9">
        <f>IF(E107="","",E107-F107)</f>
        <v/>
      </c>
      <c r="E107" s="9" t="inlineStr"/>
      <c r="F107" s="9" t="inlineStr"/>
      <c r="G107" s="10" t="inlineStr"/>
      <c r="H107" s="36" t="inlineStr"/>
      <c r="I107" s="9">
        <f>IF(J107="","",J107-K107)</f>
        <v/>
      </c>
      <c r="J107" s="9" t="inlineStr"/>
      <c r="K107" s="9" t="inlineStr"/>
      <c r="L107" s="10" t="inlineStr"/>
      <c r="M107" s="36" t="inlineStr"/>
      <c r="N107" s="9">
        <f>IF(O107="","",O107-P107)</f>
        <v/>
      </c>
      <c r="O107" s="9" t="inlineStr"/>
      <c r="P107" s="9" t="inlineStr"/>
      <c r="Q107" s="10" t="inlineStr"/>
    </row>
    <row r="108" ht="19.95" customHeight="1" s="14">
      <c r="A108" s="35" t="inlineStr">
        <is>
          <t>QLED</t>
        </is>
      </c>
      <c r="B108" s="35" t="inlineStr">
        <is>
          <t>55M80H</t>
        </is>
      </c>
      <c r="C108" s="36" t="inlineStr"/>
      <c r="D108" s="9">
        <f>IF(E108="","",E108-F108)</f>
        <v/>
      </c>
      <c r="E108" s="9" t="inlineStr"/>
      <c r="F108" s="9" t="inlineStr"/>
      <c r="G108" s="10" t="inlineStr"/>
      <c r="H108" s="36" t="inlineStr"/>
      <c r="I108" s="9">
        <f>IF(J108="","",J108-K108)</f>
        <v/>
      </c>
      <c r="J108" s="9" t="inlineStr"/>
      <c r="K108" s="9" t="inlineStr"/>
      <c r="L108" s="10" t="inlineStr"/>
      <c r="M108" s="36" t="inlineStr"/>
      <c r="N108" s="9">
        <f>IF(O108="","",O108-P108)</f>
        <v/>
      </c>
      <c r="O108" s="9" t="inlineStr"/>
      <c r="P108" s="9" t="inlineStr"/>
      <c r="Q108" s="10" t="inlineStr"/>
    </row>
    <row r="109" ht="19.95" customHeight="1" s="14">
      <c r="A109" s="35" t="inlineStr">
        <is>
          <t>QLED</t>
        </is>
      </c>
      <c r="B109" s="35" t="inlineStr">
        <is>
          <t>50M80H</t>
        </is>
      </c>
      <c r="C109" s="36" t="inlineStr"/>
      <c r="D109" s="9">
        <f>IF(E109="","",E109-F109)</f>
        <v/>
      </c>
      <c r="E109" s="9" t="inlineStr"/>
      <c r="F109" s="9" t="inlineStr"/>
      <c r="G109" s="10" t="inlineStr"/>
      <c r="H109" s="36" t="inlineStr"/>
      <c r="I109" s="9">
        <f>IF(J109="","",J109-K109)</f>
        <v/>
      </c>
      <c r="J109" s="9" t="inlineStr"/>
      <c r="K109" s="9" t="inlineStr"/>
      <c r="L109" s="10" t="inlineStr"/>
      <c r="M109" s="36" t="inlineStr"/>
      <c r="N109" s="9">
        <f>IF(O109="","",O109-P109)</f>
        <v/>
      </c>
      <c r="O109" s="9" t="inlineStr"/>
      <c r="P109" s="9" t="inlineStr"/>
      <c r="Q109" s="10" t="inlineStr"/>
    </row>
    <row r="110" ht="19.95" customHeight="1" s="14">
      <c r="A110" s="35" t="inlineStr">
        <is>
          <t>QLED</t>
        </is>
      </c>
      <c r="B110" s="35" t="inlineStr">
        <is>
          <t>43M80H</t>
        </is>
      </c>
      <c r="C110" s="36" t="inlineStr"/>
      <c r="D110" s="9">
        <f>IF(E110="","",E110-F110)</f>
        <v/>
      </c>
      <c r="E110" s="9" t="inlineStr"/>
      <c r="F110" s="9" t="inlineStr"/>
      <c r="G110" s="10" t="inlineStr"/>
      <c r="H110" s="36" t="inlineStr"/>
      <c r="I110" s="9">
        <f>IF(J110="","",J110-K110)</f>
        <v/>
      </c>
      <c r="J110" s="9" t="inlineStr"/>
      <c r="K110" s="9" t="inlineStr"/>
      <c r="L110" s="10" t="inlineStr"/>
      <c r="M110" s="36" t="inlineStr"/>
      <c r="N110" s="9">
        <f>IF(O110="","",O110-P110)</f>
        <v/>
      </c>
      <c r="O110" s="9" t="inlineStr"/>
      <c r="P110" s="9" t="inlineStr"/>
      <c r="Q110" s="10" t="inlineStr"/>
    </row>
    <row r="111" ht="19.95" customHeight="1" s="14">
      <c r="A111" s="7" t="inlineStr"/>
      <c r="B111" s="7" t="n"/>
      <c r="C111" s="8" t="inlineStr"/>
      <c r="D111" s="11" t="inlineStr"/>
      <c r="E111" s="12" t="inlineStr"/>
      <c r="F111" s="12" t="inlineStr"/>
      <c r="G111" s="10" t="inlineStr"/>
      <c r="H111" s="8" t="inlineStr"/>
      <c r="I111" s="11" t="inlineStr"/>
      <c r="J111" s="12" t="inlineStr"/>
      <c r="K111" s="12" t="inlineStr"/>
      <c r="L111" s="10" t="inlineStr"/>
      <c r="M111" s="8" t="inlineStr"/>
      <c r="N111" s="11" t="inlineStr"/>
      <c r="O111" s="12" t="inlineStr"/>
      <c r="P111" s="12" t="inlineStr"/>
      <c r="Q111" s="10" t="inlineStr"/>
    </row>
    <row r="112" ht="19.95" customHeight="1" s="14">
      <c r="A112" s="35" t="inlineStr">
        <is>
          <t>QLED</t>
        </is>
      </c>
      <c r="B112" s="35" t="inlineStr">
        <is>
          <t>85M70H</t>
        </is>
      </c>
      <c r="C112" s="36" t="inlineStr">
        <is>
          <t>85-MINI-LED-M70H-4K-MINI-LED-PROZESSOR-4K-VISION-AI-SMART-TV-2026</t>
        </is>
      </c>
      <c r="D112" s="9">
        <f>IF(E112="","",E112-F112)</f>
        <v/>
      </c>
      <c r="E112" s="9" t="n">
        <v>2499</v>
      </c>
      <c r="F112" s="9" t="n">
        <v>0</v>
      </c>
      <c r="G112" s="10" t="inlineStr"/>
      <c r="H112" s="36" t="inlineStr">
        <is>
          <t>UE85M70H</t>
        </is>
      </c>
      <c r="I112" s="9">
        <f>IF(J112="","",J112-K112)</f>
        <v/>
      </c>
      <c r="J112" s="9" t="n">
        <v>1299.95</v>
      </c>
      <c r="K112" s="9" t="n">
        <v>0</v>
      </c>
      <c r="L112" s="10" t="inlineStr"/>
      <c r="M112" s="36" t="inlineStr"/>
      <c r="N112" s="9">
        <f>IF(O112="","",O112-P112)</f>
        <v/>
      </c>
      <c r="O112" s="9" t="inlineStr"/>
      <c r="P112" s="9" t="inlineStr"/>
      <c r="Q112" s="10" t="inlineStr"/>
    </row>
    <row r="113" ht="19.95" customHeight="1" s="14">
      <c r="A113" s="35" t="inlineStr">
        <is>
          <t>QLED</t>
        </is>
      </c>
      <c r="B113" s="35" t="inlineStr">
        <is>
          <t>75M70H</t>
        </is>
      </c>
      <c r="C113" s="36" t="inlineStr">
        <is>
          <t>75-MINI-LED-M70H-4K-MINI-LED-PROZESSOR-4K-VISION-AI-SMART-TV-2026</t>
        </is>
      </c>
      <c r="D113" s="9">
        <f>IF(E113="","",E113-F113)</f>
        <v/>
      </c>
      <c r="E113" s="9" t="n">
        <v>1999</v>
      </c>
      <c r="F113" s="9" t="n">
        <v>0</v>
      </c>
      <c r="G113" s="10" t="inlineStr"/>
      <c r="H113" s="36" t="inlineStr">
        <is>
          <t>UE75M70H</t>
        </is>
      </c>
      <c r="I113" s="9">
        <f>IF(J113="","",J113-K113)</f>
        <v/>
      </c>
      <c r="J113" s="9" t="n">
        <v>1999.95</v>
      </c>
      <c r="K113" s="9" t="n">
        <v>0</v>
      </c>
      <c r="L113" s="10" t="inlineStr"/>
      <c r="M113" s="36" t="inlineStr">
        <is>
          <t>UE75M70HAUXXN</t>
        </is>
      </c>
      <c r="N113" s="9">
        <f>IF(O113="","",O113-P113)</f>
        <v/>
      </c>
      <c r="O113" s="9" t="n">
        <v>1199</v>
      </c>
      <c r="P113" s="9" t="n">
        <v>0</v>
      </c>
      <c r="Q113" s="10" t="inlineStr"/>
    </row>
    <row r="114" ht="19.95" customHeight="1" s="14">
      <c r="A114" s="35" t="inlineStr">
        <is>
          <t>QLED</t>
        </is>
      </c>
      <c r="B114" s="35" t="inlineStr">
        <is>
          <t>65M70H</t>
        </is>
      </c>
      <c r="C114" s="36" t="inlineStr">
        <is>
          <t>65-MINI-LED-M70H-4K-MINI-LED-PROZESSOR-4K-VISION-AI-SMART-TV-2026</t>
        </is>
      </c>
      <c r="D114" s="9">
        <f>IF(E114="","",E114-F114)</f>
        <v/>
      </c>
      <c r="E114" s="9" t="n">
        <v>1399</v>
      </c>
      <c r="F114" s="9" t="n">
        <v>0</v>
      </c>
      <c r="G114" s="10" t="inlineStr"/>
      <c r="H114" s="36" t="inlineStr">
        <is>
          <t>UE65M70H</t>
        </is>
      </c>
      <c r="I114" s="9">
        <f>IF(J114="","",J114-K114)</f>
        <v/>
      </c>
      <c r="J114" s="9" t="n">
        <v>1399.95</v>
      </c>
      <c r="K114" s="9" t="n">
        <v>0</v>
      </c>
      <c r="L114" s="10" t="inlineStr"/>
      <c r="M114" s="36" t="inlineStr">
        <is>
          <t>UE65M70HAUXXN</t>
        </is>
      </c>
      <c r="N114" s="9">
        <f>IF(O114="","",O114-P114)</f>
        <v/>
      </c>
      <c r="O114" s="9" t="n">
        <v>799</v>
      </c>
      <c r="P114" s="9" t="n">
        <v>0</v>
      </c>
      <c r="Q114" s="10" t="inlineStr"/>
    </row>
    <row r="115" ht="19.95" customHeight="1" s="14">
      <c r="A115" s="35" t="inlineStr">
        <is>
          <t>QLED</t>
        </is>
      </c>
      <c r="B115" s="35" t="inlineStr">
        <is>
          <t>55M70H</t>
        </is>
      </c>
      <c r="C115" s="36" t="inlineStr">
        <is>
          <t>55-MINI-LED-M70H-4K-MINI-LED-PROZESSOR-4K-VISION-AI-SMART-TV-2026</t>
        </is>
      </c>
      <c r="D115" s="9">
        <f>IF(E115="","",E115-F115)</f>
        <v/>
      </c>
      <c r="E115" s="9" t="n">
        <v>1199</v>
      </c>
      <c r="F115" s="9" t="n">
        <v>0</v>
      </c>
      <c r="G115" s="10" t="inlineStr"/>
      <c r="H115" s="36" t="inlineStr">
        <is>
          <t>UE55M70H</t>
        </is>
      </c>
      <c r="I115" s="9">
        <f>IF(J115="","",J115-K115)</f>
        <v/>
      </c>
      <c r="J115" s="9" t="n">
        <v>899.95</v>
      </c>
      <c r="K115" s="9" t="n">
        <v>0</v>
      </c>
      <c r="L115" s="10" t="inlineStr"/>
      <c r="M115" s="36" t="inlineStr">
        <is>
          <t>UE55M70HAUXXN</t>
        </is>
      </c>
      <c r="N115" s="9">
        <f>IF(O115="","",O115-P115)</f>
        <v/>
      </c>
      <c r="O115" s="9" t="n">
        <v>699</v>
      </c>
      <c r="P115" s="9" t="n">
        <v>0</v>
      </c>
      <c r="Q115" s="10" t="inlineStr"/>
    </row>
    <row r="116" ht="19.95" customHeight="1" s="14">
      <c r="A116" s="35" t="inlineStr">
        <is>
          <t>QLED</t>
        </is>
      </c>
      <c r="B116" s="35" t="inlineStr">
        <is>
          <t>50M70H</t>
        </is>
      </c>
      <c r="C116" s="36" t="inlineStr">
        <is>
          <t>50-MINI-LED-M70H-4K-MINI-LED-PROZESSOR-4K-VISION-AI-SMART-TV-2026</t>
        </is>
      </c>
      <c r="D116" s="9">
        <f>IF(E116="","",E116-F116)</f>
        <v/>
      </c>
      <c r="E116" s="9" t="n">
        <v>1099</v>
      </c>
      <c r="F116" s="9" t="n">
        <v>0</v>
      </c>
      <c r="G116" s="10" t="inlineStr"/>
      <c r="H116" s="36" t="inlineStr">
        <is>
          <t>UE50M70H</t>
        </is>
      </c>
      <c r="I116" s="9">
        <f>IF(J116="","",J116-K116)</f>
        <v/>
      </c>
      <c r="J116" s="9" t="n">
        <v>1099.95</v>
      </c>
      <c r="K116" s="9" t="n">
        <v>0</v>
      </c>
      <c r="L116" s="10" t="inlineStr"/>
      <c r="M116" s="36" t="inlineStr">
        <is>
          <t>UE50M70HAUXXN</t>
        </is>
      </c>
      <c r="N116" s="9">
        <f>IF(O116="","",O116-P116)</f>
        <v/>
      </c>
      <c r="O116" s="9" t="n">
        <v>599</v>
      </c>
      <c r="P116" s="9" t="n">
        <v>0</v>
      </c>
      <c r="Q116" s="10" t="inlineStr"/>
    </row>
    <row r="117" ht="19.95" customHeight="1" s="14">
      <c r="A117" s="35" t="inlineStr">
        <is>
          <t>QLED</t>
        </is>
      </c>
      <c r="B117" s="35" t="inlineStr">
        <is>
          <t>43M70H</t>
        </is>
      </c>
      <c r="C117" s="36" t="inlineStr">
        <is>
          <t>43-MINI-LED-M70H-4K-MINI-LED-PROZESSOR-4K-VISION-AI-SMART-TV-2026</t>
        </is>
      </c>
      <c r="D117" s="9">
        <f>IF(E117="","",E117-F117)</f>
        <v/>
      </c>
      <c r="E117" s="9" t="n">
        <v>999</v>
      </c>
      <c r="F117" s="9" t="n">
        <v>0</v>
      </c>
      <c r="G117" s="10" t="inlineStr"/>
      <c r="H117" s="36" t="inlineStr">
        <is>
          <t>UE43M70H</t>
        </is>
      </c>
      <c r="I117" s="9">
        <f>IF(J117="","",J117-K117)</f>
        <v/>
      </c>
      <c r="J117" s="9" t="n">
        <v>999.95</v>
      </c>
      <c r="K117" s="9" t="n">
        <v>0</v>
      </c>
      <c r="L117" s="10" t="inlineStr"/>
      <c r="M117" s="36" t="inlineStr">
        <is>
          <t>UE43M70HAUXXN</t>
        </is>
      </c>
      <c r="N117" s="9">
        <f>IF(O117="","",O117-P117)</f>
        <v/>
      </c>
      <c r="O117" s="9" t="n">
        <v>549</v>
      </c>
      <c r="P117" s="9" t="n">
        <v>0</v>
      </c>
      <c r="Q117" s="10" t="inlineStr"/>
    </row>
    <row r="118" ht="19.95" customHeight="1" s="14">
      <c r="A118" s="7" t="inlineStr"/>
      <c r="B118" s="7" t="n"/>
      <c r="C118" s="8" t="inlineStr"/>
      <c r="D118" s="9" t="inlineStr"/>
      <c r="E118" s="9" t="inlineStr"/>
      <c r="F118" s="9" t="inlineStr"/>
      <c r="G118" s="10" t="inlineStr"/>
      <c r="H118" s="8" t="inlineStr"/>
      <c r="I118" s="9" t="inlineStr"/>
      <c r="J118" s="9" t="inlineStr"/>
      <c r="K118" s="9" t="inlineStr"/>
      <c r="L118" s="10" t="inlineStr"/>
      <c r="M118" s="8" t="inlineStr"/>
      <c r="N118" s="9" t="inlineStr"/>
      <c r="O118" s="9" t="inlineStr"/>
      <c r="P118" s="9" t="inlineStr"/>
      <c r="Q118" s="10" t="inlineStr"/>
    </row>
    <row r="119" ht="19.95" customHeight="1" s="14">
      <c r="A119" s="34" t="inlineStr">
        <is>
          <t>UHD 4K</t>
        </is>
      </c>
      <c r="B119" s="34" t="inlineStr">
        <is>
          <t>86NU85</t>
        </is>
      </c>
      <c r="C119" s="26" t="inlineStr"/>
      <c r="D119" s="27">
        <f>IF(E119="","",E119-F119)</f>
        <v/>
      </c>
      <c r="E119" s="28" t="inlineStr"/>
      <c r="F119" s="28" t="inlineStr"/>
      <c r="G119" s="29">
        <f>IFERROR(D119/D4,"")</f>
        <v/>
      </c>
      <c r="H119" s="26" t="inlineStr"/>
      <c r="I119" s="27">
        <f>IF(J119="","",J119-K119)</f>
        <v/>
      </c>
      <c r="J119" s="28" t="inlineStr"/>
      <c r="K119" s="28" t="inlineStr"/>
      <c r="L119" s="29">
        <f>IFERROR(I119/I4,"")</f>
        <v/>
      </c>
      <c r="M119" s="26" t="inlineStr"/>
      <c r="N119" s="27">
        <f>IF(O119="","",O119-P119)</f>
        <v/>
      </c>
      <c r="O119" s="28" t="inlineStr"/>
      <c r="P119" s="28" t="inlineStr"/>
      <c r="Q119" s="29">
        <f>IFERROR(N119/N4,"")</f>
        <v/>
      </c>
    </row>
    <row r="120" ht="19.95" customHeight="1" s="14">
      <c r="A120" s="34" t="inlineStr">
        <is>
          <t>UHD 4K</t>
        </is>
      </c>
      <c r="B120" s="34" t="inlineStr">
        <is>
          <t>75NU85</t>
        </is>
      </c>
      <c r="C120" s="26" t="inlineStr"/>
      <c r="D120" s="30">
        <f>IF(E120="","",E120-F120)</f>
        <v/>
      </c>
      <c r="E120" s="30" t="inlineStr"/>
      <c r="F120" s="30" t="inlineStr"/>
      <c r="G120" s="29">
        <f>IFERROR(D120/D5,"")</f>
        <v/>
      </c>
      <c r="H120" s="26" t="inlineStr"/>
      <c r="I120" s="30">
        <f>IF(J120="","",J120-K120)</f>
        <v/>
      </c>
      <c r="J120" s="30" t="inlineStr"/>
      <c r="K120" s="30" t="inlineStr"/>
      <c r="L120" s="29">
        <f>IFERROR(I120/I5,"")</f>
        <v/>
      </c>
      <c r="M120" s="26" t="inlineStr"/>
      <c r="N120" s="30">
        <f>IF(O120="","",O120-P120)</f>
        <v/>
      </c>
      <c r="O120" s="30" t="inlineStr"/>
      <c r="P120" s="30" t="inlineStr"/>
      <c r="Q120" s="29">
        <f>IFERROR(N120/N5,"")</f>
        <v/>
      </c>
    </row>
    <row r="121" ht="19.95" customHeight="1" s="14">
      <c r="A121" s="34" t="inlineStr">
        <is>
          <t>UHD 4K</t>
        </is>
      </c>
      <c r="B121" s="34" t="inlineStr">
        <is>
          <t>65NU85</t>
        </is>
      </c>
      <c r="C121" s="26" t="inlineStr"/>
      <c r="D121" s="30">
        <f>IF(E121="","",E121-F121)</f>
        <v/>
      </c>
      <c r="E121" s="30" t="inlineStr"/>
      <c r="F121" s="30" t="inlineStr"/>
      <c r="G121" s="29">
        <f>IFERROR(D121/D6,"")</f>
        <v/>
      </c>
      <c r="H121" s="26" t="inlineStr"/>
      <c r="I121" s="30">
        <f>IF(J121="","",J121-K121)</f>
        <v/>
      </c>
      <c r="J121" s="30" t="inlineStr"/>
      <c r="K121" s="30" t="inlineStr"/>
      <c r="L121" s="29">
        <f>IFERROR(I121/I6,"")</f>
        <v/>
      </c>
      <c r="M121" s="26" t="inlineStr"/>
      <c r="N121" s="30">
        <f>IF(O121="","",O121-P121)</f>
        <v/>
      </c>
      <c r="O121" s="30" t="inlineStr"/>
      <c r="P121" s="30" t="inlineStr"/>
      <c r="Q121" s="29">
        <f>IFERROR(N121/N6,"")</f>
        <v/>
      </c>
    </row>
    <row r="122" ht="19.95" customHeight="1" s="14">
      <c r="A122" s="34" t="inlineStr">
        <is>
          <t>UHD 4K</t>
        </is>
      </c>
      <c r="B122" s="34" t="inlineStr">
        <is>
          <t>55NU85</t>
        </is>
      </c>
      <c r="C122" s="26" t="inlineStr"/>
      <c r="D122" s="30">
        <f>IF(E122="","",E122-F122)</f>
        <v/>
      </c>
      <c r="E122" s="30" t="inlineStr"/>
      <c r="F122" s="30" t="inlineStr"/>
      <c r="G122" s="29">
        <f>IFERROR(D122/D7,"")</f>
        <v/>
      </c>
      <c r="H122" s="26" t="inlineStr"/>
      <c r="I122" s="30">
        <f>IF(J122="","",J122-K122)</f>
        <v/>
      </c>
      <c r="J122" s="30" t="inlineStr"/>
      <c r="K122" s="30" t="inlineStr"/>
      <c r="L122" s="29">
        <f>IFERROR(I122/I7,"")</f>
        <v/>
      </c>
      <c r="M122" s="26" t="inlineStr"/>
      <c r="N122" s="30">
        <f>IF(O122="","",O122-P122)</f>
        <v/>
      </c>
      <c r="O122" s="30" t="inlineStr"/>
      <c r="P122" s="30" t="inlineStr"/>
      <c r="Q122" s="29">
        <f>IFERROR(N122/N7,"")</f>
        <v/>
      </c>
    </row>
    <row r="123" ht="19.95" customHeight="1" s="14">
      <c r="A123" s="34" t="inlineStr">
        <is>
          <t>UHD 4K</t>
        </is>
      </c>
      <c r="B123" s="34" t="inlineStr">
        <is>
          <t>50NU85</t>
        </is>
      </c>
      <c r="C123" s="26" t="inlineStr"/>
      <c r="D123" s="28">
        <f>IF(E123="","",E123-F123)</f>
        <v/>
      </c>
      <c r="E123" s="28" t="inlineStr"/>
      <c r="F123" s="28" t="inlineStr"/>
      <c r="G123" s="29">
        <f>IFERROR(D123/D7,"")</f>
        <v/>
      </c>
      <c r="H123" s="26" t="inlineStr"/>
      <c r="I123" s="28">
        <f>IF(J123="","",J123-K123)</f>
        <v/>
      </c>
      <c r="J123" s="28" t="inlineStr"/>
      <c r="K123" s="28" t="inlineStr"/>
      <c r="L123" s="29">
        <f>IFERROR(I123/I7,"")</f>
        <v/>
      </c>
      <c r="M123" s="26" t="inlineStr"/>
      <c r="N123" s="28">
        <f>IF(O123="","",O123-P123)</f>
        <v/>
      </c>
      <c r="O123" s="28" t="inlineStr"/>
      <c r="P123" s="28" t="inlineStr"/>
      <c r="Q123" s="29">
        <f>IFERROR(N123/N7,"")</f>
        <v/>
      </c>
    </row>
    <row r="124" ht="19.95" customHeight="1" s="14">
      <c r="A124" s="34" t="inlineStr">
        <is>
          <t>UHD 4K</t>
        </is>
      </c>
      <c r="B124" s="34" t="inlineStr">
        <is>
          <t>43NU85</t>
        </is>
      </c>
      <c r="C124" s="26" t="inlineStr"/>
      <c r="D124" s="28">
        <f>IF(E124="","",E124-F124)</f>
        <v/>
      </c>
      <c r="E124" s="28" t="inlineStr"/>
      <c r="F124" s="28" t="inlineStr"/>
      <c r="G124" s="29">
        <f>IFERROR(D124/D7,"")</f>
        <v/>
      </c>
      <c r="H124" s="26" t="inlineStr"/>
      <c r="I124" s="28">
        <f>IF(J124="","",J124-K124)</f>
        <v/>
      </c>
      <c r="J124" s="28" t="inlineStr"/>
      <c r="K124" s="28" t="inlineStr"/>
      <c r="L124" s="29">
        <f>IFERROR(I124/I7,"")</f>
        <v/>
      </c>
      <c r="M124" s="26" t="inlineStr"/>
      <c r="N124" s="28">
        <f>IF(O124="","",O124-P124)</f>
        <v/>
      </c>
      <c r="O124" s="28" t="inlineStr"/>
      <c r="P124" s="28" t="inlineStr"/>
      <c r="Q124" s="29">
        <f>IFERROR(N124/N7,"")</f>
        <v/>
      </c>
    </row>
    <row r="125" ht="19.95" customFormat="1" customHeight="1" s="24">
      <c r="A125" s="20" t="inlineStr"/>
      <c r="B125" s="20" t="n"/>
      <c r="C125" s="21" t="inlineStr"/>
      <c r="D125" s="31" t="inlineStr"/>
      <c r="E125" s="31" t="inlineStr"/>
      <c r="F125" s="31" t="inlineStr"/>
      <c r="G125" s="23" t="inlineStr"/>
      <c r="H125" s="21" t="inlineStr"/>
      <c r="I125" s="31" t="inlineStr"/>
      <c r="J125" s="31" t="inlineStr"/>
      <c r="K125" s="31" t="inlineStr"/>
      <c r="L125" s="23" t="inlineStr"/>
      <c r="M125" s="21" t="inlineStr"/>
      <c r="N125" s="31" t="inlineStr"/>
      <c r="O125" s="31" t="inlineStr"/>
      <c r="P125" s="31" t="inlineStr"/>
      <c r="Q125" s="23" t="inlineStr"/>
    </row>
    <row r="126" ht="19.95" customHeight="1" s="14">
      <c r="A126" s="35" t="inlineStr">
        <is>
          <t>UHD 4K</t>
        </is>
      </c>
      <c r="B126" s="35" t="inlineStr">
        <is>
          <t>85U8000H</t>
        </is>
      </c>
      <c r="C126" s="36" t="inlineStr">
        <is>
          <t>85-CRYSTAL-UHD-U8090H-4K-EDGE-LED-CRYSTAL-PROZESSOR-4K-VISION-AI-SMART-TV-2026</t>
        </is>
      </c>
      <c r="D126" s="9">
        <f>IF(E126="","",E126-F126)</f>
        <v/>
      </c>
      <c r="E126" s="9" t="n">
        <v>1599</v>
      </c>
      <c r="F126" s="9" t="n">
        <v>0</v>
      </c>
      <c r="G126" s="10" t="inlineStr"/>
      <c r="H126" s="36" t="inlineStr"/>
      <c r="I126" s="12">
        <f>IF(J126="","",J126-K126)</f>
        <v/>
      </c>
      <c r="J126" s="12" t="inlineStr"/>
      <c r="K126" s="12" t="inlineStr"/>
      <c r="L126" s="10" t="inlineStr"/>
      <c r="M126" s="36" t="inlineStr">
        <is>
          <t>UE85U8090HUXXN</t>
        </is>
      </c>
      <c r="N126" s="12">
        <f>IF(O126="","",O126-P126)</f>
        <v/>
      </c>
      <c r="O126" s="9" t="n">
        <v>1568</v>
      </c>
      <c r="P126" s="9" t="n">
        <v>0</v>
      </c>
      <c r="Q126" s="10" t="inlineStr"/>
    </row>
    <row r="127" ht="19.95" customHeight="1" s="14">
      <c r="A127" s="35" t="inlineStr">
        <is>
          <t>UHD 4K</t>
        </is>
      </c>
      <c r="B127" s="35" t="inlineStr">
        <is>
          <t>75U8000H</t>
        </is>
      </c>
      <c r="C127" s="36" t="inlineStr">
        <is>
          <t>75-CRYSTAL-UHD-U8090H-4K-EDGE-LED-CRYSTAL-PROZESSOR-4K-VISION-AI-SMART-TV-2026</t>
        </is>
      </c>
      <c r="D127" s="9">
        <f>IF(E127="","",E127-F127)</f>
        <v/>
      </c>
      <c r="E127" s="9" t="n">
        <v>1199</v>
      </c>
      <c r="F127" s="9" t="n">
        <v>0</v>
      </c>
      <c r="G127" s="10" t="inlineStr"/>
      <c r="H127" s="36" t="inlineStr">
        <is>
          <t>UE75U8090H</t>
        </is>
      </c>
      <c r="I127" s="12">
        <f>IF(J127="","",J127-K127)</f>
        <v/>
      </c>
      <c r="J127" s="9" t="n">
        <v>1199.95</v>
      </c>
      <c r="K127" s="9" t="n">
        <v>0</v>
      </c>
      <c r="L127" s="10" t="inlineStr"/>
      <c r="M127" s="36" t="inlineStr">
        <is>
          <t>UE75U8090HUXXN</t>
        </is>
      </c>
      <c r="N127" s="12">
        <f>IF(O127="","",O127-P127)</f>
        <v/>
      </c>
      <c r="O127" s="9" t="n">
        <v>1176</v>
      </c>
      <c r="P127" s="9" t="n">
        <v>0</v>
      </c>
      <c r="Q127" s="10" t="inlineStr"/>
    </row>
    <row r="128" ht="19.95" customHeight="1" s="14">
      <c r="A128" s="35" t="inlineStr">
        <is>
          <t>UHD 4K</t>
        </is>
      </c>
      <c r="B128" s="35" t="inlineStr">
        <is>
          <t>65U8000H</t>
        </is>
      </c>
      <c r="C128" s="36" t="inlineStr">
        <is>
          <t>65-CRYSTAL-UHD-U8090H-4K-EDGE-LED-CRYSTAL-PROZESSOR-4K-VISION-AI-SMART-TV-2026</t>
        </is>
      </c>
      <c r="D128" s="9">
        <f>IF(E128="","",E128-F128)</f>
        <v/>
      </c>
      <c r="E128" s="9" t="n">
        <v>799</v>
      </c>
      <c r="F128" s="9" t="n">
        <v>0</v>
      </c>
      <c r="G128" s="10" t="inlineStr"/>
      <c r="H128" s="36" t="inlineStr">
        <is>
          <t>UE65U8090H</t>
        </is>
      </c>
      <c r="I128" s="12">
        <f>IF(J128="","",J128-K128)</f>
        <v/>
      </c>
      <c r="J128" s="9" t="n">
        <v>799.95</v>
      </c>
      <c r="K128" s="9" t="n">
        <v>0</v>
      </c>
      <c r="L128" s="10" t="inlineStr"/>
      <c r="M128" s="36" t="inlineStr">
        <is>
          <t>UE65U8090HUXXN</t>
        </is>
      </c>
      <c r="N128" s="12">
        <f>IF(O128="","",O128-P128)</f>
        <v/>
      </c>
      <c r="O128" s="9" t="n">
        <v>799</v>
      </c>
      <c r="P128" s="9" t="n">
        <v>0</v>
      </c>
      <c r="Q128" s="10" t="inlineStr"/>
    </row>
    <row r="129" ht="19.95" customHeight="1" s="14">
      <c r="A129" s="35" t="inlineStr">
        <is>
          <t>UHD 4K</t>
        </is>
      </c>
      <c r="B129" s="35" t="inlineStr">
        <is>
          <t>55U8000H</t>
        </is>
      </c>
      <c r="C129" s="36" t="inlineStr">
        <is>
          <t>55-CRYSTAL-UHD-U8090H-4K-EDGE-LED-CRYSTAL-PROZESSOR-4K-VISION-AI-SMART-TV-2026</t>
        </is>
      </c>
      <c r="D129" s="9">
        <f>IF(E129="","",E129-F129)</f>
        <v/>
      </c>
      <c r="E129" s="9" t="n">
        <v>699</v>
      </c>
      <c r="F129" s="9" t="n">
        <v>0</v>
      </c>
      <c r="G129" s="10" t="inlineStr"/>
      <c r="H129" s="36" t="inlineStr">
        <is>
          <t>UE55U8090H</t>
        </is>
      </c>
      <c r="I129" s="12">
        <f>IF(J129="","",J129-K129)</f>
        <v/>
      </c>
      <c r="J129" s="9" t="n">
        <v>699.95</v>
      </c>
      <c r="K129" s="9" t="n">
        <v>0</v>
      </c>
      <c r="L129" s="10" t="inlineStr"/>
      <c r="M129" s="36" t="inlineStr">
        <is>
          <t>UE55U8090HUXXN</t>
        </is>
      </c>
      <c r="N129" s="12">
        <f>IF(O129="","",O129-P129)</f>
        <v/>
      </c>
      <c r="O129" s="9" t="n">
        <v>679</v>
      </c>
      <c r="P129" s="9" t="n">
        <v>0</v>
      </c>
      <c r="Q129" s="10" t="inlineStr"/>
    </row>
    <row r="130" ht="19.95" customHeight="1" s="14">
      <c r="A130" s="35" t="inlineStr">
        <is>
          <t>UHD 4K</t>
        </is>
      </c>
      <c r="B130" s="35" t="inlineStr">
        <is>
          <t>50U8000H</t>
        </is>
      </c>
      <c r="C130" s="36" t="inlineStr">
        <is>
          <t>50-CRYSTAL-UHD-U8090H-4K-EDGE-LED-CRYSTAL-PROZESSOR-4K-VISION-AI-SMART-TV-2026</t>
        </is>
      </c>
      <c r="D130" s="9">
        <f>IF(E130="","",E130-F130)</f>
        <v/>
      </c>
      <c r="E130" s="9" t="n">
        <v>599</v>
      </c>
      <c r="F130" s="9" t="n">
        <v>0</v>
      </c>
      <c r="G130" s="10" t="inlineStr"/>
      <c r="H130" s="36" t="inlineStr">
        <is>
          <t>UE50U8090H</t>
        </is>
      </c>
      <c r="I130" s="12">
        <f>IF(J130="","",J130-K130)</f>
        <v/>
      </c>
      <c r="J130" s="9" t="n">
        <v>599.95</v>
      </c>
      <c r="K130" s="9" t="n">
        <v>0</v>
      </c>
      <c r="L130" s="10" t="inlineStr"/>
      <c r="M130" s="36" t="inlineStr">
        <is>
          <t>UE50U8090HUXXN</t>
        </is>
      </c>
      <c r="N130" s="12">
        <f>IF(O130="","",O130-P130)</f>
        <v/>
      </c>
      <c r="O130" s="9" t="n">
        <v>579</v>
      </c>
      <c r="P130" s="9" t="n">
        <v>0</v>
      </c>
      <c r="Q130" s="10" t="inlineStr"/>
    </row>
    <row r="131" ht="19.95" customHeight="1" s="14">
      <c r="A131" s="35" t="inlineStr">
        <is>
          <t>UHD 4K</t>
        </is>
      </c>
      <c r="B131" s="35" t="inlineStr">
        <is>
          <t>43U8000H</t>
        </is>
      </c>
      <c r="C131" s="36" t="inlineStr">
        <is>
          <t>UE43U8090H</t>
        </is>
      </c>
      <c r="D131" s="9">
        <f>IF(E131="","",E131-F131)</f>
        <v/>
      </c>
      <c r="E131" s="9" t="n">
        <v>499</v>
      </c>
      <c r="F131" s="9" t="n">
        <v>0</v>
      </c>
      <c r="G131" s="10" t="inlineStr"/>
      <c r="H131" s="36" t="inlineStr">
        <is>
          <t>UE43U8090H</t>
        </is>
      </c>
      <c r="I131" s="12">
        <f>IF(J131="","",J131-K131)</f>
        <v/>
      </c>
      <c r="J131" s="9" t="n">
        <v>499.95</v>
      </c>
      <c r="K131" s="9" t="n">
        <v>0</v>
      </c>
      <c r="L131" s="10" t="inlineStr"/>
      <c r="M131" s="36" t="inlineStr"/>
      <c r="N131" s="12">
        <f>IF(O131="","",O131-P131)</f>
        <v/>
      </c>
      <c r="O131" s="12" t="inlineStr"/>
      <c r="P131" s="12" t="inlineStr"/>
      <c r="Q131" s="10" t="inlineStr"/>
    </row>
    <row r="132">
      <c r="A132" s="37" t="inlineStr">
        <is>
          <t>Display</t>
        </is>
      </c>
      <c r="B132" s="37" t="inlineStr">
        <is>
          <t>Series</t>
        </is>
      </c>
      <c r="C132" s="38" t="inlineStr">
        <is>
          <t>VLOOKUP Summary</t>
        </is>
      </c>
    </row>
    <row r="133">
      <c r="A133" s="37" t="inlineStr">
        <is>
          <t>OLED</t>
        </is>
      </c>
      <c r="B133" s="37" t="inlineStr">
        <is>
          <t>55G6</t>
        </is>
      </c>
      <c r="C133">
        <f>IF(VLOOKUP($B133,$B$4:$Q$131,2,FALSE)=0,"",VLOOKUP($B133,$B$4:$Q$131,2,FALSE))</f>
        <v/>
      </c>
      <c r="D133">
        <f>IF(E133="","",E133-F133)</f>
        <v/>
      </c>
      <c r="E133">
        <f>IF(ISNA(VLOOKUP($B133,$B$4:$Q$131,4,FALSE)),"",VLOOKUP($B133,$B$4:$Q$131,4,FALSE))</f>
        <v/>
      </c>
      <c r="F133">
        <f>IF(ISNA(VLOOKUP($B133,$B$4:$Q$131,5,FALSE)),"",VLOOKUP($B133,$B$4:$Q$131,5,FALSE))</f>
        <v/>
      </c>
      <c r="G133" s="39">
        <f>IFERROR(D133/D133,"")</f>
        <v/>
      </c>
      <c r="H133">
        <f>IF(VLOOKUP($B133,$B$4:$Q$131,7,FALSE)=0,"",VLOOKUP($B133,$B$4:$Q$131,7,FALSE))</f>
        <v/>
      </c>
      <c r="I133">
        <f>IF(J133="","",J133-K133)</f>
        <v/>
      </c>
      <c r="J133">
        <f>IF(ISNA(VLOOKUP($B133,$B$4:$Q$131,9,FALSE)),"",VLOOKUP($B133,$B$4:$Q$131,9,FALSE))</f>
        <v/>
      </c>
      <c r="K133">
        <f>IF(ISNA(VLOOKUP($B133,$B$4:$Q$131,10,FALSE)),"",VLOOKUP($B133,$B$4:$Q$131,10,FALSE))</f>
        <v/>
      </c>
      <c r="L133" s="39">
        <f>IFERROR(I133/I133,"")</f>
        <v/>
      </c>
      <c r="M133">
        <f>IF(VLOOKUP($B133,$B$4:$Q$131,12,FALSE)=0,"",VLOOKUP($B133,$B$4:$Q$131,12,FALSE))</f>
        <v/>
      </c>
      <c r="N133">
        <f>IF(O133="","",O133-P133)</f>
        <v/>
      </c>
      <c r="O133">
        <f>IF(ISNA(VLOOKUP($B133,$B$4:$Q$131,14,FALSE)),"",VLOOKUP($B133,$B$4:$Q$131,14,FALSE))</f>
        <v/>
      </c>
      <c r="P133">
        <f>IF(ISNA(VLOOKUP($B133,$B$4:$Q$131,15,FALSE)),"",VLOOKUP($B133,$B$4:$Q$131,15,FALSE))</f>
        <v/>
      </c>
      <c r="Q133" s="39">
        <f>IFERROR(N133/N133,"")</f>
        <v/>
      </c>
    </row>
    <row r="134">
      <c r="A134" s="37" t="inlineStr">
        <is>
          <t>OLED</t>
        </is>
      </c>
      <c r="B134" s="37" t="inlineStr">
        <is>
          <t>55C6</t>
        </is>
      </c>
      <c r="C134">
        <f>IF(VLOOKUP($B134,$B$4:$Q$131,2,FALSE)=0,"",VLOOKUP($B134,$B$4:$Q$131,2,FALSE))</f>
        <v/>
      </c>
      <c r="D134">
        <f>IF(E134="","",E134-F134)</f>
        <v/>
      </c>
      <c r="E134">
        <f>IF(ISNA(VLOOKUP($B134,$B$4:$Q$131,4,FALSE)),"",VLOOKUP($B134,$B$4:$Q$131,4,FALSE))</f>
        <v/>
      </c>
      <c r="F134">
        <f>IF(ISNA(VLOOKUP($B134,$B$4:$Q$131,5,FALSE)),"",VLOOKUP($B134,$B$4:$Q$131,5,FALSE))</f>
        <v/>
      </c>
      <c r="G134" s="39">
        <f>IFERROR(D134/D133,"")</f>
        <v/>
      </c>
      <c r="H134">
        <f>IF(VLOOKUP($B134,$B$4:$Q$131,7,FALSE)=0,"",VLOOKUP($B134,$B$4:$Q$131,7,FALSE))</f>
        <v/>
      </c>
      <c r="I134">
        <f>IF(J134="","",J134-K134)</f>
        <v/>
      </c>
      <c r="J134">
        <f>IF(ISNA(VLOOKUP($B134,$B$4:$Q$131,9,FALSE)),"",VLOOKUP($B134,$B$4:$Q$131,9,FALSE))</f>
        <v/>
      </c>
      <c r="K134">
        <f>IF(ISNA(VLOOKUP($B134,$B$4:$Q$131,10,FALSE)),"",VLOOKUP($B134,$B$4:$Q$131,10,FALSE))</f>
        <v/>
      </c>
      <c r="L134" s="39">
        <f>IFERROR(I134/I133,"")</f>
        <v/>
      </c>
      <c r="M134">
        <f>IF(VLOOKUP($B134,$B$4:$Q$131,12,FALSE)=0,"",VLOOKUP($B134,$B$4:$Q$131,12,FALSE))</f>
        <v/>
      </c>
      <c r="N134">
        <f>IF(O134="","",O134-P134)</f>
        <v/>
      </c>
      <c r="O134">
        <f>IF(ISNA(VLOOKUP($B134,$B$4:$Q$131,14,FALSE)),"",VLOOKUP($B134,$B$4:$Q$131,14,FALSE))</f>
        <v/>
      </c>
      <c r="P134">
        <f>IF(ISNA(VLOOKUP($B134,$B$4:$Q$131,15,FALSE)),"",VLOOKUP($B134,$B$4:$Q$131,15,FALSE))</f>
        <v/>
      </c>
      <c r="Q134" s="39">
        <f>IFERROR(N134/N133,"")</f>
        <v/>
      </c>
    </row>
    <row r="135">
      <c r="A135" s="37" t="inlineStr">
        <is>
          <t>OLED</t>
        </is>
      </c>
      <c r="B135" s="37" t="inlineStr">
        <is>
          <t>55B6</t>
        </is>
      </c>
      <c r="C135">
        <f>IF(VLOOKUP($B135,$B$4:$Q$131,2,FALSE)=0,"",VLOOKUP($B135,$B$4:$Q$131,2,FALSE))</f>
        <v/>
      </c>
      <c r="D135">
        <f>IF(E135="","",E135-F135)</f>
        <v/>
      </c>
      <c r="E135">
        <f>IF(ISNA(VLOOKUP($B135,$B$4:$Q$131,4,FALSE)),"",VLOOKUP($B135,$B$4:$Q$131,4,FALSE))</f>
        <v/>
      </c>
      <c r="F135">
        <f>IF(ISNA(VLOOKUP($B135,$B$4:$Q$131,5,FALSE)),"",VLOOKUP($B135,$B$4:$Q$131,5,FALSE))</f>
        <v/>
      </c>
      <c r="G135" s="39">
        <f>IFERROR(D135/D133,"")</f>
        <v/>
      </c>
      <c r="H135">
        <f>IF(VLOOKUP($B135,$B$4:$Q$131,7,FALSE)=0,"",VLOOKUP($B135,$B$4:$Q$131,7,FALSE))</f>
        <v/>
      </c>
      <c r="I135">
        <f>IF(J135="","",J135-K135)</f>
        <v/>
      </c>
      <c r="J135">
        <f>IF(ISNA(VLOOKUP($B135,$B$4:$Q$131,9,FALSE)),"",VLOOKUP($B135,$B$4:$Q$131,9,FALSE))</f>
        <v/>
      </c>
      <c r="K135">
        <f>IF(ISNA(VLOOKUP($B135,$B$4:$Q$131,10,FALSE)),"",VLOOKUP($B135,$B$4:$Q$131,10,FALSE))</f>
        <v/>
      </c>
      <c r="L135" s="39">
        <f>IFERROR(I135/I133,"")</f>
        <v/>
      </c>
      <c r="M135">
        <f>IF(VLOOKUP($B135,$B$4:$Q$131,12,FALSE)=0,"",VLOOKUP($B135,$B$4:$Q$131,12,FALSE))</f>
        <v/>
      </c>
      <c r="N135">
        <f>IF(O135="","",O135-P135)</f>
        <v/>
      </c>
      <c r="O135">
        <f>IF(ISNA(VLOOKUP($B135,$B$4:$Q$131,14,FALSE)),"",VLOOKUP($B135,$B$4:$Q$131,14,FALSE))</f>
        <v/>
      </c>
      <c r="P135">
        <f>IF(ISNA(VLOOKUP($B135,$B$4:$Q$131,15,FALSE)),"",VLOOKUP($B135,$B$4:$Q$131,15,FALSE))</f>
        <v/>
      </c>
      <c r="Q135" s="39">
        <f>IFERROR(N135/N133,"")</f>
        <v/>
      </c>
    </row>
    <row r="136">
      <c r="A136" s="37" t="inlineStr">
        <is>
          <t>QNED</t>
        </is>
      </c>
      <c r="B136" s="37" t="inlineStr">
        <is>
          <t>55QNED85</t>
        </is>
      </c>
      <c r="C136">
        <f>IF(VLOOKUP($B136,$B$4:$Q$131,2,FALSE)=0,"",VLOOKUP($B136,$B$4:$Q$131,2,FALSE))</f>
        <v/>
      </c>
      <c r="D136">
        <f>IF(E136="","",E136-F136)</f>
        <v/>
      </c>
      <c r="E136">
        <f>IF(ISNA(VLOOKUP($B136,$B$4:$Q$131,4,FALSE)),"",VLOOKUP($B136,$B$4:$Q$131,4,FALSE))</f>
        <v/>
      </c>
      <c r="F136">
        <f>IF(ISNA(VLOOKUP($B136,$B$4:$Q$131,5,FALSE)),"",VLOOKUP($B136,$B$4:$Q$131,5,FALSE))</f>
        <v/>
      </c>
      <c r="G136" s="39">
        <f>IFERROR(D136/D133,"")</f>
        <v/>
      </c>
      <c r="H136">
        <f>IF(VLOOKUP($B136,$B$4:$Q$131,7,FALSE)=0,"",VLOOKUP($B136,$B$4:$Q$131,7,FALSE))</f>
        <v/>
      </c>
      <c r="I136">
        <f>IF(J136="","",J136-K136)</f>
        <v/>
      </c>
      <c r="J136">
        <f>IF(ISNA(VLOOKUP($B136,$B$4:$Q$131,9,FALSE)),"",VLOOKUP($B136,$B$4:$Q$131,9,FALSE))</f>
        <v/>
      </c>
      <c r="K136">
        <f>IF(ISNA(VLOOKUP($B136,$B$4:$Q$131,10,FALSE)),"",VLOOKUP($B136,$B$4:$Q$131,10,FALSE))</f>
        <v/>
      </c>
      <c r="L136" s="39">
        <f>IFERROR(I136/I133,"")</f>
        <v/>
      </c>
      <c r="M136">
        <f>IF(VLOOKUP($B136,$B$4:$Q$131,12,FALSE)=0,"",VLOOKUP($B136,$B$4:$Q$131,12,FALSE))</f>
        <v/>
      </c>
      <c r="N136">
        <f>IF(O136="","",O136-P136)</f>
        <v/>
      </c>
      <c r="O136">
        <f>IF(ISNA(VLOOKUP($B136,$B$4:$Q$131,14,FALSE)),"",VLOOKUP($B136,$B$4:$Q$131,14,FALSE))</f>
        <v/>
      </c>
      <c r="P136">
        <f>IF(ISNA(VLOOKUP($B136,$B$4:$Q$131,15,FALSE)),"",VLOOKUP($B136,$B$4:$Q$131,15,FALSE))</f>
        <v/>
      </c>
      <c r="Q136" s="39">
        <f>IFERROR(N136/N133,"")</f>
        <v/>
      </c>
    </row>
    <row r="137">
      <c r="A137" s="37" t="inlineStr">
        <is>
          <t>QNED</t>
        </is>
      </c>
      <c r="B137" s="37" t="inlineStr">
        <is>
          <t>55QNED80</t>
        </is>
      </c>
      <c r="C137">
        <f>IF(VLOOKUP($B137,$B$4:$Q$131,2,FALSE)=0,"",VLOOKUP($B137,$B$4:$Q$131,2,FALSE))</f>
        <v/>
      </c>
      <c r="D137">
        <f>IF(E137="","",E137-F137)</f>
        <v/>
      </c>
      <c r="E137">
        <f>IF(ISNA(VLOOKUP($B137,$B$4:$Q$131,4,FALSE)),"",VLOOKUP($B137,$B$4:$Q$131,4,FALSE))</f>
        <v/>
      </c>
      <c r="F137">
        <f>IF(ISNA(VLOOKUP($B137,$B$4:$Q$131,5,FALSE)),"",VLOOKUP($B137,$B$4:$Q$131,5,FALSE))</f>
        <v/>
      </c>
      <c r="G137" s="39">
        <f>IFERROR(D137/D133,"")</f>
        <v/>
      </c>
      <c r="H137">
        <f>IF(VLOOKUP($B137,$B$4:$Q$131,7,FALSE)=0,"",VLOOKUP($B137,$B$4:$Q$131,7,FALSE))</f>
        <v/>
      </c>
      <c r="I137">
        <f>IF(J137="","",J137-K137)</f>
        <v/>
      </c>
      <c r="J137">
        <f>IF(ISNA(VLOOKUP($B137,$B$4:$Q$131,9,FALSE)),"",VLOOKUP($B137,$B$4:$Q$131,9,FALSE))</f>
        <v/>
      </c>
      <c r="K137">
        <f>IF(ISNA(VLOOKUP($B137,$B$4:$Q$131,10,FALSE)),"",VLOOKUP($B137,$B$4:$Q$131,10,FALSE))</f>
        <v/>
      </c>
      <c r="L137" s="39">
        <f>IFERROR(I137/I133,"")</f>
        <v/>
      </c>
      <c r="M137">
        <f>IF(VLOOKUP($B137,$B$4:$Q$131,12,FALSE)=0,"",VLOOKUP($B137,$B$4:$Q$131,12,FALSE))</f>
        <v/>
      </c>
      <c r="N137">
        <f>IF(O137="","",O137-P137)</f>
        <v/>
      </c>
      <c r="O137">
        <f>IF(ISNA(VLOOKUP($B137,$B$4:$Q$131,14,FALSE)),"",VLOOKUP($B137,$B$4:$Q$131,14,FALSE))</f>
        <v/>
      </c>
      <c r="P137">
        <f>IF(ISNA(VLOOKUP($B137,$B$4:$Q$131,15,FALSE)),"",VLOOKUP($B137,$B$4:$Q$131,15,FALSE))</f>
        <v/>
      </c>
      <c r="Q137" s="39">
        <f>IFERROR(N137/N133,"")</f>
        <v/>
      </c>
    </row>
    <row r="138">
      <c r="A138" s="37" t="inlineStr">
        <is>
          <t>UHD 4K</t>
        </is>
      </c>
      <c r="B138" s="37" t="inlineStr">
        <is>
          <t>55NU85</t>
        </is>
      </c>
      <c r="C138">
        <f>IF(VLOOKUP($B138,$B$4:$Q$131,2,FALSE)=0,"",VLOOKUP($B138,$B$4:$Q$131,2,FALSE))</f>
        <v/>
      </c>
      <c r="D138">
        <f>IF(E138="","",E138-F138)</f>
        <v/>
      </c>
      <c r="E138">
        <f>IF(ISNA(VLOOKUP($B138,$B$4:$Q$131,4,FALSE)),"",VLOOKUP($B138,$B$4:$Q$131,4,FALSE))</f>
        <v/>
      </c>
      <c r="F138">
        <f>IF(ISNA(VLOOKUP($B138,$B$4:$Q$131,5,FALSE)),"",VLOOKUP($B138,$B$4:$Q$131,5,FALSE))</f>
        <v/>
      </c>
      <c r="G138" s="39">
        <f>IFERROR(D138/D133,"")</f>
        <v/>
      </c>
      <c r="H138">
        <f>IF(VLOOKUP($B138,$B$4:$Q$131,7,FALSE)=0,"",VLOOKUP($B138,$B$4:$Q$131,7,FALSE))</f>
        <v/>
      </c>
      <c r="I138">
        <f>IF(J138="","",J138-K138)</f>
        <v/>
      </c>
      <c r="J138">
        <f>IF(ISNA(VLOOKUP($B138,$B$4:$Q$131,9,FALSE)),"",VLOOKUP($B138,$B$4:$Q$131,9,FALSE))</f>
        <v/>
      </c>
      <c r="K138">
        <f>IF(ISNA(VLOOKUP($B138,$B$4:$Q$131,10,FALSE)),"",VLOOKUP($B138,$B$4:$Q$131,10,FALSE))</f>
        <v/>
      </c>
      <c r="L138" s="39">
        <f>IFERROR(I138/I133,"")</f>
        <v/>
      </c>
      <c r="M138">
        <f>IF(VLOOKUP($B138,$B$4:$Q$131,12,FALSE)=0,"",VLOOKUP($B138,$B$4:$Q$131,12,FALSE))</f>
        <v/>
      </c>
      <c r="N138">
        <f>IF(O138="","",O138-P138)</f>
        <v/>
      </c>
      <c r="O138">
        <f>IF(ISNA(VLOOKUP($B138,$B$4:$Q$131,14,FALSE)),"",VLOOKUP($B138,$B$4:$Q$131,14,FALSE))</f>
        <v/>
      </c>
      <c r="P138">
        <f>IF(ISNA(VLOOKUP($B138,$B$4:$Q$131,15,FALSE)),"",VLOOKUP($B138,$B$4:$Q$131,15,FALSE))</f>
        <v/>
      </c>
      <c r="Q138" s="39">
        <f>IFERROR(N138/N133,"")</f>
        <v/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37" t="inlineStr">
        <is>
          <t>OLED</t>
        </is>
      </c>
      <c r="B140" s="37" t="inlineStr">
        <is>
          <t>65G6</t>
        </is>
      </c>
      <c r="C140">
        <f>IF(VLOOKUP($B140,$B$4:$Q$131,2,FALSE)=0,"",VLOOKUP($B140,$B$4:$Q$131,2,FALSE))</f>
        <v/>
      </c>
      <c r="D140">
        <f>IF(E140="","",E140-F140)</f>
        <v/>
      </c>
      <c r="E140">
        <f>IF(ISNA(VLOOKUP($B140,$B$4:$Q$131,4,FALSE)),"",VLOOKUP($B140,$B$4:$Q$131,4,FALSE))</f>
        <v/>
      </c>
      <c r="F140">
        <f>IF(ISNA(VLOOKUP($B140,$B$4:$Q$131,5,FALSE)),"",VLOOKUP($B140,$B$4:$Q$131,5,FALSE))</f>
        <v/>
      </c>
      <c r="G140" s="39">
        <f>IFERROR(D140/D140,"")</f>
        <v/>
      </c>
      <c r="H140">
        <f>IF(VLOOKUP($B140,$B$4:$Q$131,7,FALSE)=0,"",VLOOKUP($B140,$B$4:$Q$131,7,FALSE))</f>
        <v/>
      </c>
      <c r="I140">
        <f>IF(J140="","",J140-K140)</f>
        <v/>
      </c>
      <c r="J140">
        <f>IF(ISNA(VLOOKUP($B140,$B$4:$Q$131,9,FALSE)),"",VLOOKUP($B140,$B$4:$Q$131,9,FALSE))</f>
        <v/>
      </c>
      <c r="K140">
        <f>IF(ISNA(VLOOKUP($B140,$B$4:$Q$131,10,FALSE)),"",VLOOKUP($B140,$B$4:$Q$131,10,FALSE))</f>
        <v/>
      </c>
      <c r="L140" s="39">
        <f>IFERROR(I140/I140,"")</f>
        <v/>
      </c>
      <c r="M140">
        <f>IF(VLOOKUP($B140,$B$4:$Q$131,12,FALSE)=0,"",VLOOKUP($B140,$B$4:$Q$131,12,FALSE))</f>
        <v/>
      </c>
      <c r="N140">
        <f>IF(O140="","",O140-P140)</f>
        <v/>
      </c>
      <c r="O140">
        <f>IF(ISNA(VLOOKUP($B140,$B$4:$Q$131,14,FALSE)),"",VLOOKUP($B140,$B$4:$Q$131,14,FALSE))</f>
        <v/>
      </c>
      <c r="P140">
        <f>IF(ISNA(VLOOKUP($B140,$B$4:$Q$131,15,FALSE)),"",VLOOKUP($B140,$B$4:$Q$131,15,FALSE))</f>
        <v/>
      </c>
      <c r="Q140" s="39">
        <f>IFERROR(N140/N140,"")</f>
        <v/>
      </c>
    </row>
    <row r="141">
      <c r="A141" s="37" t="inlineStr">
        <is>
          <t>OLED</t>
        </is>
      </c>
      <c r="B141" s="37" t="inlineStr">
        <is>
          <t>65C6</t>
        </is>
      </c>
      <c r="C141">
        <f>IF(VLOOKUP($B141,$B$4:$Q$131,2,FALSE)=0,"",VLOOKUP($B141,$B$4:$Q$131,2,FALSE))</f>
        <v/>
      </c>
      <c r="D141">
        <f>IF(E141="","",E141-F141)</f>
        <v/>
      </c>
      <c r="E141">
        <f>IF(ISNA(VLOOKUP($B141,$B$4:$Q$131,4,FALSE)),"",VLOOKUP($B141,$B$4:$Q$131,4,FALSE))</f>
        <v/>
      </c>
      <c r="F141">
        <f>IF(ISNA(VLOOKUP($B141,$B$4:$Q$131,5,FALSE)),"",VLOOKUP($B141,$B$4:$Q$131,5,FALSE))</f>
        <v/>
      </c>
      <c r="G141" s="39">
        <f>IFERROR(D141/D140,"")</f>
        <v/>
      </c>
      <c r="H141">
        <f>IF(VLOOKUP($B141,$B$4:$Q$131,7,FALSE)=0,"",VLOOKUP($B141,$B$4:$Q$131,7,FALSE))</f>
        <v/>
      </c>
      <c r="I141">
        <f>IF(J141="","",J141-K141)</f>
        <v/>
      </c>
      <c r="J141">
        <f>IF(ISNA(VLOOKUP($B141,$B$4:$Q$131,9,FALSE)),"",VLOOKUP($B141,$B$4:$Q$131,9,FALSE))</f>
        <v/>
      </c>
      <c r="K141">
        <f>IF(ISNA(VLOOKUP($B141,$B$4:$Q$131,10,FALSE)),"",VLOOKUP($B141,$B$4:$Q$131,10,FALSE))</f>
        <v/>
      </c>
      <c r="L141" s="39">
        <f>IFERROR(I141/I140,"")</f>
        <v/>
      </c>
      <c r="M141">
        <f>IF(VLOOKUP($B141,$B$4:$Q$131,12,FALSE)=0,"",VLOOKUP($B141,$B$4:$Q$131,12,FALSE))</f>
        <v/>
      </c>
      <c r="N141">
        <f>IF(O141="","",O141-P141)</f>
        <v/>
      </c>
      <c r="O141">
        <f>IF(ISNA(VLOOKUP($B141,$B$4:$Q$131,14,FALSE)),"",VLOOKUP($B141,$B$4:$Q$131,14,FALSE))</f>
        <v/>
      </c>
      <c r="P141">
        <f>IF(ISNA(VLOOKUP($B141,$B$4:$Q$131,15,FALSE)),"",VLOOKUP($B141,$B$4:$Q$131,15,FALSE))</f>
        <v/>
      </c>
      <c r="Q141" s="39">
        <f>IFERROR(N141/N140,"")</f>
        <v/>
      </c>
    </row>
    <row r="142">
      <c r="A142" s="37" t="inlineStr">
        <is>
          <t>OLED</t>
        </is>
      </c>
      <c r="B142" s="37" t="inlineStr">
        <is>
          <t>65B6</t>
        </is>
      </c>
      <c r="C142">
        <f>IF(VLOOKUP($B142,$B$4:$Q$131,2,FALSE)=0,"",VLOOKUP($B142,$B$4:$Q$131,2,FALSE))</f>
        <v/>
      </c>
      <c r="D142">
        <f>IF(E142="","",E142-F142)</f>
        <v/>
      </c>
      <c r="E142">
        <f>IF(ISNA(VLOOKUP($B142,$B$4:$Q$131,4,FALSE)),"",VLOOKUP($B142,$B$4:$Q$131,4,FALSE))</f>
        <v/>
      </c>
      <c r="F142">
        <f>IF(ISNA(VLOOKUP($B142,$B$4:$Q$131,5,FALSE)),"",VLOOKUP($B142,$B$4:$Q$131,5,FALSE))</f>
        <v/>
      </c>
      <c r="G142" s="39">
        <f>IFERROR(D142/D140,"")</f>
        <v/>
      </c>
      <c r="H142">
        <f>IF(VLOOKUP($B142,$B$4:$Q$131,7,FALSE)=0,"",VLOOKUP($B142,$B$4:$Q$131,7,FALSE))</f>
        <v/>
      </c>
      <c r="I142">
        <f>IF(J142="","",J142-K142)</f>
        <v/>
      </c>
      <c r="J142">
        <f>IF(ISNA(VLOOKUP($B142,$B$4:$Q$131,9,FALSE)),"",VLOOKUP($B142,$B$4:$Q$131,9,FALSE))</f>
        <v/>
      </c>
      <c r="K142">
        <f>IF(ISNA(VLOOKUP($B142,$B$4:$Q$131,10,FALSE)),"",VLOOKUP($B142,$B$4:$Q$131,10,FALSE))</f>
        <v/>
      </c>
      <c r="L142" s="39">
        <f>IFERROR(I142/I140,"")</f>
        <v/>
      </c>
      <c r="M142">
        <f>IF(VLOOKUP($B142,$B$4:$Q$131,12,FALSE)=0,"",VLOOKUP($B142,$B$4:$Q$131,12,FALSE))</f>
        <v/>
      </c>
      <c r="N142">
        <f>IF(O142="","",O142-P142)</f>
        <v/>
      </c>
      <c r="O142">
        <f>IF(ISNA(VLOOKUP($B142,$B$4:$Q$131,14,FALSE)),"",VLOOKUP($B142,$B$4:$Q$131,14,FALSE))</f>
        <v/>
      </c>
      <c r="P142">
        <f>IF(ISNA(VLOOKUP($B142,$B$4:$Q$131,15,FALSE)),"",VLOOKUP($B142,$B$4:$Q$131,15,FALSE))</f>
        <v/>
      </c>
      <c r="Q142" s="39">
        <f>IFERROR(N142/N140,"")</f>
        <v/>
      </c>
    </row>
    <row r="143">
      <c r="A143" s="37" t="inlineStr">
        <is>
          <t>QNED</t>
        </is>
      </c>
      <c r="B143" s="37" t="inlineStr">
        <is>
          <t>65QNED85</t>
        </is>
      </c>
      <c r="C143">
        <f>IF(VLOOKUP($B143,$B$4:$Q$131,2,FALSE)=0,"",VLOOKUP($B143,$B$4:$Q$131,2,FALSE))</f>
        <v/>
      </c>
      <c r="D143">
        <f>IF(E143="","",E143-F143)</f>
        <v/>
      </c>
      <c r="E143">
        <f>IF(ISNA(VLOOKUP($B143,$B$4:$Q$131,4,FALSE)),"",VLOOKUP($B143,$B$4:$Q$131,4,FALSE))</f>
        <v/>
      </c>
      <c r="F143">
        <f>IF(ISNA(VLOOKUP($B143,$B$4:$Q$131,5,FALSE)),"",VLOOKUP($B143,$B$4:$Q$131,5,FALSE))</f>
        <v/>
      </c>
      <c r="G143" s="39">
        <f>IFERROR(D143/D140,"")</f>
        <v/>
      </c>
      <c r="H143">
        <f>IF(VLOOKUP($B143,$B$4:$Q$131,7,FALSE)=0,"",VLOOKUP($B143,$B$4:$Q$131,7,FALSE))</f>
        <v/>
      </c>
      <c r="I143">
        <f>IF(J143="","",J143-K143)</f>
        <v/>
      </c>
      <c r="J143">
        <f>IF(ISNA(VLOOKUP($B143,$B$4:$Q$131,9,FALSE)),"",VLOOKUP($B143,$B$4:$Q$131,9,FALSE))</f>
        <v/>
      </c>
      <c r="K143">
        <f>IF(ISNA(VLOOKUP($B143,$B$4:$Q$131,10,FALSE)),"",VLOOKUP($B143,$B$4:$Q$131,10,FALSE))</f>
        <v/>
      </c>
      <c r="L143" s="39">
        <f>IFERROR(I143/I140,"")</f>
        <v/>
      </c>
      <c r="M143">
        <f>IF(VLOOKUP($B143,$B$4:$Q$131,12,FALSE)=0,"",VLOOKUP($B143,$B$4:$Q$131,12,FALSE))</f>
        <v/>
      </c>
      <c r="N143">
        <f>IF(O143="","",O143-P143)</f>
        <v/>
      </c>
      <c r="O143">
        <f>IF(ISNA(VLOOKUP($B143,$B$4:$Q$131,14,FALSE)),"",VLOOKUP($B143,$B$4:$Q$131,14,FALSE))</f>
        <v/>
      </c>
      <c r="P143">
        <f>IF(ISNA(VLOOKUP($B143,$B$4:$Q$131,15,FALSE)),"",VLOOKUP($B143,$B$4:$Q$131,15,FALSE))</f>
        <v/>
      </c>
      <c r="Q143" s="39">
        <f>IFERROR(N143/N140,"")</f>
        <v/>
      </c>
    </row>
    <row r="144">
      <c r="A144" s="37" t="inlineStr">
        <is>
          <t>QNED</t>
        </is>
      </c>
      <c r="B144" s="37" t="inlineStr">
        <is>
          <t>65QNED80</t>
        </is>
      </c>
      <c r="C144">
        <f>IF(VLOOKUP($B144,$B$4:$Q$131,2,FALSE)=0,"",VLOOKUP($B144,$B$4:$Q$131,2,FALSE))</f>
        <v/>
      </c>
      <c r="D144">
        <f>IF(E144="","",E144-F144)</f>
        <v/>
      </c>
      <c r="E144">
        <f>IF(ISNA(VLOOKUP($B144,$B$4:$Q$131,4,FALSE)),"",VLOOKUP($B144,$B$4:$Q$131,4,FALSE))</f>
        <v/>
      </c>
      <c r="F144">
        <f>IF(ISNA(VLOOKUP($B144,$B$4:$Q$131,5,FALSE)),"",VLOOKUP($B144,$B$4:$Q$131,5,FALSE))</f>
        <v/>
      </c>
      <c r="G144" s="39">
        <f>IFERROR(D144/D140,"")</f>
        <v/>
      </c>
      <c r="H144">
        <f>IF(VLOOKUP($B144,$B$4:$Q$131,7,FALSE)=0,"",VLOOKUP($B144,$B$4:$Q$131,7,FALSE))</f>
        <v/>
      </c>
      <c r="I144">
        <f>IF(J144="","",J144-K144)</f>
        <v/>
      </c>
      <c r="J144">
        <f>IF(ISNA(VLOOKUP($B144,$B$4:$Q$131,9,FALSE)),"",VLOOKUP($B144,$B$4:$Q$131,9,FALSE))</f>
        <v/>
      </c>
      <c r="K144">
        <f>IF(ISNA(VLOOKUP($B144,$B$4:$Q$131,10,FALSE)),"",VLOOKUP($B144,$B$4:$Q$131,10,FALSE))</f>
        <v/>
      </c>
      <c r="L144" s="39">
        <f>IFERROR(I144/I140,"")</f>
        <v/>
      </c>
      <c r="M144">
        <f>IF(VLOOKUP($B144,$B$4:$Q$131,12,FALSE)=0,"",VLOOKUP($B144,$B$4:$Q$131,12,FALSE))</f>
        <v/>
      </c>
      <c r="N144">
        <f>IF(O144="","",O144-P144)</f>
        <v/>
      </c>
      <c r="O144">
        <f>IF(ISNA(VLOOKUP($B144,$B$4:$Q$131,14,FALSE)),"",VLOOKUP($B144,$B$4:$Q$131,14,FALSE))</f>
        <v/>
      </c>
      <c r="P144">
        <f>IF(ISNA(VLOOKUP($B144,$B$4:$Q$131,15,FALSE)),"",VLOOKUP($B144,$B$4:$Q$131,15,FALSE))</f>
        <v/>
      </c>
      <c r="Q144" s="39">
        <f>IFERROR(N144/N140,"")</f>
        <v/>
      </c>
    </row>
    <row r="145">
      <c r="A145" s="37" t="inlineStr">
        <is>
          <t>UHD 4K</t>
        </is>
      </c>
      <c r="B145" s="37" t="inlineStr">
        <is>
          <t>65NU85</t>
        </is>
      </c>
      <c r="C145">
        <f>IF(VLOOKUP($B145,$B$4:$Q$131,2,FALSE)=0,"",VLOOKUP($B145,$B$4:$Q$131,2,FALSE))</f>
        <v/>
      </c>
      <c r="D145">
        <f>IF(E145="","",E145-F145)</f>
        <v/>
      </c>
      <c r="E145">
        <f>IF(ISNA(VLOOKUP($B145,$B$4:$Q$131,4,FALSE)),"",VLOOKUP($B145,$B$4:$Q$131,4,FALSE))</f>
        <v/>
      </c>
      <c r="F145">
        <f>IF(ISNA(VLOOKUP($B145,$B$4:$Q$131,5,FALSE)),"",VLOOKUP($B145,$B$4:$Q$131,5,FALSE))</f>
        <v/>
      </c>
      <c r="G145" s="39">
        <f>IFERROR(D145/D140,"")</f>
        <v/>
      </c>
      <c r="H145">
        <f>IF(VLOOKUP($B145,$B$4:$Q$131,7,FALSE)=0,"",VLOOKUP($B145,$B$4:$Q$131,7,FALSE))</f>
        <v/>
      </c>
      <c r="I145">
        <f>IF(J145="","",J145-K145)</f>
        <v/>
      </c>
      <c r="J145">
        <f>IF(ISNA(VLOOKUP($B145,$B$4:$Q$131,9,FALSE)),"",VLOOKUP($B145,$B$4:$Q$131,9,FALSE))</f>
        <v/>
      </c>
      <c r="K145">
        <f>IF(ISNA(VLOOKUP($B145,$B$4:$Q$131,10,FALSE)),"",VLOOKUP($B145,$B$4:$Q$131,10,FALSE))</f>
        <v/>
      </c>
      <c r="L145" s="39">
        <f>IFERROR(I145/I140,"")</f>
        <v/>
      </c>
      <c r="M145">
        <f>IF(VLOOKUP($B145,$B$4:$Q$131,12,FALSE)=0,"",VLOOKUP($B145,$B$4:$Q$131,12,FALSE))</f>
        <v/>
      </c>
      <c r="N145">
        <f>IF(O145="","",O145-P145)</f>
        <v/>
      </c>
      <c r="O145">
        <f>IF(ISNA(VLOOKUP($B145,$B$4:$Q$131,14,FALSE)),"",VLOOKUP($B145,$B$4:$Q$131,14,FALSE))</f>
        <v/>
      </c>
      <c r="P145">
        <f>IF(ISNA(VLOOKUP($B145,$B$4:$Q$131,15,FALSE)),"",VLOOKUP($B145,$B$4:$Q$131,15,FALSE))</f>
        <v/>
      </c>
      <c r="Q145" s="39">
        <f>IFERROR(N145/N140,"")</f>
        <v/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37" t="inlineStr">
        <is>
          <t>OLED</t>
        </is>
      </c>
      <c r="B147" s="37" t="inlineStr">
        <is>
          <t>77G6</t>
        </is>
      </c>
      <c r="C147">
        <f>IF(VLOOKUP($B147,$B$4:$Q$131,2,FALSE)=0,"",VLOOKUP($B147,$B$4:$Q$131,2,FALSE))</f>
        <v/>
      </c>
      <c r="D147">
        <f>IF(E147="","",E147-F147)</f>
        <v/>
      </c>
      <c r="E147">
        <f>IF(ISNA(VLOOKUP($B147,$B$4:$Q$131,4,FALSE)),"",VLOOKUP($B147,$B$4:$Q$131,4,FALSE))</f>
        <v/>
      </c>
      <c r="F147">
        <f>IF(ISNA(VLOOKUP($B147,$B$4:$Q$131,5,FALSE)),"",VLOOKUP($B147,$B$4:$Q$131,5,FALSE))</f>
        <v/>
      </c>
      <c r="G147" s="39">
        <f>IFERROR(D147/D147,"")</f>
        <v/>
      </c>
      <c r="H147">
        <f>IF(VLOOKUP($B147,$B$4:$Q$131,7,FALSE)=0,"",VLOOKUP($B147,$B$4:$Q$131,7,FALSE))</f>
        <v/>
      </c>
      <c r="I147">
        <f>IF(J147="","",J147-K147)</f>
        <v/>
      </c>
      <c r="J147">
        <f>IF(ISNA(VLOOKUP($B147,$B$4:$Q$131,9,FALSE)),"",VLOOKUP($B147,$B$4:$Q$131,9,FALSE))</f>
        <v/>
      </c>
      <c r="K147">
        <f>IF(ISNA(VLOOKUP($B147,$B$4:$Q$131,10,FALSE)),"",VLOOKUP($B147,$B$4:$Q$131,10,FALSE))</f>
        <v/>
      </c>
      <c r="L147" s="39">
        <f>IFERROR(I147/I147,"")</f>
        <v/>
      </c>
      <c r="M147">
        <f>IF(VLOOKUP($B147,$B$4:$Q$131,12,FALSE)=0,"",VLOOKUP($B147,$B$4:$Q$131,12,FALSE))</f>
        <v/>
      </c>
      <c r="N147">
        <f>IF(O147="","",O147-P147)</f>
        <v/>
      </c>
      <c r="O147">
        <f>IF(ISNA(VLOOKUP($B147,$B$4:$Q$131,14,FALSE)),"",VLOOKUP($B147,$B$4:$Q$131,14,FALSE))</f>
        <v/>
      </c>
      <c r="P147">
        <f>IF(ISNA(VLOOKUP($B147,$B$4:$Q$131,15,FALSE)),"",VLOOKUP($B147,$B$4:$Q$131,15,FALSE))</f>
        <v/>
      </c>
      <c r="Q147" s="39">
        <f>IFERROR(N147/N147,"")</f>
        <v/>
      </c>
    </row>
    <row r="148">
      <c r="A148" s="37" t="inlineStr">
        <is>
          <t>OLED</t>
        </is>
      </c>
      <c r="B148" s="37" t="inlineStr">
        <is>
          <t>77C6</t>
        </is>
      </c>
      <c r="C148">
        <f>IF(VLOOKUP($B148,$B$4:$Q$131,2,FALSE)=0,"",VLOOKUP($B148,$B$4:$Q$131,2,FALSE))</f>
        <v/>
      </c>
      <c r="D148">
        <f>IF(E148="","",E148-F148)</f>
        <v/>
      </c>
      <c r="E148">
        <f>IF(ISNA(VLOOKUP($B148,$B$4:$Q$131,4,FALSE)),"",VLOOKUP($B148,$B$4:$Q$131,4,FALSE))</f>
        <v/>
      </c>
      <c r="F148">
        <f>IF(ISNA(VLOOKUP($B148,$B$4:$Q$131,5,FALSE)),"",VLOOKUP($B148,$B$4:$Q$131,5,FALSE))</f>
        <v/>
      </c>
      <c r="G148" s="39">
        <f>IFERROR(D148/D147,"")</f>
        <v/>
      </c>
      <c r="H148">
        <f>IF(VLOOKUP($B148,$B$4:$Q$131,7,FALSE)=0,"",VLOOKUP($B148,$B$4:$Q$131,7,FALSE))</f>
        <v/>
      </c>
      <c r="I148">
        <f>IF(J148="","",J148-K148)</f>
        <v/>
      </c>
      <c r="J148">
        <f>IF(ISNA(VLOOKUP($B148,$B$4:$Q$131,9,FALSE)),"",VLOOKUP($B148,$B$4:$Q$131,9,FALSE))</f>
        <v/>
      </c>
      <c r="K148">
        <f>IF(ISNA(VLOOKUP($B148,$B$4:$Q$131,10,FALSE)),"",VLOOKUP($B148,$B$4:$Q$131,10,FALSE))</f>
        <v/>
      </c>
      <c r="L148" s="39">
        <f>IFERROR(I148/I147,"")</f>
        <v/>
      </c>
      <c r="M148">
        <f>IF(VLOOKUP($B148,$B$4:$Q$131,12,FALSE)=0,"",VLOOKUP($B148,$B$4:$Q$131,12,FALSE))</f>
        <v/>
      </c>
      <c r="N148">
        <f>IF(O148="","",O148-P148)</f>
        <v/>
      </c>
      <c r="O148">
        <f>IF(ISNA(VLOOKUP($B148,$B$4:$Q$131,14,FALSE)),"",VLOOKUP($B148,$B$4:$Q$131,14,FALSE))</f>
        <v/>
      </c>
      <c r="P148">
        <f>IF(ISNA(VLOOKUP($B148,$B$4:$Q$131,15,FALSE)),"",VLOOKUP($B148,$B$4:$Q$131,15,FALSE))</f>
        <v/>
      </c>
      <c r="Q148" s="39">
        <f>IFERROR(N148/N147,"")</f>
        <v/>
      </c>
    </row>
    <row r="149">
      <c r="A149" s="37" t="inlineStr">
        <is>
          <t>OLED</t>
        </is>
      </c>
      <c r="B149" s="37" t="inlineStr">
        <is>
          <t>77B6</t>
        </is>
      </c>
      <c r="C149">
        <f>IF(VLOOKUP($B149,$B$4:$Q$131,2,FALSE)=0,"",VLOOKUP($B149,$B$4:$Q$131,2,FALSE))</f>
        <v/>
      </c>
      <c r="D149">
        <f>IF(E149="","",E149-F149)</f>
        <v/>
      </c>
      <c r="E149">
        <f>IF(ISNA(VLOOKUP($B149,$B$4:$Q$131,4,FALSE)),"",VLOOKUP($B149,$B$4:$Q$131,4,FALSE))</f>
        <v/>
      </c>
      <c r="F149">
        <f>IF(ISNA(VLOOKUP($B149,$B$4:$Q$131,5,FALSE)),"",VLOOKUP($B149,$B$4:$Q$131,5,FALSE))</f>
        <v/>
      </c>
      <c r="G149" s="39">
        <f>IFERROR(D149/D147,"")</f>
        <v/>
      </c>
      <c r="H149">
        <f>IF(VLOOKUP($B149,$B$4:$Q$131,7,FALSE)=0,"",VLOOKUP($B149,$B$4:$Q$131,7,FALSE))</f>
        <v/>
      </c>
      <c r="I149">
        <f>IF(J149="","",J149-K149)</f>
        <v/>
      </c>
      <c r="J149">
        <f>IF(ISNA(VLOOKUP($B149,$B$4:$Q$131,9,FALSE)),"",VLOOKUP($B149,$B$4:$Q$131,9,FALSE))</f>
        <v/>
      </c>
      <c r="K149">
        <f>IF(ISNA(VLOOKUP($B149,$B$4:$Q$131,10,FALSE)),"",VLOOKUP($B149,$B$4:$Q$131,10,FALSE))</f>
        <v/>
      </c>
      <c r="L149" s="39">
        <f>IFERROR(I149/I147,"")</f>
        <v/>
      </c>
      <c r="M149">
        <f>IF(VLOOKUP($B149,$B$4:$Q$131,12,FALSE)=0,"",VLOOKUP($B149,$B$4:$Q$131,12,FALSE))</f>
        <v/>
      </c>
      <c r="N149">
        <f>IF(O149="","",O149-P149)</f>
        <v/>
      </c>
      <c r="O149">
        <f>IF(ISNA(VLOOKUP($B149,$B$4:$Q$131,14,FALSE)),"",VLOOKUP($B149,$B$4:$Q$131,14,FALSE))</f>
        <v/>
      </c>
      <c r="P149">
        <f>IF(ISNA(VLOOKUP($B149,$B$4:$Q$131,15,FALSE)),"",VLOOKUP($B149,$B$4:$Q$131,15,FALSE))</f>
        <v/>
      </c>
      <c r="Q149" s="39">
        <f>IFERROR(N149/N147,"")</f>
        <v/>
      </c>
    </row>
    <row r="150">
      <c r="A150" s="37" t="inlineStr">
        <is>
          <t>QNED</t>
        </is>
      </c>
      <c r="B150" s="37" t="inlineStr">
        <is>
          <t>75QNED85</t>
        </is>
      </c>
      <c r="C150">
        <f>IF(VLOOKUP($B150,$B$4:$Q$131,2,FALSE)=0,"",VLOOKUP($B150,$B$4:$Q$131,2,FALSE))</f>
        <v/>
      </c>
      <c r="D150">
        <f>IF(E150="","",E150-F150)</f>
        <v/>
      </c>
      <c r="E150">
        <f>IF(ISNA(VLOOKUP($B150,$B$4:$Q$131,4,FALSE)),"",VLOOKUP($B150,$B$4:$Q$131,4,FALSE))</f>
        <v/>
      </c>
      <c r="F150">
        <f>IF(ISNA(VLOOKUP($B150,$B$4:$Q$131,5,FALSE)),"",VLOOKUP($B150,$B$4:$Q$131,5,FALSE))</f>
        <v/>
      </c>
      <c r="G150" s="39">
        <f>IFERROR(D150/D147,"")</f>
        <v/>
      </c>
      <c r="H150">
        <f>IF(VLOOKUP($B150,$B$4:$Q$131,7,FALSE)=0,"",VLOOKUP($B150,$B$4:$Q$131,7,FALSE))</f>
        <v/>
      </c>
      <c r="I150">
        <f>IF(J150="","",J150-K150)</f>
        <v/>
      </c>
      <c r="J150">
        <f>IF(ISNA(VLOOKUP($B150,$B$4:$Q$131,9,FALSE)),"",VLOOKUP($B150,$B$4:$Q$131,9,FALSE))</f>
        <v/>
      </c>
      <c r="K150">
        <f>IF(ISNA(VLOOKUP($B150,$B$4:$Q$131,10,FALSE)),"",VLOOKUP($B150,$B$4:$Q$131,10,FALSE))</f>
        <v/>
      </c>
      <c r="L150" s="39">
        <f>IFERROR(I150/I147,"")</f>
        <v/>
      </c>
      <c r="M150">
        <f>IF(VLOOKUP($B150,$B$4:$Q$131,12,FALSE)=0,"",VLOOKUP($B150,$B$4:$Q$131,12,FALSE))</f>
        <v/>
      </c>
      <c r="N150">
        <f>IF(O150="","",O150-P150)</f>
        <v/>
      </c>
      <c r="O150">
        <f>IF(ISNA(VLOOKUP($B150,$B$4:$Q$131,14,FALSE)),"",VLOOKUP($B150,$B$4:$Q$131,14,FALSE))</f>
        <v/>
      </c>
      <c r="P150">
        <f>IF(ISNA(VLOOKUP($B150,$B$4:$Q$131,15,FALSE)),"",VLOOKUP($B150,$B$4:$Q$131,15,FALSE))</f>
        <v/>
      </c>
      <c r="Q150" s="39">
        <f>IFERROR(N150/N147,"")</f>
        <v/>
      </c>
    </row>
    <row r="151">
      <c r="A151" s="37" t="inlineStr">
        <is>
          <t>QNED</t>
        </is>
      </c>
      <c r="B151" s="37" t="inlineStr">
        <is>
          <t>75QNED80</t>
        </is>
      </c>
      <c r="C151">
        <f>IF(VLOOKUP($B151,$B$4:$Q$131,2,FALSE)=0,"",VLOOKUP($B151,$B$4:$Q$131,2,FALSE))</f>
        <v/>
      </c>
      <c r="D151">
        <f>IF(E151="","",E151-F151)</f>
        <v/>
      </c>
      <c r="E151">
        <f>IF(ISNA(VLOOKUP($B151,$B$4:$Q$131,4,FALSE)),"",VLOOKUP($B151,$B$4:$Q$131,4,FALSE))</f>
        <v/>
      </c>
      <c r="F151">
        <f>IF(ISNA(VLOOKUP($B151,$B$4:$Q$131,5,FALSE)),"",VLOOKUP($B151,$B$4:$Q$131,5,FALSE))</f>
        <v/>
      </c>
      <c r="G151" s="39">
        <f>IFERROR(D151/D147,"")</f>
        <v/>
      </c>
      <c r="H151">
        <f>IF(VLOOKUP($B151,$B$4:$Q$131,7,FALSE)=0,"",VLOOKUP($B151,$B$4:$Q$131,7,FALSE))</f>
        <v/>
      </c>
      <c r="I151">
        <f>IF(J151="","",J151-K151)</f>
        <v/>
      </c>
      <c r="J151">
        <f>IF(ISNA(VLOOKUP($B151,$B$4:$Q$131,9,FALSE)),"",VLOOKUP($B151,$B$4:$Q$131,9,FALSE))</f>
        <v/>
      </c>
      <c r="K151">
        <f>IF(ISNA(VLOOKUP($B151,$B$4:$Q$131,10,FALSE)),"",VLOOKUP($B151,$B$4:$Q$131,10,FALSE))</f>
        <v/>
      </c>
      <c r="L151" s="39">
        <f>IFERROR(I151/I147,"")</f>
        <v/>
      </c>
      <c r="M151">
        <f>IF(VLOOKUP($B151,$B$4:$Q$131,12,FALSE)=0,"",VLOOKUP($B151,$B$4:$Q$131,12,FALSE))</f>
        <v/>
      </c>
      <c r="N151">
        <f>IF(O151="","",O151-P151)</f>
        <v/>
      </c>
      <c r="O151">
        <f>IF(ISNA(VLOOKUP($B151,$B$4:$Q$131,14,FALSE)),"",VLOOKUP($B151,$B$4:$Q$131,14,FALSE))</f>
        <v/>
      </c>
      <c r="P151">
        <f>IF(ISNA(VLOOKUP($B151,$B$4:$Q$131,15,FALSE)),"",VLOOKUP($B151,$B$4:$Q$131,15,FALSE))</f>
        <v/>
      </c>
      <c r="Q151" s="39">
        <f>IFERROR(N151/N147,"")</f>
        <v/>
      </c>
    </row>
    <row r="152">
      <c r="A152" s="37" t="inlineStr">
        <is>
          <t>UHD 4K</t>
        </is>
      </c>
      <c r="B152" s="37" t="inlineStr">
        <is>
          <t>75NU85</t>
        </is>
      </c>
      <c r="C152">
        <f>IF(VLOOKUP($B152,$B$4:$Q$131,2,FALSE)=0,"",VLOOKUP($B152,$B$4:$Q$131,2,FALSE))</f>
        <v/>
      </c>
      <c r="D152">
        <f>IF(E152="","",E152-F152)</f>
        <v/>
      </c>
      <c r="E152">
        <f>IF(ISNA(VLOOKUP($B152,$B$4:$Q$131,4,FALSE)),"",VLOOKUP($B152,$B$4:$Q$131,4,FALSE))</f>
        <v/>
      </c>
      <c r="F152">
        <f>IF(ISNA(VLOOKUP($B152,$B$4:$Q$131,5,FALSE)),"",VLOOKUP($B152,$B$4:$Q$131,5,FALSE))</f>
        <v/>
      </c>
      <c r="G152" s="39">
        <f>IFERROR(D152/D147,"")</f>
        <v/>
      </c>
      <c r="H152">
        <f>IF(VLOOKUP($B152,$B$4:$Q$131,7,FALSE)=0,"",VLOOKUP($B152,$B$4:$Q$131,7,FALSE))</f>
        <v/>
      </c>
      <c r="I152">
        <f>IF(J152="","",J152-K152)</f>
        <v/>
      </c>
      <c r="J152">
        <f>IF(ISNA(VLOOKUP($B152,$B$4:$Q$131,9,FALSE)),"",VLOOKUP($B152,$B$4:$Q$131,9,FALSE))</f>
        <v/>
      </c>
      <c r="K152">
        <f>IF(ISNA(VLOOKUP($B152,$B$4:$Q$131,10,FALSE)),"",VLOOKUP($B152,$B$4:$Q$131,10,FALSE))</f>
        <v/>
      </c>
      <c r="L152" s="39">
        <f>IFERROR(I152/I147,"")</f>
        <v/>
      </c>
      <c r="M152">
        <f>IF(VLOOKUP($B152,$B$4:$Q$131,12,FALSE)=0,"",VLOOKUP($B152,$B$4:$Q$131,12,FALSE))</f>
        <v/>
      </c>
      <c r="N152">
        <f>IF(O152="","",O152-P152)</f>
        <v/>
      </c>
      <c r="O152">
        <f>IF(ISNA(VLOOKUP($B152,$B$4:$Q$131,14,FALSE)),"",VLOOKUP($B152,$B$4:$Q$131,14,FALSE))</f>
        <v/>
      </c>
      <c r="P152">
        <f>IF(ISNA(VLOOKUP($B152,$B$4:$Q$131,15,FALSE)),"",VLOOKUP($B152,$B$4:$Q$131,15,FALSE))</f>
        <v/>
      </c>
      <c r="Q152" s="39">
        <f>IFERROR(N152/N147,"")</f>
        <v/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40" t="inlineStr">
        <is>
          <t>OLED</t>
        </is>
      </c>
      <c r="B154" s="40" t="inlineStr">
        <is>
          <t>55S99H</t>
        </is>
      </c>
      <c r="C154" s="41">
        <f>IF(VLOOKUP($B154,$B$4:$Q$131,2,FALSE)=0,"",VLOOKUP($B154,$B$4:$Q$131,2,FALSE))</f>
        <v/>
      </c>
      <c r="D154">
        <f>IF(E154="","",E154-F154)</f>
        <v/>
      </c>
      <c r="E154">
        <f>IF(ISNA(VLOOKUP($B154,$B$4:$Q$131,4,FALSE)),"",VLOOKUP($B154,$B$4:$Q$131,4,FALSE))</f>
        <v/>
      </c>
      <c r="F154">
        <f>IF(ISNA(VLOOKUP($B154,$B$4:$Q$131,5,FALSE)),"",VLOOKUP($B154,$B$4:$Q$131,5,FALSE))</f>
        <v/>
      </c>
      <c r="G154" t="inlineStr"/>
      <c r="H154" s="41">
        <f>IF(VLOOKUP($B154,$B$4:$Q$131,7,FALSE)=0,"",VLOOKUP($B154,$B$4:$Q$131,7,FALSE))</f>
        <v/>
      </c>
      <c r="I154">
        <f>IF(J154="","",J154-K154)</f>
        <v/>
      </c>
      <c r="J154">
        <f>IF(ISNA(VLOOKUP($B154,$B$4:$Q$131,9,FALSE)),"",VLOOKUP($B154,$B$4:$Q$131,9,FALSE))</f>
        <v/>
      </c>
      <c r="K154">
        <f>IF(ISNA(VLOOKUP($B154,$B$4:$Q$131,10,FALSE)),"",VLOOKUP($B154,$B$4:$Q$131,10,FALSE))</f>
        <v/>
      </c>
      <c r="L154" t="inlineStr"/>
      <c r="M154" s="41">
        <f>IF(VLOOKUP($B154,$B$4:$Q$131,12,FALSE)=0,"",VLOOKUP($B154,$B$4:$Q$131,12,FALSE))</f>
        <v/>
      </c>
      <c r="N154">
        <f>IF(O154="","",O154-P154)</f>
        <v/>
      </c>
      <c r="O154">
        <f>IF(ISNA(VLOOKUP($B154,$B$4:$Q$131,14,FALSE)),"",VLOOKUP($B154,$B$4:$Q$131,14,FALSE))</f>
        <v/>
      </c>
      <c r="P154">
        <f>IF(ISNA(VLOOKUP($B154,$B$4:$Q$131,15,FALSE)),"",VLOOKUP($B154,$B$4:$Q$131,15,FALSE))</f>
        <v/>
      </c>
      <c r="Q154" t="inlineStr"/>
    </row>
    <row r="155">
      <c r="A155" s="40" t="inlineStr">
        <is>
          <t>OLED</t>
        </is>
      </c>
      <c r="B155" s="40" t="inlineStr">
        <is>
          <t>55S95H</t>
        </is>
      </c>
      <c r="C155" s="41">
        <f>IF(VLOOKUP($B155,$B$4:$Q$131,2,FALSE)=0,"",VLOOKUP($B155,$B$4:$Q$131,2,FALSE))</f>
        <v/>
      </c>
      <c r="D155">
        <f>IF(E155="","",E155-F155)</f>
        <v/>
      </c>
      <c r="E155">
        <f>IF(ISNA(VLOOKUP($B155,$B$4:$Q$131,4,FALSE)),"",VLOOKUP($B155,$B$4:$Q$131,4,FALSE))</f>
        <v/>
      </c>
      <c r="F155">
        <f>IF(ISNA(VLOOKUP($B155,$B$4:$Q$131,5,FALSE)),"",VLOOKUP($B155,$B$4:$Q$131,5,FALSE))</f>
        <v/>
      </c>
      <c r="G155" t="inlineStr"/>
      <c r="H155" s="41">
        <f>IF(VLOOKUP($B155,$B$4:$Q$131,7,FALSE)=0,"",VLOOKUP($B155,$B$4:$Q$131,7,FALSE))</f>
        <v/>
      </c>
      <c r="I155">
        <f>IF(J155="","",J155-K155)</f>
        <v/>
      </c>
      <c r="J155">
        <f>IF(ISNA(VLOOKUP($B155,$B$4:$Q$131,9,FALSE)),"",VLOOKUP($B155,$B$4:$Q$131,9,FALSE))</f>
        <v/>
      </c>
      <c r="K155">
        <f>IF(ISNA(VLOOKUP($B155,$B$4:$Q$131,10,FALSE)),"",VLOOKUP($B155,$B$4:$Q$131,10,FALSE))</f>
        <v/>
      </c>
      <c r="L155" t="inlineStr"/>
      <c r="M155" s="41">
        <f>IF(VLOOKUP($B155,$B$4:$Q$131,12,FALSE)=0,"",VLOOKUP($B155,$B$4:$Q$131,12,FALSE))</f>
        <v/>
      </c>
      <c r="N155">
        <f>IF(O155="","",O155-P155)</f>
        <v/>
      </c>
      <c r="O155">
        <f>IF(ISNA(VLOOKUP($B155,$B$4:$Q$131,14,FALSE)),"",VLOOKUP($B155,$B$4:$Q$131,14,FALSE))</f>
        <v/>
      </c>
      <c r="P155">
        <f>IF(ISNA(VLOOKUP($B155,$B$4:$Q$131,15,FALSE)),"",VLOOKUP($B155,$B$4:$Q$131,15,FALSE))</f>
        <v/>
      </c>
      <c r="Q155" t="inlineStr"/>
    </row>
    <row r="156">
      <c r="A156" s="40" t="inlineStr">
        <is>
          <t>OLED</t>
        </is>
      </c>
      <c r="B156" s="40" t="inlineStr">
        <is>
          <t>55S90H</t>
        </is>
      </c>
      <c r="C156" s="41">
        <f>IF(VLOOKUP($B156,$B$4:$Q$131,2,FALSE)=0,"",VLOOKUP($B156,$B$4:$Q$131,2,FALSE))</f>
        <v/>
      </c>
      <c r="D156">
        <f>IF(E156="","",E156-F156)</f>
        <v/>
      </c>
      <c r="E156">
        <f>IF(ISNA(VLOOKUP($B156,$B$4:$Q$131,4,FALSE)),"",VLOOKUP($B156,$B$4:$Q$131,4,FALSE))</f>
        <v/>
      </c>
      <c r="F156">
        <f>IF(ISNA(VLOOKUP($B156,$B$4:$Q$131,5,FALSE)),"",VLOOKUP($B156,$B$4:$Q$131,5,FALSE))</f>
        <v/>
      </c>
      <c r="G156" t="inlineStr"/>
      <c r="H156" s="41">
        <f>IF(VLOOKUP($B156,$B$4:$Q$131,7,FALSE)=0,"",VLOOKUP($B156,$B$4:$Q$131,7,FALSE))</f>
        <v/>
      </c>
      <c r="I156">
        <f>IF(J156="","",J156-K156)</f>
        <v/>
      </c>
      <c r="J156">
        <f>IF(ISNA(VLOOKUP($B156,$B$4:$Q$131,9,FALSE)),"",VLOOKUP($B156,$B$4:$Q$131,9,FALSE))</f>
        <v/>
      </c>
      <c r="K156">
        <f>IF(ISNA(VLOOKUP($B156,$B$4:$Q$131,10,FALSE)),"",VLOOKUP($B156,$B$4:$Q$131,10,FALSE))</f>
        <v/>
      </c>
      <c r="L156" t="inlineStr"/>
      <c r="M156" s="41">
        <f>IF(VLOOKUP($B156,$B$4:$Q$131,12,FALSE)=0,"",VLOOKUP($B156,$B$4:$Q$131,12,FALSE))</f>
        <v/>
      </c>
      <c r="N156">
        <f>IF(O156="","",O156-P156)</f>
        <v/>
      </c>
      <c r="O156">
        <f>IF(ISNA(VLOOKUP($B156,$B$4:$Q$131,14,FALSE)),"",VLOOKUP($B156,$B$4:$Q$131,14,FALSE))</f>
        <v/>
      </c>
      <c r="P156">
        <f>IF(ISNA(VLOOKUP($B156,$B$4:$Q$131,15,FALSE)),"",VLOOKUP($B156,$B$4:$Q$131,15,FALSE))</f>
        <v/>
      </c>
      <c r="Q156" t="inlineStr"/>
    </row>
    <row r="157">
      <c r="A157" s="40" t="inlineStr">
        <is>
          <t>OLED</t>
        </is>
      </c>
      <c r="B157" s="40" t="inlineStr">
        <is>
          <t>55S85H</t>
        </is>
      </c>
      <c r="C157" s="41">
        <f>IF(VLOOKUP($B157,$B$4:$Q$131,2,FALSE)=0,"",VLOOKUP($B157,$B$4:$Q$131,2,FALSE))</f>
        <v/>
      </c>
      <c r="D157">
        <f>IF(E157="","",E157-F157)</f>
        <v/>
      </c>
      <c r="E157">
        <f>IF(ISNA(VLOOKUP($B157,$B$4:$Q$131,4,FALSE)),"",VLOOKUP($B157,$B$4:$Q$131,4,FALSE))</f>
        <v/>
      </c>
      <c r="F157">
        <f>IF(ISNA(VLOOKUP($B157,$B$4:$Q$131,5,FALSE)),"",VLOOKUP($B157,$B$4:$Q$131,5,FALSE))</f>
        <v/>
      </c>
      <c r="G157" t="inlineStr"/>
      <c r="H157" s="41">
        <f>IF(VLOOKUP($B157,$B$4:$Q$131,7,FALSE)=0,"",VLOOKUP($B157,$B$4:$Q$131,7,FALSE))</f>
        <v/>
      </c>
      <c r="I157">
        <f>IF(J157="","",J157-K157)</f>
        <v/>
      </c>
      <c r="J157">
        <f>IF(ISNA(VLOOKUP($B157,$B$4:$Q$131,9,FALSE)),"",VLOOKUP($B157,$B$4:$Q$131,9,FALSE))</f>
        <v/>
      </c>
      <c r="K157">
        <f>IF(ISNA(VLOOKUP($B157,$B$4:$Q$131,10,FALSE)),"",VLOOKUP($B157,$B$4:$Q$131,10,FALSE))</f>
        <v/>
      </c>
      <c r="L157" t="inlineStr"/>
      <c r="M157" s="41">
        <f>IF(VLOOKUP($B157,$B$4:$Q$131,12,FALSE)=0,"",VLOOKUP($B157,$B$4:$Q$131,12,FALSE))</f>
        <v/>
      </c>
      <c r="N157">
        <f>IF(O157="","",O157-P157)</f>
        <v/>
      </c>
      <c r="O157">
        <f>IF(ISNA(VLOOKUP($B157,$B$4:$Q$131,14,FALSE)),"",VLOOKUP($B157,$B$4:$Q$131,14,FALSE))</f>
        <v/>
      </c>
      <c r="P157">
        <f>IF(ISNA(VLOOKUP($B157,$B$4:$Q$131,15,FALSE)),"",VLOOKUP($B157,$B$4:$Q$131,15,FALSE))</f>
        <v/>
      </c>
      <c r="Q157" t="inlineStr"/>
    </row>
    <row r="158">
      <c r="A158" s="40" t="inlineStr">
        <is>
          <t>QLED</t>
        </is>
      </c>
      <c r="B158" s="40" t="inlineStr">
        <is>
          <t>55QN70H</t>
        </is>
      </c>
      <c r="C158" s="41">
        <f>IF(VLOOKUP($B158,$B$4:$Q$131,2,FALSE)=0,"",VLOOKUP($B158,$B$4:$Q$131,2,FALSE))</f>
        <v/>
      </c>
      <c r="D158">
        <f>IF(E158="","",E158-F158)</f>
        <v/>
      </c>
      <c r="E158">
        <f>IF(ISNA(VLOOKUP($B158,$B$4:$Q$131,4,FALSE)),"",VLOOKUP($B158,$B$4:$Q$131,4,FALSE))</f>
        <v/>
      </c>
      <c r="F158">
        <f>IF(ISNA(VLOOKUP($B158,$B$4:$Q$131,5,FALSE)),"",VLOOKUP($B158,$B$4:$Q$131,5,FALSE))</f>
        <v/>
      </c>
      <c r="G158" t="inlineStr"/>
      <c r="H158" s="41">
        <f>IF(VLOOKUP($B158,$B$4:$Q$131,7,FALSE)=0,"",VLOOKUP($B158,$B$4:$Q$131,7,FALSE))</f>
        <v/>
      </c>
      <c r="I158">
        <f>IF(J158="","",J158-K158)</f>
        <v/>
      </c>
      <c r="J158">
        <f>IF(ISNA(VLOOKUP($B158,$B$4:$Q$131,9,FALSE)),"",VLOOKUP($B158,$B$4:$Q$131,9,FALSE))</f>
        <v/>
      </c>
      <c r="K158">
        <f>IF(ISNA(VLOOKUP($B158,$B$4:$Q$131,10,FALSE)),"",VLOOKUP($B158,$B$4:$Q$131,10,FALSE))</f>
        <v/>
      </c>
      <c r="L158" t="inlineStr"/>
      <c r="M158" s="41">
        <f>IF(VLOOKUP($B158,$B$4:$Q$131,12,FALSE)=0,"",VLOOKUP($B158,$B$4:$Q$131,12,FALSE))</f>
        <v/>
      </c>
      <c r="N158">
        <f>IF(O158="","",O158-P158)</f>
        <v/>
      </c>
      <c r="O158">
        <f>IF(ISNA(VLOOKUP($B158,$B$4:$Q$131,14,FALSE)),"",VLOOKUP($B158,$B$4:$Q$131,14,FALSE))</f>
        <v/>
      </c>
      <c r="P158">
        <f>IF(ISNA(VLOOKUP($B158,$B$4:$Q$131,15,FALSE)),"",VLOOKUP($B158,$B$4:$Q$131,15,FALSE))</f>
        <v/>
      </c>
      <c r="Q158" t="inlineStr"/>
    </row>
    <row r="159">
      <c r="A159" s="40" t="inlineStr">
        <is>
          <t>QLED</t>
        </is>
      </c>
      <c r="B159" s="40" t="inlineStr">
        <is>
          <t>55Q8H</t>
        </is>
      </c>
      <c r="C159" s="41">
        <f>IF(VLOOKUP("55R95H",$B$4:$Q$131,2,FALSE)=0,"",VLOOKUP("55R95H",$B$4:$Q$131,2,FALSE))</f>
        <v/>
      </c>
      <c r="D159">
        <f>IF(E159="","",E159-F159)</f>
        <v/>
      </c>
      <c r="E159">
        <f>IF(ISNA(VLOOKUP("55R95H",$B$4:$Q$131,4,FALSE)),"",VLOOKUP("55R95H",$B$4:$Q$131,4,FALSE))</f>
        <v/>
      </c>
      <c r="F159">
        <f>IF(ISNA(VLOOKUP("55R95H",$B$4:$Q$131,5,FALSE)),"",VLOOKUP("55R95H",$B$4:$Q$131,5,FALSE))</f>
        <v/>
      </c>
      <c r="G159" t="inlineStr"/>
      <c r="H159" s="41">
        <f>IF(VLOOKUP("55R95H",$B$4:$Q$131,7,FALSE)=0,"",VLOOKUP("55R95H",$B$4:$Q$131,7,FALSE))</f>
        <v/>
      </c>
      <c r="I159">
        <f>IF(J159="","",J159-K159)</f>
        <v/>
      </c>
      <c r="J159">
        <f>IF(ISNA(VLOOKUP("55R95H",$B$4:$Q$131,9,FALSE)),"",VLOOKUP("55R95H",$B$4:$Q$131,9,FALSE))</f>
        <v/>
      </c>
      <c r="K159">
        <f>IF(ISNA(VLOOKUP("55R95H",$B$4:$Q$131,10,FALSE)),"",VLOOKUP("55R95H",$B$4:$Q$131,10,FALSE))</f>
        <v/>
      </c>
      <c r="L159" t="inlineStr"/>
      <c r="M159" s="41">
        <f>IF(VLOOKUP("55R95H",$B$4:$Q$131,12,FALSE)=0,"",VLOOKUP("55R95H",$B$4:$Q$131,12,FALSE))</f>
        <v/>
      </c>
      <c r="N159">
        <f>IF(O159="","",O159-P159)</f>
        <v/>
      </c>
      <c r="O159">
        <f>IF(ISNA(VLOOKUP("55R95H",$B$4:$Q$131,14,FALSE)),"",VLOOKUP("55R95H",$B$4:$Q$131,14,FALSE))</f>
        <v/>
      </c>
      <c r="P159">
        <f>IF(ISNA(VLOOKUP("55R95H",$B$4:$Q$131,15,FALSE)),"",VLOOKUP("55R95H",$B$4:$Q$131,15,FALSE))</f>
        <v/>
      </c>
      <c r="Q159" t="inlineStr"/>
    </row>
    <row r="160">
      <c r="A160" s="40" t="inlineStr">
        <is>
          <t>QLED</t>
        </is>
      </c>
      <c r="B160" s="40" t="inlineStr">
        <is>
          <t>55Q7H</t>
        </is>
      </c>
      <c r="C160" s="41">
        <f>IF(VLOOKUP("55R85H",$B$4:$Q$131,2,FALSE)=0,"",VLOOKUP("55R85H",$B$4:$Q$131,2,FALSE))</f>
        <v/>
      </c>
      <c r="D160">
        <f>IF(E160="","",E160-F160)</f>
        <v/>
      </c>
      <c r="E160">
        <f>IF(ISNA(VLOOKUP("55R85H",$B$4:$Q$131,4,FALSE)),"",VLOOKUP("55R85H",$B$4:$Q$131,4,FALSE))</f>
        <v/>
      </c>
      <c r="F160">
        <f>IF(ISNA(VLOOKUP("55R85H",$B$4:$Q$131,5,FALSE)),"",VLOOKUP("55R85H",$B$4:$Q$131,5,FALSE))</f>
        <v/>
      </c>
      <c r="G160" t="inlineStr"/>
      <c r="H160" s="41">
        <f>IF(VLOOKUP("55R85H",$B$4:$Q$131,7,FALSE)=0,"",VLOOKUP("55R85H",$B$4:$Q$131,7,FALSE))</f>
        <v/>
      </c>
      <c r="I160">
        <f>IF(J160="","",J160-K160)</f>
        <v/>
      </c>
      <c r="J160">
        <f>IF(ISNA(VLOOKUP("55R85H",$B$4:$Q$131,9,FALSE)),"",VLOOKUP("55R85H",$B$4:$Q$131,9,FALSE))</f>
        <v/>
      </c>
      <c r="K160">
        <f>IF(ISNA(VLOOKUP("55R85H",$B$4:$Q$131,10,FALSE)),"",VLOOKUP("55R85H",$B$4:$Q$131,10,FALSE))</f>
        <v/>
      </c>
      <c r="L160" t="inlineStr"/>
      <c r="M160" s="41">
        <f>IF(VLOOKUP("55R85H",$B$4:$Q$131,12,FALSE)=0,"",VLOOKUP("55R85H",$B$4:$Q$131,12,FALSE))</f>
        <v/>
      </c>
      <c r="N160">
        <f>IF(O160="","",O160-P160)</f>
        <v/>
      </c>
      <c r="O160">
        <f>IF(ISNA(VLOOKUP("55R85H",$B$4:$Q$131,14,FALSE)),"",VLOOKUP("55R85H",$B$4:$Q$131,14,FALSE))</f>
        <v/>
      </c>
      <c r="P160">
        <f>IF(ISNA(VLOOKUP("55R85H",$B$4:$Q$131,15,FALSE)),"",VLOOKUP("55R85H",$B$4:$Q$131,15,FALSE))</f>
        <v/>
      </c>
      <c r="Q160" t="inlineStr"/>
    </row>
    <row r="161">
      <c r="A161" s="40" t="inlineStr">
        <is>
          <t>UHD 4K</t>
        </is>
      </c>
      <c r="B161" s="40" t="inlineStr">
        <is>
          <t>55U8000H</t>
        </is>
      </c>
      <c r="C161" s="41">
        <f>IF(VLOOKUP($B161,$B$4:$Q$131,2,FALSE)=0,"",VLOOKUP($B161,$B$4:$Q$131,2,FALSE))</f>
        <v/>
      </c>
      <c r="D161">
        <f>IF(E161="","",E161-F161)</f>
        <v/>
      </c>
      <c r="E161">
        <f>IF(ISNA(VLOOKUP($B161,$B$4:$Q$131,4,FALSE)),"",VLOOKUP($B161,$B$4:$Q$131,4,FALSE))</f>
        <v/>
      </c>
      <c r="F161">
        <f>IF(ISNA(VLOOKUP($B161,$B$4:$Q$131,5,FALSE)),"",VLOOKUP($B161,$B$4:$Q$131,5,FALSE))</f>
        <v/>
      </c>
      <c r="G161" t="inlineStr"/>
      <c r="H161" s="41">
        <f>IF(VLOOKUP($B161,$B$4:$Q$131,7,FALSE)=0,"",VLOOKUP($B161,$B$4:$Q$131,7,FALSE))</f>
        <v/>
      </c>
      <c r="I161">
        <f>IF(J161="","",J161-K161)</f>
        <v/>
      </c>
      <c r="J161">
        <f>IF(ISNA(VLOOKUP($B161,$B$4:$Q$131,9,FALSE)),"",VLOOKUP($B161,$B$4:$Q$131,9,FALSE))</f>
        <v/>
      </c>
      <c r="K161">
        <f>IF(ISNA(VLOOKUP($B161,$B$4:$Q$131,10,FALSE)),"",VLOOKUP($B161,$B$4:$Q$131,10,FALSE))</f>
        <v/>
      </c>
      <c r="L161" t="inlineStr"/>
      <c r="M161" s="41">
        <f>IF(VLOOKUP($B161,$B$4:$Q$131,12,FALSE)=0,"",VLOOKUP($B161,$B$4:$Q$131,12,FALSE))</f>
        <v/>
      </c>
      <c r="N161">
        <f>IF(O161="","",O161-P161)</f>
        <v/>
      </c>
      <c r="O161">
        <f>IF(ISNA(VLOOKUP($B161,$B$4:$Q$131,14,FALSE)),"",VLOOKUP($B161,$B$4:$Q$131,14,FALSE))</f>
        <v/>
      </c>
      <c r="P161">
        <f>IF(ISNA(VLOOKUP($B161,$B$4:$Q$131,15,FALSE)),"",VLOOKUP($B161,$B$4:$Q$131,15,FALSE))</f>
        <v/>
      </c>
      <c r="Q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40" t="inlineStr">
        <is>
          <t>OLED</t>
        </is>
      </c>
      <c r="B163" s="40" t="inlineStr">
        <is>
          <t>65S99H</t>
        </is>
      </c>
      <c r="C163" s="41">
        <f>IF(VLOOKUP($B163,$B$4:$Q$131,2,FALSE)=0,"",VLOOKUP($B163,$B$4:$Q$131,2,FALSE))</f>
        <v/>
      </c>
      <c r="D163">
        <f>IF(E163="","",E163-F163)</f>
        <v/>
      </c>
      <c r="E163">
        <f>IF(ISNA(VLOOKUP($B163,$B$4:$Q$131,4,FALSE)),"",VLOOKUP($B163,$B$4:$Q$131,4,FALSE))</f>
        <v/>
      </c>
      <c r="F163">
        <f>IF(ISNA(VLOOKUP($B163,$B$4:$Q$131,5,FALSE)),"",VLOOKUP($B163,$B$4:$Q$131,5,FALSE))</f>
        <v/>
      </c>
      <c r="G163" t="inlineStr"/>
      <c r="H163" s="41">
        <f>IF(VLOOKUP($B163,$B$4:$Q$131,7,FALSE)=0,"",VLOOKUP($B163,$B$4:$Q$131,7,FALSE))</f>
        <v/>
      </c>
      <c r="I163">
        <f>IF(J163="","",J163-K163)</f>
        <v/>
      </c>
      <c r="J163">
        <f>IF(ISNA(VLOOKUP($B163,$B$4:$Q$131,9,FALSE)),"",VLOOKUP($B163,$B$4:$Q$131,9,FALSE))</f>
        <v/>
      </c>
      <c r="K163">
        <f>IF(ISNA(VLOOKUP($B163,$B$4:$Q$131,10,FALSE)),"",VLOOKUP($B163,$B$4:$Q$131,10,FALSE))</f>
        <v/>
      </c>
      <c r="L163" t="inlineStr"/>
      <c r="M163" s="41">
        <f>IF(VLOOKUP($B163,$B$4:$Q$131,12,FALSE)=0,"",VLOOKUP($B163,$B$4:$Q$131,12,FALSE))</f>
        <v/>
      </c>
      <c r="N163">
        <f>IF(O163="","",O163-P163)</f>
        <v/>
      </c>
      <c r="O163">
        <f>IF(ISNA(VLOOKUP($B163,$B$4:$Q$131,14,FALSE)),"",VLOOKUP($B163,$B$4:$Q$131,14,FALSE))</f>
        <v/>
      </c>
      <c r="P163">
        <f>IF(ISNA(VLOOKUP($B163,$B$4:$Q$131,15,FALSE)),"",VLOOKUP($B163,$B$4:$Q$131,15,FALSE))</f>
        <v/>
      </c>
      <c r="Q163" t="inlineStr"/>
    </row>
    <row r="164">
      <c r="A164" s="40" t="inlineStr">
        <is>
          <t>OLED</t>
        </is>
      </c>
      <c r="B164" s="40" t="inlineStr">
        <is>
          <t>65S95H</t>
        </is>
      </c>
      <c r="C164" s="41">
        <f>IF(VLOOKUP($B164,$B$4:$Q$131,2,FALSE)=0,"",VLOOKUP($B164,$B$4:$Q$131,2,FALSE))</f>
        <v/>
      </c>
      <c r="D164">
        <f>IF(E164="","",E164-F164)</f>
        <v/>
      </c>
      <c r="E164">
        <f>IF(ISNA(VLOOKUP($B164,$B$4:$Q$131,4,FALSE)),"",VLOOKUP($B164,$B$4:$Q$131,4,FALSE))</f>
        <v/>
      </c>
      <c r="F164">
        <f>IF(ISNA(VLOOKUP($B164,$B$4:$Q$131,5,FALSE)),"",VLOOKUP($B164,$B$4:$Q$131,5,FALSE))</f>
        <v/>
      </c>
      <c r="G164" t="inlineStr"/>
      <c r="H164" s="41">
        <f>IF(VLOOKUP($B164,$B$4:$Q$131,7,FALSE)=0,"",VLOOKUP($B164,$B$4:$Q$131,7,FALSE))</f>
        <v/>
      </c>
      <c r="I164">
        <f>IF(J164="","",J164-K164)</f>
        <v/>
      </c>
      <c r="J164">
        <f>IF(ISNA(VLOOKUP($B164,$B$4:$Q$131,9,FALSE)),"",VLOOKUP($B164,$B$4:$Q$131,9,FALSE))</f>
        <v/>
      </c>
      <c r="K164">
        <f>IF(ISNA(VLOOKUP($B164,$B$4:$Q$131,10,FALSE)),"",VLOOKUP($B164,$B$4:$Q$131,10,FALSE))</f>
        <v/>
      </c>
      <c r="L164" t="inlineStr"/>
      <c r="M164" s="41">
        <f>IF(VLOOKUP($B164,$B$4:$Q$131,12,FALSE)=0,"",VLOOKUP($B164,$B$4:$Q$131,12,FALSE))</f>
        <v/>
      </c>
      <c r="N164">
        <f>IF(O164="","",O164-P164)</f>
        <v/>
      </c>
      <c r="O164">
        <f>IF(ISNA(VLOOKUP($B164,$B$4:$Q$131,14,FALSE)),"",VLOOKUP($B164,$B$4:$Q$131,14,FALSE))</f>
        <v/>
      </c>
      <c r="P164">
        <f>IF(ISNA(VLOOKUP($B164,$B$4:$Q$131,15,FALSE)),"",VLOOKUP($B164,$B$4:$Q$131,15,FALSE))</f>
        <v/>
      </c>
      <c r="Q164" t="inlineStr"/>
    </row>
    <row r="165">
      <c r="A165" s="40" t="inlineStr">
        <is>
          <t>OLED</t>
        </is>
      </c>
      <c r="B165" s="40" t="inlineStr">
        <is>
          <t>65S90H</t>
        </is>
      </c>
      <c r="C165" s="41">
        <f>IF(VLOOKUP($B165,$B$4:$Q$131,2,FALSE)=0,"",VLOOKUP($B165,$B$4:$Q$131,2,FALSE))</f>
        <v/>
      </c>
      <c r="D165">
        <f>IF(E165="","",E165-F165)</f>
        <v/>
      </c>
      <c r="E165">
        <f>IF(ISNA(VLOOKUP($B165,$B$4:$Q$131,4,FALSE)),"",VLOOKUP($B165,$B$4:$Q$131,4,FALSE))</f>
        <v/>
      </c>
      <c r="F165">
        <f>IF(ISNA(VLOOKUP($B165,$B$4:$Q$131,5,FALSE)),"",VLOOKUP($B165,$B$4:$Q$131,5,FALSE))</f>
        <v/>
      </c>
      <c r="G165" t="inlineStr"/>
      <c r="H165" s="41">
        <f>IF(VLOOKUP($B165,$B$4:$Q$131,7,FALSE)=0,"",VLOOKUP($B165,$B$4:$Q$131,7,FALSE))</f>
        <v/>
      </c>
      <c r="I165">
        <f>IF(J165="","",J165-K165)</f>
        <v/>
      </c>
      <c r="J165">
        <f>IF(ISNA(VLOOKUP($B165,$B$4:$Q$131,9,FALSE)),"",VLOOKUP($B165,$B$4:$Q$131,9,FALSE))</f>
        <v/>
      </c>
      <c r="K165">
        <f>IF(ISNA(VLOOKUP($B165,$B$4:$Q$131,10,FALSE)),"",VLOOKUP($B165,$B$4:$Q$131,10,FALSE))</f>
        <v/>
      </c>
      <c r="L165" t="inlineStr"/>
      <c r="M165" s="41">
        <f>IF(VLOOKUP($B165,$B$4:$Q$131,12,FALSE)=0,"",VLOOKUP($B165,$B$4:$Q$131,12,FALSE))</f>
        <v/>
      </c>
      <c r="N165">
        <f>IF(O165="","",O165-P165)</f>
        <v/>
      </c>
      <c r="O165">
        <f>IF(ISNA(VLOOKUP($B165,$B$4:$Q$131,14,FALSE)),"",VLOOKUP($B165,$B$4:$Q$131,14,FALSE))</f>
        <v/>
      </c>
      <c r="P165">
        <f>IF(ISNA(VLOOKUP($B165,$B$4:$Q$131,15,FALSE)),"",VLOOKUP($B165,$B$4:$Q$131,15,FALSE))</f>
        <v/>
      </c>
      <c r="Q165" t="inlineStr"/>
    </row>
    <row r="166">
      <c r="A166" s="40" t="inlineStr">
        <is>
          <t>OLED</t>
        </is>
      </c>
      <c r="B166" s="40" t="inlineStr">
        <is>
          <t>65S85H</t>
        </is>
      </c>
      <c r="C166" s="41">
        <f>IF(VLOOKUP($B166,$B$4:$Q$131,2,FALSE)=0,"",VLOOKUP($B166,$B$4:$Q$131,2,FALSE))</f>
        <v/>
      </c>
      <c r="D166">
        <f>IF(E166="","",E166-F166)</f>
        <v/>
      </c>
      <c r="E166">
        <f>IF(ISNA(VLOOKUP($B166,$B$4:$Q$131,4,FALSE)),"",VLOOKUP($B166,$B$4:$Q$131,4,FALSE))</f>
        <v/>
      </c>
      <c r="F166">
        <f>IF(ISNA(VLOOKUP($B166,$B$4:$Q$131,5,FALSE)),"",VLOOKUP($B166,$B$4:$Q$131,5,FALSE))</f>
        <v/>
      </c>
      <c r="G166" t="inlineStr"/>
      <c r="H166" s="41">
        <f>IF(VLOOKUP($B166,$B$4:$Q$131,7,FALSE)=0,"",VLOOKUP($B166,$B$4:$Q$131,7,FALSE))</f>
        <v/>
      </c>
      <c r="I166">
        <f>IF(J166="","",J166-K166)</f>
        <v/>
      </c>
      <c r="J166">
        <f>IF(ISNA(VLOOKUP($B166,$B$4:$Q$131,9,FALSE)),"",VLOOKUP($B166,$B$4:$Q$131,9,FALSE))</f>
        <v/>
      </c>
      <c r="K166">
        <f>IF(ISNA(VLOOKUP($B166,$B$4:$Q$131,10,FALSE)),"",VLOOKUP($B166,$B$4:$Q$131,10,FALSE))</f>
        <v/>
      </c>
      <c r="L166" t="inlineStr"/>
      <c r="M166" s="41">
        <f>IF(VLOOKUP($B166,$B$4:$Q$131,12,FALSE)=0,"",VLOOKUP($B166,$B$4:$Q$131,12,FALSE))</f>
        <v/>
      </c>
      <c r="N166">
        <f>IF(O166="","",O166-P166)</f>
        <v/>
      </c>
      <c r="O166">
        <f>IF(ISNA(VLOOKUP($B166,$B$4:$Q$131,14,FALSE)),"",VLOOKUP($B166,$B$4:$Q$131,14,FALSE))</f>
        <v/>
      </c>
      <c r="P166">
        <f>IF(ISNA(VLOOKUP($B166,$B$4:$Q$131,15,FALSE)),"",VLOOKUP($B166,$B$4:$Q$131,15,FALSE))</f>
        <v/>
      </c>
      <c r="Q166" t="inlineStr"/>
    </row>
    <row r="167">
      <c r="A167" s="40" t="inlineStr">
        <is>
          <t>QLED</t>
        </is>
      </c>
      <c r="B167" s="40" t="inlineStr">
        <is>
          <t>65QN70H</t>
        </is>
      </c>
      <c r="C167" s="41">
        <f>IF(VLOOKUP($B167,$B$4:$Q$131,2,FALSE)=0,"",VLOOKUP($B167,$B$4:$Q$131,2,FALSE))</f>
        <v/>
      </c>
      <c r="D167">
        <f>IF(E167="","",E167-F167)</f>
        <v/>
      </c>
      <c r="E167">
        <f>IF(ISNA(VLOOKUP($B167,$B$4:$Q$131,4,FALSE)),"",VLOOKUP($B167,$B$4:$Q$131,4,FALSE))</f>
        <v/>
      </c>
      <c r="F167">
        <f>IF(ISNA(VLOOKUP($B167,$B$4:$Q$131,5,FALSE)),"",VLOOKUP($B167,$B$4:$Q$131,5,FALSE))</f>
        <v/>
      </c>
      <c r="G167" t="inlineStr"/>
      <c r="H167" s="41">
        <f>IF(VLOOKUP($B167,$B$4:$Q$131,7,FALSE)=0,"",VLOOKUP($B167,$B$4:$Q$131,7,FALSE))</f>
        <v/>
      </c>
      <c r="I167">
        <f>IF(J167="","",J167-K167)</f>
        <v/>
      </c>
      <c r="J167">
        <f>IF(ISNA(VLOOKUP($B167,$B$4:$Q$131,9,FALSE)),"",VLOOKUP($B167,$B$4:$Q$131,9,FALSE))</f>
        <v/>
      </c>
      <c r="K167">
        <f>IF(ISNA(VLOOKUP($B167,$B$4:$Q$131,10,FALSE)),"",VLOOKUP($B167,$B$4:$Q$131,10,FALSE))</f>
        <v/>
      </c>
      <c r="L167" t="inlineStr"/>
      <c r="M167" s="41">
        <f>IF(VLOOKUP($B167,$B$4:$Q$131,12,FALSE)=0,"",VLOOKUP($B167,$B$4:$Q$131,12,FALSE))</f>
        <v/>
      </c>
      <c r="N167">
        <f>IF(O167="","",O167-P167)</f>
        <v/>
      </c>
      <c r="O167">
        <f>IF(ISNA(VLOOKUP($B167,$B$4:$Q$131,14,FALSE)),"",VLOOKUP($B167,$B$4:$Q$131,14,FALSE))</f>
        <v/>
      </c>
      <c r="P167">
        <f>IF(ISNA(VLOOKUP($B167,$B$4:$Q$131,15,FALSE)),"",VLOOKUP($B167,$B$4:$Q$131,15,FALSE))</f>
        <v/>
      </c>
      <c r="Q167" t="inlineStr"/>
    </row>
    <row r="168">
      <c r="A168" s="40" t="inlineStr">
        <is>
          <t>QLED</t>
        </is>
      </c>
      <c r="B168" s="40" t="inlineStr">
        <is>
          <t>65Q8H</t>
        </is>
      </c>
      <c r="C168" s="41">
        <f>IF(VLOOKUP("65R95H",$B$4:$Q$131,2,FALSE)=0,"",VLOOKUP("65R95H",$B$4:$Q$131,2,FALSE))</f>
        <v/>
      </c>
      <c r="D168">
        <f>IF(E168="","",E168-F168)</f>
        <v/>
      </c>
      <c r="E168">
        <f>IF(ISNA(VLOOKUP("65R95H",$B$4:$Q$131,4,FALSE)),"",VLOOKUP("65R95H",$B$4:$Q$131,4,FALSE))</f>
        <v/>
      </c>
      <c r="F168">
        <f>IF(ISNA(VLOOKUP("65R95H",$B$4:$Q$131,5,FALSE)),"",VLOOKUP("65R95H",$B$4:$Q$131,5,FALSE))</f>
        <v/>
      </c>
      <c r="G168" t="inlineStr"/>
      <c r="H168" s="41">
        <f>IF(VLOOKUP("65R95H",$B$4:$Q$131,7,FALSE)=0,"",VLOOKUP("65R95H",$B$4:$Q$131,7,FALSE))</f>
        <v/>
      </c>
      <c r="I168">
        <f>IF(J168="","",J168-K168)</f>
        <v/>
      </c>
      <c r="J168">
        <f>IF(ISNA(VLOOKUP("65R95H",$B$4:$Q$131,9,FALSE)),"",VLOOKUP("65R95H",$B$4:$Q$131,9,FALSE))</f>
        <v/>
      </c>
      <c r="K168">
        <f>IF(ISNA(VLOOKUP("65R95H",$B$4:$Q$131,10,FALSE)),"",VLOOKUP("65R95H",$B$4:$Q$131,10,FALSE))</f>
        <v/>
      </c>
      <c r="L168" t="inlineStr"/>
      <c r="M168" s="41">
        <f>IF(VLOOKUP("65R95H",$B$4:$Q$131,12,FALSE)=0,"",VLOOKUP("65R95H",$B$4:$Q$131,12,FALSE))</f>
        <v/>
      </c>
      <c r="N168">
        <f>IF(O168="","",O168-P168)</f>
        <v/>
      </c>
      <c r="O168">
        <f>IF(ISNA(VLOOKUP("65R95H",$B$4:$Q$131,14,FALSE)),"",VLOOKUP("65R95H",$B$4:$Q$131,14,FALSE))</f>
        <v/>
      </c>
      <c r="P168">
        <f>IF(ISNA(VLOOKUP("65R95H",$B$4:$Q$131,15,FALSE)),"",VLOOKUP("65R95H",$B$4:$Q$131,15,FALSE))</f>
        <v/>
      </c>
      <c r="Q168" t="inlineStr"/>
    </row>
    <row r="169">
      <c r="A169" s="40" t="inlineStr">
        <is>
          <t>QLED</t>
        </is>
      </c>
      <c r="B169" s="40" t="inlineStr">
        <is>
          <t>65Q7H</t>
        </is>
      </c>
      <c r="C169" s="41">
        <f>IF(VLOOKUP("65R85H",$B$4:$Q$131,2,FALSE)=0,"",VLOOKUP("65R85H",$B$4:$Q$131,2,FALSE))</f>
        <v/>
      </c>
      <c r="D169">
        <f>IF(E169="","",E169-F169)</f>
        <v/>
      </c>
      <c r="E169">
        <f>IF(ISNA(VLOOKUP("65R85H",$B$4:$Q$131,4,FALSE)),"",VLOOKUP("65R85H",$B$4:$Q$131,4,FALSE))</f>
        <v/>
      </c>
      <c r="F169">
        <f>IF(ISNA(VLOOKUP("65R85H",$B$4:$Q$131,5,FALSE)),"",VLOOKUP("65R85H",$B$4:$Q$131,5,FALSE))</f>
        <v/>
      </c>
      <c r="G169" t="inlineStr"/>
      <c r="H169" s="41">
        <f>IF(VLOOKUP("65R85H",$B$4:$Q$131,7,FALSE)=0,"",VLOOKUP("65R85H",$B$4:$Q$131,7,FALSE))</f>
        <v/>
      </c>
      <c r="I169">
        <f>IF(J169="","",J169-K169)</f>
        <v/>
      </c>
      <c r="J169">
        <f>IF(ISNA(VLOOKUP("65R85H",$B$4:$Q$131,9,FALSE)),"",VLOOKUP("65R85H",$B$4:$Q$131,9,FALSE))</f>
        <v/>
      </c>
      <c r="K169">
        <f>IF(ISNA(VLOOKUP("65R85H",$B$4:$Q$131,10,FALSE)),"",VLOOKUP("65R85H",$B$4:$Q$131,10,FALSE))</f>
        <v/>
      </c>
      <c r="L169" t="inlineStr"/>
      <c r="M169" s="41">
        <f>IF(VLOOKUP("65R85H",$B$4:$Q$131,12,FALSE)=0,"",VLOOKUP("65R85H",$B$4:$Q$131,12,FALSE))</f>
        <v/>
      </c>
      <c r="N169">
        <f>IF(O169="","",O169-P169)</f>
        <v/>
      </c>
      <c r="O169">
        <f>IF(ISNA(VLOOKUP("65R85H",$B$4:$Q$131,14,FALSE)),"",VLOOKUP("65R85H",$B$4:$Q$131,14,FALSE))</f>
        <v/>
      </c>
      <c r="P169">
        <f>IF(ISNA(VLOOKUP("65R85H",$B$4:$Q$131,15,FALSE)),"",VLOOKUP("65R85H",$B$4:$Q$131,15,FALSE))</f>
        <v/>
      </c>
      <c r="Q169" t="inlineStr"/>
    </row>
    <row r="170">
      <c r="A170" s="40" t="inlineStr">
        <is>
          <t>UHD 4K</t>
        </is>
      </c>
      <c r="B170" s="40" t="inlineStr">
        <is>
          <t>65U8000H</t>
        </is>
      </c>
      <c r="C170" s="41">
        <f>IF(VLOOKUP($B170,$B$4:$Q$131,2,FALSE)=0,"",VLOOKUP($B170,$B$4:$Q$131,2,FALSE))</f>
        <v/>
      </c>
      <c r="D170">
        <f>IF(E170="","",E170-F170)</f>
        <v/>
      </c>
      <c r="E170">
        <f>IF(ISNA(VLOOKUP($B170,$B$4:$Q$131,4,FALSE)),"",VLOOKUP($B170,$B$4:$Q$131,4,FALSE))</f>
        <v/>
      </c>
      <c r="F170">
        <f>IF(ISNA(VLOOKUP($B170,$B$4:$Q$131,5,FALSE)),"",VLOOKUP($B170,$B$4:$Q$131,5,FALSE))</f>
        <v/>
      </c>
      <c r="G170" t="inlineStr"/>
      <c r="H170" s="41">
        <f>IF(VLOOKUP($B170,$B$4:$Q$131,7,FALSE)=0,"",VLOOKUP($B170,$B$4:$Q$131,7,FALSE))</f>
        <v/>
      </c>
      <c r="I170">
        <f>IF(J170="","",J170-K170)</f>
        <v/>
      </c>
      <c r="J170">
        <f>IF(ISNA(VLOOKUP($B170,$B$4:$Q$131,9,FALSE)),"",VLOOKUP($B170,$B$4:$Q$131,9,FALSE))</f>
        <v/>
      </c>
      <c r="K170">
        <f>IF(ISNA(VLOOKUP($B170,$B$4:$Q$131,10,FALSE)),"",VLOOKUP($B170,$B$4:$Q$131,10,FALSE))</f>
        <v/>
      </c>
      <c r="L170" t="inlineStr"/>
      <c r="M170" s="41">
        <f>IF(VLOOKUP($B170,$B$4:$Q$131,12,FALSE)=0,"",VLOOKUP($B170,$B$4:$Q$131,12,FALSE))</f>
        <v/>
      </c>
      <c r="N170">
        <f>IF(O170="","",O170-P170)</f>
        <v/>
      </c>
      <c r="O170">
        <f>IF(ISNA(VLOOKUP($B170,$B$4:$Q$131,14,FALSE)),"",VLOOKUP($B170,$B$4:$Q$131,14,FALSE))</f>
        <v/>
      </c>
      <c r="P170">
        <f>IF(ISNA(VLOOKUP($B170,$B$4:$Q$131,15,FALSE)),"",VLOOKUP($B170,$B$4:$Q$131,15,FALSE))</f>
        <v/>
      </c>
      <c r="Q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40" t="inlineStr">
        <is>
          <t>OLED</t>
        </is>
      </c>
      <c r="B172" s="40" t="inlineStr">
        <is>
          <t>77S99H</t>
        </is>
      </c>
      <c r="C172" s="41">
        <f>IF(VLOOKUP($B172,$B$4:$Q$131,2,FALSE)=0,"",VLOOKUP($B172,$B$4:$Q$131,2,FALSE))</f>
        <v/>
      </c>
      <c r="D172">
        <f>IF(E172="","",E172-F172)</f>
        <v/>
      </c>
      <c r="E172">
        <f>IF(ISNA(VLOOKUP($B172,$B$4:$Q$131,4,FALSE)),"",VLOOKUP($B172,$B$4:$Q$131,4,FALSE))</f>
        <v/>
      </c>
      <c r="F172">
        <f>IF(ISNA(VLOOKUP($B172,$B$4:$Q$131,5,FALSE)),"",VLOOKUP($B172,$B$4:$Q$131,5,FALSE))</f>
        <v/>
      </c>
      <c r="G172" t="inlineStr"/>
      <c r="H172" s="41">
        <f>IF(VLOOKUP($B172,$B$4:$Q$131,7,FALSE)=0,"",VLOOKUP($B172,$B$4:$Q$131,7,FALSE))</f>
        <v/>
      </c>
      <c r="I172">
        <f>IF(J172="","",J172-K172)</f>
        <v/>
      </c>
      <c r="J172">
        <f>IF(ISNA(VLOOKUP($B172,$B$4:$Q$131,9,FALSE)),"",VLOOKUP($B172,$B$4:$Q$131,9,FALSE))</f>
        <v/>
      </c>
      <c r="K172">
        <f>IF(ISNA(VLOOKUP($B172,$B$4:$Q$131,10,FALSE)),"",VLOOKUP($B172,$B$4:$Q$131,10,FALSE))</f>
        <v/>
      </c>
      <c r="L172" t="inlineStr"/>
      <c r="M172" s="41">
        <f>IF(VLOOKUP($B172,$B$4:$Q$131,12,FALSE)=0,"",VLOOKUP($B172,$B$4:$Q$131,12,FALSE))</f>
        <v/>
      </c>
      <c r="N172">
        <f>IF(O172="","",O172-P172)</f>
        <v/>
      </c>
      <c r="O172">
        <f>IF(ISNA(VLOOKUP($B172,$B$4:$Q$131,14,FALSE)),"",VLOOKUP($B172,$B$4:$Q$131,14,FALSE))</f>
        <v/>
      </c>
      <c r="P172">
        <f>IF(ISNA(VLOOKUP($B172,$B$4:$Q$131,15,FALSE)),"",VLOOKUP($B172,$B$4:$Q$131,15,FALSE))</f>
        <v/>
      </c>
      <c r="Q172" t="inlineStr"/>
    </row>
    <row r="173">
      <c r="A173" s="40" t="inlineStr">
        <is>
          <t>OLED</t>
        </is>
      </c>
      <c r="B173" s="40" t="inlineStr">
        <is>
          <t>77S95H</t>
        </is>
      </c>
      <c r="C173" s="41">
        <f>IF(VLOOKUP($B173,$B$4:$Q$131,2,FALSE)=0,"",VLOOKUP($B173,$B$4:$Q$131,2,FALSE))</f>
        <v/>
      </c>
      <c r="D173">
        <f>IF(E173="","",E173-F173)</f>
        <v/>
      </c>
      <c r="E173">
        <f>IF(ISNA(VLOOKUP($B173,$B$4:$Q$131,4,FALSE)),"",VLOOKUP($B173,$B$4:$Q$131,4,FALSE))</f>
        <v/>
      </c>
      <c r="F173">
        <f>IF(ISNA(VLOOKUP($B173,$B$4:$Q$131,5,FALSE)),"",VLOOKUP($B173,$B$4:$Q$131,5,FALSE))</f>
        <v/>
      </c>
      <c r="G173" t="inlineStr"/>
      <c r="H173" s="41">
        <f>IF(VLOOKUP($B173,$B$4:$Q$131,7,FALSE)=0,"",VLOOKUP($B173,$B$4:$Q$131,7,FALSE))</f>
        <v/>
      </c>
      <c r="I173">
        <f>IF(J173="","",J173-K173)</f>
        <v/>
      </c>
      <c r="J173">
        <f>IF(ISNA(VLOOKUP($B173,$B$4:$Q$131,9,FALSE)),"",VLOOKUP($B173,$B$4:$Q$131,9,FALSE))</f>
        <v/>
      </c>
      <c r="K173">
        <f>IF(ISNA(VLOOKUP($B173,$B$4:$Q$131,10,FALSE)),"",VLOOKUP($B173,$B$4:$Q$131,10,FALSE))</f>
        <v/>
      </c>
      <c r="L173" t="inlineStr"/>
      <c r="M173" s="41">
        <f>IF(VLOOKUP($B173,$B$4:$Q$131,12,FALSE)=0,"",VLOOKUP($B173,$B$4:$Q$131,12,FALSE))</f>
        <v/>
      </c>
      <c r="N173">
        <f>IF(O173="","",O173-P173)</f>
        <v/>
      </c>
      <c r="O173">
        <f>IF(ISNA(VLOOKUP($B173,$B$4:$Q$131,14,FALSE)),"",VLOOKUP($B173,$B$4:$Q$131,14,FALSE))</f>
        <v/>
      </c>
      <c r="P173">
        <f>IF(ISNA(VLOOKUP($B173,$B$4:$Q$131,15,FALSE)),"",VLOOKUP($B173,$B$4:$Q$131,15,FALSE))</f>
        <v/>
      </c>
      <c r="Q173" t="inlineStr"/>
    </row>
    <row r="174">
      <c r="A174" s="40" t="inlineStr">
        <is>
          <t>OLED</t>
        </is>
      </c>
      <c r="B174" s="40" t="inlineStr">
        <is>
          <t>77S90H</t>
        </is>
      </c>
      <c r="C174" s="41">
        <f>IF(VLOOKUP($B174,$B$4:$Q$131,2,FALSE)=0,"",VLOOKUP($B174,$B$4:$Q$131,2,FALSE))</f>
        <v/>
      </c>
      <c r="D174">
        <f>IF(E174="","",E174-F174)</f>
        <v/>
      </c>
      <c r="E174">
        <f>IF(ISNA(VLOOKUP($B174,$B$4:$Q$131,4,FALSE)),"",VLOOKUP($B174,$B$4:$Q$131,4,FALSE))</f>
        <v/>
      </c>
      <c r="F174">
        <f>IF(ISNA(VLOOKUP($B174,$B$4:$Q$131,5,FALSE)),"",VLOOKUP($B174,$B$4:$Q$131,5,FALSE))</f>
        <v/>
      </c>
      <c r="G174" t="inlineStr"/>
      <c r="H174" s="41">
        <f>IF(VLOOKUP($B174,$B$4:$Q$131,7,FALSE)=0,"",VLOOKUP($B174,$B$4:$Q$131,7,FALSE))</f>
        <v/>
      </c>
      <c r="I174">
        <f>IF(J174="","",J174-K174)</f>
        <v/>
      </c>
      <c r="J174">
        <f>IF(ISNA(VLOOKUP($B174,$B$4:$Q$131,9,FALSE)),"",VLOOKUP($B174,$B$4:$Q$131,9,FALSE))</f>
        <v/>
      </c>
      <c r="K174">
        <f>IF(ISNA(VLOOKUP($B174,$B$4:$Q$131,10,FALSE)),"",VLOOKUP($B174,$B$4:$Q$131,10,FALSE))</f>
        <v/>
      </c>
      <c r="L174" t="inlineStr"/>
      <c r="M174" s="41">
        <f>IF(VLOOKUP($B174,$B$4:$Q$131,12,FALSE)=0,"",VLOOKUP($B174,$B$4:$Q$131,12,FALSE))</f>
        <v/>
      </c>
      <c r="N174">
        <f>IF(O174="","",O174-P174)</f>
        <v/>
      </c>
      <c r="O174">
        <f>IF(ISNA(VLOOKUP($B174,$B$4:$Q$131,14,FALSE)),"",VLOOKUP($B174,$B$4:$Q$131,14,FALSE))</f>
        <v/>
      </c>
      <c r="P174">
        <f>IF(ISNA(VLOOKUP($B174,$B$4:$Q$131,15,FALSE)),"",VLOOKUP($B174,$B$4:$Q$131,15,FALSE))</f>
        <v/>
      </c>
      <c r="Q174" t="inlineStr"/>
    </row>
    <row r="175">
      <c r="A175" s="40" t="inlineStr">
        <is>
          <t>OLED</t>
        </is>
      </c>
      <c r="B175" s="40" t="inlineStr">
        <is>
          <t>77S85H</t>
        </is>
      </c>
      <c r="C175" s="41">
        <f>IF(VLOOKUP($B175,$B$4:$Q$131,2,FALSE)=0,"",VLOOKUP($B175,$B$4:$Q$131,2,FALSE))</f>
        <v/>
      </c>
      <c r="D175">
        <f>IF(E175="","",E175-F175)</f>
        <v/>
      </c>
      <c r="E175">
        <f>IF(ISNA(VLOOKUP($B175,$B$4:$Q$131,4,FALSE)),"",VLOOKUP($B175,$B$4:$Q$131,4,FALSE))</f>
        <v/>
      </c>
      <c r="F175">
        <f>IF(ISNA(VLOOKUP($B175,$B$4:$Q$131,5,FALSE)),"",VLOOKUP($B175,$B$4:$Q$131,5,FALSE))</f>
        <v/>
      </c>
      <c r="G175" t="inlineStr"/>
      <c r="H175" s="41">
        <f>IF(VLOOKUP($B175,$B$4:$Q$131,7,FALSE)=0,"",VLOOKUP($B175,$B$4:$Q$131,7,FALSE))</f>
        <v/>
      </c>
      <c r="I175">
        <f>IF(J175="","",J175-K175)</f>
        <v/>
      </c>
      <c r="J175">
        <f>IF(ISNA(VLOOKUP($B175,$B$4:$Q$131,9,FALSE)),"",VLOOKUP($B175,$B$4:$Q$131,9,FALSE))</f>
        <v/>
      </c>
      <c r="K175">
        <f>IF(ISNA(VLOOKUP($B175,$B$4:$Q$131,10,FALSE)),"",VLOOKUP($B175,$B$4:$Q$131,10,FALSE))</f>
        <v/>
      </c>
      <c r="L175" t="inlineStr"/>
      <c r="M175" s="41">
        <f>IF(VLOOKUP($B175,$B$4:$Q$131,12,FALSE)=0,"",VLOOKUP($B175,$B$4:$Q$131,12,FALSE))</f>
        <v/>
      </c>
      <c r="N175">
        <f>IF(O175="","",O175-P175)</f>
        <v/>
      </c>
      <c r="O175">
        <f>IF(ISNA(VLOOKUP($B175,$B$4:$Q$131,14,FALSE)),"",VLOOKUP($B175,$B$4:$Q$131,14,FALSE))</f>
        <v/>
      </c>
      <c r="P175">
        <f>IF(ISNA(VLOOKUP($B175,$B$4:$Q$131,15,FALSE)),"",VLOOKUP($B175,$B$4:$Q$131,15,FALSE))</f>
        <v/>
      </c>
      <c r="Q175" t="inlineStr"/>
    </row>
    <row r="176">
      <c r="A176" s="40" t="inlineStr">
        <is>
          <t>QLED</t>
        </is>
      </c>
      <c r="B176" s="40" t="inlineStr">
        <is>
          <t>75QN70H</t>
        </is>
      </c>
      <c r="C176" s="41">
        <f>IF(VLOOKUP($B176,$B$4:$Q$131,2,FALSE)=0,"",VLOOKUP($B176,$B$4:$Q$131,2,FALSE))</f>
        <v/>
      </c>
      <c r="D176">
        <f>IF(E176="","",E176-F176)</f>
        <v/>
      </c>
      <c r="E176">
        <f>IF(ISNA(VLOOKUP($B176,$B$4:$Q$131,4,FALSE)),"",VLOOKUP($B176,$B$4:$Q$131,4,FALSE))</f>
        <v/>
      </c>
      <c r="F176">
        <f>IF(ISNA(VLOOKUP($B176,$B$4:$Q$131,5,FALSE)),"",VLOOKUP($B176,$B$4:$Q$131,5,FALSE))</f>
        <v/>
      </c>
      <c r="G176" t="inlineStr"/>
      <c r="H176" s="41">
        <f>IF(VLOOKUP($B176,$B$4:$Q$131,7,FALSE)=0,"",VLOOKUP($B176,$B$4:$Q$131,7,FALSE))</f>
        <v/>
      </c>
      <c r="I176">
        <f>IF(J176="","",J176-K176)</f>
        <v/>
      </c>
      <c r="J176">
        <f>IF(ISNA(VLOOKUP($B176,$B$4:$Q$131,9,FALSE)),"",VLOOKUP($B176,$B$4:$Q$131,9,FALSE))</f>
        <v/>
      </c>
      <c r="K176">
        <f>IF(ISNA(VLOOKUP($B176,$B$4:$Q$131,10,FALSE)),"",VLOOKUP($B176,$B$4:$Q$131,10,FALSE))</f>
        <v/>
      </c>
      <c r="L176" t="inlineStr"/>
      <c r="M176" s="41">
        <f>IF(VLOOKUP($B176,$B$4:$Q$131,12,FALSE)=0,"",VLOOKUP($B176,$B$4:$Q$131,12,FALSE))</f>
        <v/>
      </c>
      <c r="N176">
        <f>IF(O176="","",O176-P176)</f>
        <v/>
      </c>
      <c r="O176">
        <f>IF(ISNA(VLOOKUP($B176,$B$4:$Q$131,14,FALSE)),"",VLOOKUP($B176,$B$4:$Q$131,14,FALSE))</f>
        <v/>
      </c>
      <c r="P176">
        <f>IF(ISNA(VLOOKUP($B176,$B$4:$Q$131,15,FALSE)),"",VLOOKUP($B176,$B$4:$Q$131,15,FALSE))</f>
        <v/>
      </c>
      <c r="Q176" t="inlineStr"/>
    </row>
    <row r="177">
      <c r="A177" s="40" t="inlineStr">
        <is>
          <t>QLED</t>
        </is>
      </c>
      <c r="B177" s="40" t="inlineStr">
        <is>
          <t>75Q8H</t>
        </is>
      </c>
      <c r="C177" s="41">
        <f>IF(VLOOKUP("75R95H",$B$4:$Q$131,2,FALSE)=0,"",VLOOKUP("75R95H",$B$4:$Q$131,2,FALSE))</f>
        <v/>
      </c>
      <c r="D177">
        <f>IF(E177="","",E177-F177)</f>
        <v/>
      </c>
      <c r="E177">
        <f>IF(ISNA(VLOOKUP("75R95H",$B$4:$Q$131,4,FALSE)),"",VLOOKUP("75R95H",$B$4:$Q$131,4,FALSE))</f>
        <v/>
      </c>
      <c r="F177">
        <f>IF(ISNA(VLOOKUP("75R95H",$B$4:$Q$131,5,FALSE)),"",VLOOKUP("75R95H",$B$4:$Q$131,5,FALSE))</f>
        <v/>
      </c>
      <c r="G177" t="inlineStr"/>
      <c r="H177" s="41">
        <f>IF(VLOOKUP("75R95H",$B$4:$Q$131,7,FALSE)=0,"",VLOOKUP("75R95H",$B$4:$Q$131,7,FALSE))</f>
        <v/>
      </c>
      <c r="I177">
        <f>IF(J177="","",J177-K177)</f>
        <v/>
      </c>
      <c r="J177">
        <f>IF(ISNA(VLOOKUP("75R95H",$B$4:$Q$131,9,FALSE)),"",VLOOKUP("75R95H",$B$4:$Q$131,9,FALSE))</f>
        <v/>
      </c>
      <c r="K177">
        <f>IF(ISNA(VLOOKUP("75R95H",$B$4:$Q$131,10,FALSE)),"",VLOOKUP("75R95H",$B$4:$Q$131,10,FALSE))</f>
        <v/>
      </c>
      <c r="L177" t="inlineStr"/>
      <c r="M177" s="41">
        <f>IF(VLOOKUP("75R95H",$B$4:$Q$131,12,FALSE)=0,"",VLOOKUP("75R95H",$B$4:$Q$131,12,FALSE))</f>
        <v/>
      </c>
      <c r="N177">
        <f>IF(O177="","",O177-P177)</f>
        <v/>
      </c>
      <c r="O177">
        <f>IF(ISNA(VLOOKUP("75R95H",$B$4:$Q$131,14,FALSE)),"",VLOOKUP("75R95H",$B$4:$Q$131,14,FALSE))</f>
        <v/>
      </c>
      <c r="P177">
        <f>IF(ISNA(VLOOKUP("75R95H",$B$4:$Q$131,15,FALSE)),"",VLOOKUP("75R95H",$B$4:$Q$131,15,FALSE))</f>
        <v/>
      </c>
      <c r="Q177" t="inlineStr"/>
    </row>
    <row r="178">
      <c r="A178" s="40" t="inlineStr">
        <is>
          <t>QLED</t>
        </is>
      </c>
      <c r="B178" s="40" t="inlineStr">
        <is>
          <t>75Q7H</t>
        </is>
      </c>
      <c r="C178" s="41">
        <f>IF(VLOOKUP("75R85H",$B$4:$Q$131,2,FALSE)=0,"",VLOOKUP("75R85H",$B$4:$Q$131,2,FALSE))</f>
        <v/>
      </c>
      <c r="D178">
        <f>IF(E178="","",E178-F178)</f>
        <v/>
      </c>
      <c r="E178">
        <f>IF(ISNA(VLOOKUP("75R85H",$B$4:$Q$131,4,FALSE)),"",VLOOKUP("75R85H",$B$4:$Q$131,4,FALSE))</f>
        <v/>
      </c>
      <c r="F178">
        <f>IF(ISNA(VLOOKUP("75R85H",$B$4:$Q$131,5,FALSE)),"",VLOOKUP("75R85H",$B$4:$Q$131,5,FALSE))</f>
        <v/>
      </c>
      <c r="G178" t="inlineStr"/>
      <c r="H178" s="41">
        <f>IF(VLOOKUP("75R85H",$B$4:$Q$131,7,FALSE)=0,"",VLOOKUP("75R85H",$B$4:$Q$131,7,FALSE))</f>
        <v/>
      </c>
      <c r="I178">
        <f>IF(J178="","",J178-K178)</f>
        <v/>
      </c>
      <c r="J178">
        <f>IF(ISNA(VLOOKUP("75R85H",$B$4:$Q$131,9,FALSE)),"",VLOOKUP("75R85H",$B$4:$Q$131,9,FALSE))</f>
        <v/>
      </c>
      <c r="K178">
        <f>IF(ISNA(VLOOKUP("75R85H",$B$4:$Q$131,10,FALSE)),"",VLOOKUP("75R85H",$B$4:$Q$131,10,FALSE))</f>
        <v/>
      </c>
      <c r="L178" t="inlineStr"/>
      <c r="M178" s="41">
        <f>IF(VLOOKUP("75R85H",$B$4:$Q$131,12,FALSE)=0,"",VLOOKUP("75R85H",$B$4:$Q$131,12,FALSE))</f>
        <v/>
      </c>
      <c r="N178">
        <f>IF(O178="","",O178-P178)</f>
        <v/>
      </c>
      <c r="O178">
        <f>IF(ISNA(VLOOKUP("75R85H",$B$4:$Q$131,14,FALSE)),"",VLOOKUP("75R85H",$B$4:$Q$131,14,FALSE))</f>
        <v/>
      </c>
      <c r="P178">
        <f>IF(ISNA(VLOOKUP("75R85H",$B$4:$Q$131,15,FALSE)),"",VLOOKUP("75R85H",$B$4:$Q$131,15,FALSE))</f>
        <v/>
      </c>
      <c r="Q178" t="inlineStr"/>
    </row>
    <row r="179">
      <c r="A179" s="40" t="inlineStr">
        <is>
          <t>UHD 4K</t>
        </is>
      </c>
      <c r="B179" s="40" t="inlineStr">
        <is>
          <t>75U8000H</t>
        </is>
      </c>
      <c r="C179" s="41">
        <f>IF(VLOOKUP($B179,$B$4:$Q$131,2,FALSE)=0,"",VLOOKUP($B179,$B$4:$Q$131,2,FALSE))</f>
        <v/>
      </c>
      <c r="D179">
        <f>IF(E179="","",E179-F179)</f>
        <v/>
      </c>
      <c r="E179">
        <f>IF(ISNA(VLOOKUP($B179,$B$4:$Q$131,4,FALSE)),"",VLOOKUP($B179,$B$4:$Q$131,4,FALSE))</f>
        <v/>
      </c>
      <c r="F179">
        <f>IF(ISNA(VLOOKUP($B179,$B$4:$Q$131,5,FALSE)),"",VLOOKUP($B179,$B$4:$Q$131,5,FALSE))</f>
        <v/>
      </c>
      <c r="G179" t="inlineStr"/>
      <c r="H179" s="41">
        <f>IF(VLOOKUP($B179,$B$4:$Q$131,7,FALSE)=0,"",VLOOKUP($B179,$B$4:$Q$131,7,FALSE))</f>
        <v/>
      </c>
      <c r="I179">
        <f>IF(J179="","",J179-K179)</f>
        <v/>
      </c>
      <c r="J179">
        <f>IF(ISNA(VLOOKUP($B179,$B$4:$Q$131,9,FALSE)),"",VLOOKUP($B179,$B$4:$Q$131,9,FALSE))</f>
        <v/>
      </c>
      <c r="K179">
        <f>IF(ISNA(VLOOKUP($B179,$B$4:$Q$131,10,FALSE)),"",VLOOKUP($B179,$B$4:$Q$131,10,FALSE))</f>
        <v/>
      </c>
      <c r="L179" t="inlineStr"/>
      <c r="M179" s="41">
        <f>IF(VLOOKUP($B179,$B$4:$Q$131,12,FALSE)=0,"",VLOOKUP($B179,$B$4:$Q$131,12,FALSE))</f>
        <v/>
      </c>
      <c r="N179">
        <f>IF(O179="","",O179-P179)</f>
        <v/>
      </c>
      <c r="O179">
        <f>IF(ISNA(VLOOKUP($B179,$B$4:$Q$131,14,FALSE)),"",VLOOKUP($B179,$B$4:$Q$131,14,FALSE))</f>
        <v/>
      </c>
      <c r="P179">
        <f>IF(ISNA(VLOOKUP($B179,$B$4:$Q$131,15,FALSE)),"",VLOOKUP($B179,$B$4:$Q$131,15,FALSE))</f>
        <v/>
      </c>
      <c r="Q179" t="inlineStr"/>
    </row>
  </sheetData>
  <mergeCells count="5">
    <mergeCell ref="H2:L2"/>
    <mergeCell ref="C1:Q1"/>
    <mergeCell ref="M2:Q2"/>
    <mergeCell ref="C2:G2"/>
    <mergeCell ref="C132:Q132"/>
  </mergeCells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2026-07-06T00:31:34Z</dcterms:modified>
  <cp:lastModifiedBy>박대호/책임/TV유럽영업2팀</cp:lastModifiedBy>
</cp:coreProperties>
</file>