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3899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OLED83G58LW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2699.95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1869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1799.95</v>
      </c>
      <c r="K6" s="84" t="n">
        <v>0</v>
      </c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1469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1449.95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1499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2239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>
        <is>
          <t>OLED77C58LA</t>
        </is>
      </c>
      <c r="I10" s="84">
        <f>IF(J10="","",J10-K10)</f>
        <v/>
      </c>
      <c r="J10" s="84" t="n">
        <v>1879.95</v>
      </c>
      <c r="K10" s="84" t="n">
        <v>0</v>
      </c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1239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1279.95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1239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949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979.95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979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819</v>
      </c>
      <c r="F13" s="84" t="n">
        <v>0</v>
      </c>
      <c r="G13" s="85">
        <f>IFERROR(D13/D7,"")</f>
        <v/>
      </c>
      <c r="H13" s="83" t="inlineStr">
        <is>
          <t>OLED48C58</t>
        </is>
      </c>
      <c r="I13" s="84">
        <f>IF(J13="","",J13-K13)</f>
        <v/>
      </c>
      <c r="J13" s="84" t="n">
        <v>849.95</v>
      </c>
      <c r="K13" s="84" t="n">
        <v>0</v>
      </c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/>
      <c r="D14" s="84">
        <f>IF(E14="","",E14-F14)</f>
        <v/>
      </c>
      <c r="E14" s="84" t="inlineStr"/>
      <c r="F14" s="84" t="inlineStr"/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729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1749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1818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OLED77B56LA</t>
        </is>
      </c>
      <c r="N17" s="84">
        <f>IF(O17="","",O17-P17)</f>
        <v/>
      </c>
      <c r="O17" s="84" t="n">
        <v>1501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>
        <is>
          <t>OLED65B59LA</t>
        </is>
      </c>
      <c r="D18" s="84">
        <f>IF(E18="","",E18-F18)</f>
        <v/>
      </c>
      <c r="E18" s="84" t="n">
        <v>1079</v>
      </c>
      <c r="F18" s="84" t="n">
        <v>0</v>
      </c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999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OLED55B59LA</t>
        </is>
      </c>
      <c r="N19" s="84">
        <f>IF(O19="","",O19-P19)</f>
        <v/>
      </c>
      <c r="O19" s="84" t="n">
        <v>799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649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OLED48B59LA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</t>
        </is>
      </c>
      <c r="D22" s="89">
        <f>IF(E22="","",E22-F22)</f>
        <v/>
      </c>
      <c r="E22" s="89" t="n">
        <v>5724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</t>
        </is>
      </c>
      <c r="D23" s="89">
        <f>IF(E23="","",E23-F23)</f>
        <v/>
      </c>
      <c r="E23" s="89" t="n">
        <v>4804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3499.95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</t>
        </is>
      </c>
      <c r="D24" s="89">
        <f>IF(E24="","",E24-F24)</f>
        <v/>
      </c>
      <c r="E24" s="89" t="n">
        <v>3374</v>
      </c>
      <c r="F24" s="89" t="n">
        <v>0</v>
      </c>
      <c r="G24" s="90" t="inlineStr"/>
      <c r="H24" s="125" t="inlineStr"/>
      <c r="I24" s="89">
        <f>IF(J24="","",J24-K24)</f>
        <v/>
      </c>
      <c r="J24" s="89" t="inlineStr"/>
      <c r="K24" s="89" t="inlineStr"/>
      <c r="L24" s="90" t="inlineStr"/>
      <c r="M24" s="125" t="inlineStr">
        <is>
          <t>QE65S95F</t>
        </is>
      </c>
      <c r="N24" s="89">
        <f>IF(O24="","",O24-P24)</f>
        <v/>
      </c>
      <c r="O24" s="89" t="n">
        <v>2500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</t>
        </is>
      </c>
      <c r="D25" s="89">
        <f>IF(E25="","",E25-F25)</f>
        <v/>
      </c>
      <c r="E25" s="89" t="n">
        <v>2609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2608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</t>
        </is>
      </c>
      <c r="D27" s="89">
        <f>IF(E27="","",E27-F27)</f>
        <v/>
      </c>
      <c r="E27" s="89" t="n">
        <v>2199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1999.95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1799.95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1779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QE65S90F</t>
        </is>
      </c>
      <c r="I29" s="89">
        <f>IF(J29="","",J29-K29)</f>
        <v/>
      </c>
      <c r="J29" s="89" t="n">
        <v>1299.95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</t>
        </is>
      </c>
      <c r="D30" s="89">
        <f>IF(E30="","",E30-F30)</f>
        <v/>
      </c>
      <c r="E30" s="89" t="n">
        <v>999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>
        <is>
          <t>QE48S90F</t>
        </is>
      </c>
      <c r="D31" s="89">
        <f>IF(E31="","",E31-F31)</f>
        <v/>
      </c>
      <c r="E31" s="89" t="n">
        <v>60</v>
      </c>
      <c r="F31" s="89" t="n">
        <v>0</v>
      </c>
      <c r="G31" s="90" t="inlineStr"/>
      <c r="H31" s="125" t="inlineStr">
        <is>
          <t>QE48S90FAEXZU</t>
        </is>
      </c>
      <c r="I31" s="89">
        <f>IF(J31="","",J31-K31)</f>
        <v/>
      </c>
      <c r="J31" s="89" t="n">
        <v>849.95</v>
      </c>
      <c r="K31" s="89" t="n">
        <v>0</v>
      </c>
      <c r="L31" s="90" t="inlineStr"/>
      <c r="M31" s="125" t="inlineStr">
        <is>
          <t>QE48S90FAE</t>
        </is>
      </c>
      <c r="N31" s="89">
        <f>IF(O31="","",O31-P31)</f>
        <v/>
      </c>
      <c r="O31" s="89" t="n">
        <v>793</v>
      </c>
      <c r="P31" s="89" t="n">
        <v>0</v>
      </c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</t>
        </is>
      </c>
      <c r="D32" s="89">
        <f>IF(E32="","",E32-F32)</f>
        <v/>
      </c>
      <c r="E32" s="89" t="n">
        <v>729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729.95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729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</t>
        </is>
      </c>
      <c r="D34" s="89">
        <f>IF(E34="","",E34-F34)</f>
        <v/>
      </c>
      <c r="E34" s="89" t="n">
        <v>1829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1999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</t>
        </is>
      </c>
      <c r="D35" s="89">
        <f>IF(E35="","",E35-F35)</f>
        <v/>
      </c>
      <c r="E35" s="89" t="n">
        <v>1399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</t>
        </is>
      </c>
      <c r="D36" s="89">
        <f>IF(E36="","",E36-F36)</f>
        <v/>
      </c>
      <c r="E36" s="89" t="n">
        <v>1279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</t>
        </is>
      </c>
      <c r="D37" s="89">
        <f>IF(E37="","",E37-F37)</f>
        <v/>
      </c>
      <c r="E37" s="89" t="n">
        <v>859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2799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2599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>
        <is>
          <t>86QNED86A6A</t>
        </is>
      </c>
      <c r="I40" s="84">
        <f>IF(J40="","",J40-K40)</f>
        <v/>
      </c>
      <c r="J40" s="84" t="n">
        <v>1299.95</v>
      </c>
      <c r="K40" s="84" t="n">
        <v>0</v>
      </c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739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699.95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55QNED85A3C</t>
        </is>
      </c>
      <c r="N43" s="84">
        <f>IF(O43="","",O43-P43)</f>
        <v/>
      </c>
      <c r="O43" s="84" t="n">
        <v>469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479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549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>
        <is>
          <t>86QNED80A6A</t>
        </is>
      </c>
      <c r="I47" s="84">
        <f>IF(J47="","",J47-K47)</f>
        <v/>
      </c>
      <c r="J47" s="84" t="n">
        <v>1099.95</v>
      </c>
      <c r="K47" s="84" t="n">
        <v>0</v>
      </c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899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599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666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499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500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409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379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379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</t>
        </is>
      </c>
      <c r="D54" s="95">
        <f>IF(E54="","",E54-F54)</f>
        <v/>
      </c>
      <c r="E54" s="89" t="n">
        <v>1799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1799.95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2655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/>
      <c r="D55" s="95">
        <f>IF(E55="","",E55-F55)</f>
        <v/>
      </c>
      <c r="E55" s="89" t="inlineStr"/>
      <c r="F55" s="89" t="inlineStr"/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/>
      <c r="D56" s="95">
        <f>IF(E56="","",E56-F56)</f>
        <v/>
      </c>
      <c r="E56" s="89" t="inlineStr"/>
      <c r="F56" s="89" t="inlineStr"/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799.95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1199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</t>
        </is>
      </c>
      <c r="D58" s="95">
        <f>IF(E58="","",E58-F58)</f>
        <v/>
      </c>
      <c r="E58" s="89" t="n">
        <v>719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769.95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844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1599.95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</t>
        </is>
      </c>
      <c r="D61" s="89">
        <f>IF(E61="","",E61-F61)</f>
        <v/>
      </c>
      <c r="E61" s="89" t="n">
        <v>1878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799.95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599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</t>
        </is>
      </c>
      <c r="D66" s="89">
        <f>IF(E66="","",E66-F66)</f>
        <v/>
      </c>
      <c r="E66" s="89" t="n">
        <v>999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949.95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899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</t>
        </is>
      </c>
      <c r="D67" s="89">
        <f>IF(E67="","",E67-F67)</f>
        <v/>
      </c>
      <c r="E67" s="89" t="n">
        <v>679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679.95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699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</t>
        </is>
      </c>
      <c r="D68" s="89">
        <f>IF(E68="","",E68-F68)</f>
        <v/>
      </c>
      <c r="E68" s="89" t="n">
        <v>459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/>
      <c r="D69" s="89">
        <f>IF(E69="","",E69-F69)</f>
        <v/>
      </c>
      <c r="E69" s="89" t="inlineStr"/>
      <c r="F69" s="89" t="inlineStr"/>
      <c r="G69" s="90" t="inlineStr"/>
      <c r="H69" s="125" t="inlineStr">
        <is>
          <t>QE50Q8F</t>
        </is>
      </c>
      <c r="I69" s="89">
        <f>IF(J69="","",J69-K69)</f>
        <v/>
      </c>
      <c r="J69" s="89" t="n">
        <v>449.95</v>
      </c>
      <c r="K69" s="89" t="n">
        <v>0</v>
      </c>
      <c r="L69" s="90" t="inlineStr"/>
      <c r="M69" s="125" t="inlineStr">
        <is>
          <t>QE50Q8FAAU</t>
        </is>
      </c>
      <c r="N69" s="89">
        <f>IF(O69="","",O69-P69)</f>
        <v/>
      </c>
      <c r="O69" s="89" t="n">
        <v>389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</t>
        </is>
      </c>
      <c r="D70" s="95">
        <f>IF(E70="","",E70-F70)</f>
        <v/>
      </c>
      <c r="E70" s="89" t="n">
        <v>469</v>
      </c>
      <c r="F70" s="89" t="n">
        <v>0</v>
      </c>
      <c r="G70" s="90" t="inlineStr"/>
      <c r="H70" s="125" t="inlineStr">
        <is>
          <t>QE43Q8FAAUXXN</t>
        </is>
      </c>
      <c r="I70" s="95">
        <f>IF(J70="","",J70-K70)</f>
        <v/>
      </c>
      <c r="J70" s="89" t="n">
        <v>449.95</v>
      </c>
      <c r="K70" s="89" t="n">
        <v>0</v>
      </c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</t>
        </is>
      </c>
      <c r="D72" s="89">
        <f>IF(E72="","",E72-F72)</f>
        <v/>
      </c>
      <c r="E72" s="89" t="n">
        <v>2407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1689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899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925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>
        <is>
          <t>QE55Q7FAAU</t>
        </is>
      </c>
      <c r="N75" s="89">
        <f>IF(O75="","",O75-P75)</f>
        <v/>
      </c>
      <c r="O75" s="89" t="n">
        <v>813</v>
      </c>
      <c r="P75" s="89" t="n">
        <v>0</v>
      </c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</t>
        </is>
      </c>
      <c r="D76" s="89">
        <f>IF(E76="","",E76-F76)</f>
        <v/>
      </c>
      <c r="E76" s="89" t="n">
        <v>639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584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501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1233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599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510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338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375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43UA73003LA</t>
        </is>
      </c>
      <c r="N84" s="84">
        <f>IF(O84="","",O84-P84)</f>
        <v/>
      </c>
      <c r="O84" s="84" t="n">
        <v>272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999.95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/>
      <c r="D87" s="89">
        <f>IF(E87="","",E87-F87)</f>
        <v/>
      </c>
      <c r="E87" s="89" t="inlineStr"/>
      <c r="F87" s="89" t="inlineStr"/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1054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/>
      <c r="D88" s="89">
        <f>IF(E88="","",E88-F88)</f>
        <v/>
      </c>
      <c r="E88" s="89" t="inlineStr"/>
      <c r="F88" s="89" t="inlineStr"/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605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U8000F</t>
        </is>
      </c>
      <c r="D89" s="89">
        <f>IF(E89="","",E89-F89)</f>
        <v/>
      </c>
      <c r="E89" s="89" t="n">
        <v>459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>
        <is>
          <t>UE55U8000F</t>
        </is>
      </c>
      <c r="N89" s="89">
        <f>IF(O89="","",O89-P89)</f>
        <v/>
      </c>
      <c r="O89" s="89" t="n">
        <v>445</v>
      </c>
      <c r="P89" s="89" t="n">
        <v>0</v>
      </c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/>
      <c r="D90" s="89">
        <f>IF(E90="","",E90-F90)</f>
        <v/>
      </c>
      <c r="E90" s="89" t="inlineStr"/>
      <c r="F90" s="89" t="inlineStr"/>
      <c r="G90" s="90" t="inlineStr"/>
      <c r="H90" s="125" t="inlineStr">
        <is>
          <t>UE50U8000F</t>
        </is>
      </c>
      <c r="I90" s="89">
        <f>IF(J90="","",J90-K90)</f>
        <v/>
      </c>
      <c r="J90" s="89" t="n">
        <v>399.95</v>
      </c>
      <c r="K90" s="89" t="n">
        <v>0</v>
      </c>
      <c r="L90" s="90" t="inlineStr"/>
      <c r="M90" s="125" t="inlineStr">
        <is>
          <t>UE50U8000F</t>
        </is>
      </c>
      <c r="N90" s="89">
        <f>IF(O90="","",O90-P90)</f>
        <v/>
      </c>
      <c r="O90" s="89" t="n">
        <v>466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349.95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/>
      <c r="D4" s="84">
        <f>IF(E4="","",E4-F4)</f>
        <v/>
      </c>
      <c r="E4" s="84" t="inlineStr"/>
      <c r="F4" s="84" t="inlineStr"/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/>
      <c r="D5" s="84">
        <f>IF(E5="","",E5-F5)</f>
        <v/>
      </c>
      <c r="E5" s="84" t="inlineStr"/>
      <c r="F5" s="84" t="inlineStr"/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/>
      <c r="D7" s="84">
        <f>IF(E7="","",E7-F7)</f>
        <v/>
      </c>
      <c r="E7" s="84" t="inlineStr"/>
      <c r="F7" s="84" t="inlineStr"/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4499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4499.95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4499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3499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3499.95</v>
      </c>
      <c r="K10" s="84" t="n">
        <v>0</v>
      </c>
      <c r="L10" s="85">
        <f>IFERROR(I10/I5,"")</f>
        <v/>
      </c>
      <c r="M10" s="83" t="inlineStr"/>
      <c r="N10" s="84">
        <f>IF(O10="","",O10-P10)</f>
        <v/>
      </c>
      <c r="O10" s="84" t="inlineStr"/>
      <c r="P10" s="84" t="inlineStr"/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/>
      <c r="D11" s="84">
        <f>IF(E11="","",E11-F11)</f>
        <v/>
      </c>
      <c r="E11" s="84" t="inlineStr"/>
      <c r="F11" s="84" t="inlineStr"/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2599.95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2599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1799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OLED55C6ELB</t>
        </is>
      </c>
      <c r="N12" s="84">
        <f>IF(O12="","",O12-P12)</f>
        <v/>
      </c>
      <c r="O12" s="84" t="n">
        <v>1799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1599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OLED48C6ELB</t>
        </is>
      </c>
      <c r="N13" s="84">
        <f>IF(O13="","",O13-P13)</f>
        <v/>
      </c>
      <c r="O13" s="84" t="n">
        <v>1599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1499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1199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3699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2999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2399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1599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/>
      <c r="D20" s="84">
        <f>IF(E20="","",E20-F20)</f>
        <v/>
      </c>
      <c r="E20" s="84" t="inlineStr"/>
      <c r="F20" s="84" t="inlineStr"/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1399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5267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6723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4149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3269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2454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/>
      <c r="N28" s="89">
        <f>IF(O28="","",O28-P28)</f>
        <v/>
      </c>
      <c r="O28" s="89" t="inlineStr"/>
      <c r="P28" s="89" t="inlineStr"/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/>
      <c r="I29" s="109">
        <f>IF(J29="","",J29-K29)</f>
        <v/>
      </c>
      <c r="J29" s="89" t="inlineStr"/>
      <c r="K29" s="89" t="inlineStr"/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4283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2401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3063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4999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4999.95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4779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3499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3429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2599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2518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1799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1764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1599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1499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1499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4799.95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4800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3299.95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3294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2499.95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2419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>
        <is>
          <t>QE55S85HAEXZU</t>
        </is>
      </c>
      <c r="N42" s="89">
        <f>IF(O42="","",O42-P42)</f>
        <v/>
      </c>
      <c r="O42" s="89" t="n">
        <v>1666</v>
      </c>
      <c r="P42" s="89" t="n">
        <v>0</v>
      </c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1399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4999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/>
      <c r="D48" s="89">
        <f>IF(E48="","",E48-F48)</f>
        <v/>
      </c>
      <c r="E48" s="89" t="inlineStr"/>
      <c r="F48" s="89" t="inlineStr"/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/>
      <c r="N48" s="89">
        <f>IF(O48="","",O48-P48)</f>
        <v/>
      </c>
      <c r="O48" s="89" t="inlineStr"/>
      <c r="P48" s="89" t="inlineStr"/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/>
      <c r="D49" s="89">
        <f>IF(E49="","",E49-F49)</f>
        <v/>
      </c>
      <c r="E49" s="89" t="inlineStr"/>
      <c r="F49" s="89" t="inlineStr"/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1999.95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/>
      <c r="D50" s="95">
        <f>IF(E50="","",E50-F50)</f>
        <v/>
      </c>
      <c r="E50" s="96" t="inlineStr"/>
      <c r="F50" s="96" t="inlineStr"/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/>
      <c r="N50" s="95">
        <f>IF(O50="","",O50-P50)</f>
        <v/>
      </c>
      <c r="O50" s="96" t="inlineStr"/>
      <c r="P50" s="96" t="inlineStr"/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/>
      <c r="D51" s="89">
        <f>IF(E51="","",E51-F51)</f>
        <v/>
      </c>
      <c r="E51" s="89" t="inlineStr"/>
      <c r="F51" s="89" t="inlineStr"/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/>
      <c r="N51" s="89">
        <f>IF(O51="","",O51-P51)</f>
        <v/>
      </c>
      <c r="O51" s="89" t="inlineStr"/>
      <c r="P51" s="89" t="inlineStr"/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/>
      <c r="D52" s="89">
        <f>IF(E52="","",E52-F52)</f>
        <v/>
      </c>
      <c r="E52" s="89" t="inlineStr"/>
      <c r="F52" s="89" t="inlineStr"/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999.95</v>
      </c>
      <c r="K52" s="89" t="n">
        <v>0</v>
      </c>
      <c r="L52" s="90">
        <f>IFERROR(I52/I7,"")</f>
        <v/>
      </c>
      <c r="M52" s="88" t="inlineStr"/>
      <c r="N52" s="89">
        <f>IF(O52="","",O52-P52)</f>
        <v/>
      </c>
      <c r="O52" s="89" t="inlineStr"/>
      <c r="P52" s="89" t="inlineStr"/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/>
      <c r="D59" s="84">
        <f>IF(E59="","",E59-F59)</f>
        <v/>
      </c>
      <c r="E59" s="84" t="inlineStr"/>
      <c r="F59" s="84" t="inlineStr"/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1849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1099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999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999.95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699.95</v>
      </c>
      <c r="K64" s="84" t="n">
        <v>0</v>
      </c>
      <c r="L64" s="85">
        <f>IFERROR(I64/I7,"")</f>
        <v/>
      </c>
      <c r="M64" s="83" t="inlineStr"/>
      <c r="N64" s="84">
        <f>IF(O64="","",O64-P64)</f>
        <v/>
      </c>
      <c r="O64" s="84" t="inlineStr"/>
      <c r="P64" s="84" t="inlineStr"/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/>
      <c r="D74" s="84">
        <f>IF(E74="","",E74-F74)</f>
        <v/>
      </c>
      <c r="E74" s="84" t="inlineStr"/>
      <c r="F74" s="84" t="inlineStr"/>
      <c r="G74" s="85">
        <f>IFERROR(D74/D5,"")</f>
        <v/>
      </c>
      <c r="H74" s="83" t="inlineStr">
        <is>
          <t>75QNED7EB</t>
        </is>
      </c>
      <c r="I74" s="84">
        <f>IF(J74="","",J74-K74)</f>
        <v/>
      </c>
      <c r="J74" s="84" t="n">
        <v>699.95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802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>
        <is>
          <t>65QNED7EB3C</t>
        </is>
      </c>
      <c r="N75" s="84">
        <f>IF(O75="","",O75-P75)</f>
        <v/>
      </c>
      <c r="O75" s="84" t="n">
        <v>577</v>
      </c>
      <c r="P75" s="84" t="n">
        <v>0</v>
      </c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399.95</v>
      </c>
      <c r="K76" s="84" t="n">
        <v>0</v>
      </c>
      <c r="L76" s="85">
        <f>IFERROR(I76/I7,"")</f>
        <v/>
      </c>
      <c r="M76" s="83" t="inlineStr">
        <is>
          <t>55QNED7EB3C</t>
        </is>
      </c>
      <c r="N76" s="103">
        <f>IF(O76="","",O76-P76)</f>
        <v/>
      </c>
      <c r="O76" s="84" t="n">
        <v>452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50QNED7EB</t>
        </is>
      </c>
      <c r="I77" s="84">
        <f>IF(J77="","",J77-K77)</f>
        <v/>
      </c>
      <c r="J77" s="84" t="n">
        <v>349.95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397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355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5252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6723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5503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4283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4499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3999.95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4000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2499.95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2449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2499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1999.95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1959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1699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1499.95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1500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2999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2900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2499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2449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1799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1799.95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1715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1499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1499.95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1419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1299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1299.95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1229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2499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3063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1999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1199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1399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UE65M70HAUXXN</t>
        </is>
      </c>
      <c r="N114" s="89">
        <f>IF(O114="","",O114-P114)</f>
        <v/>
      </c>
      <c r="O114" s="89" t="n">
        <v>799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1199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1099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1099.95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599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999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999.95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549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1568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1176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>
        <is>
          <t>UE65U8090HUXXN</t>
        </is>
      </c>
      <c r="N128" s="96">
        <f>IF(O128="","",O128-P128)</f>
        <v/>
      </c>
      <c r="O128" s="89" t="n">
        <v>799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>
        <is>
          <t>U8090H</t>
        </is>
      </c>
      <c r="D129" s="89">
        <f>IF(E129="","",E129-F129)</f>
        <v/>
      </c>
      <c r="E129" s="89" t="n">
        <v>699</v>
      </c>
      <c r="F129" s="89" t="n">
        <v>0</v>
      </c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699.95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679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579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623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2026-07-10T05:10:09Z</dcterms:modified>
  <cp:lastModifiedBy>박대호/책임/TV유럽영업2팀</cp:lastModifiedBy>
</cp:coreProperties>
</file>