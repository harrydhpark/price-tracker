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wiss_2025" sheetId="1" state="visible" r:id="rId1"/>
    <sheet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OLED77G57LW</t>
        </is>
      </c>
      <c r="N5" s="84">
        <f>IF(O5="","",O5-P5)</f>
        <v/>
      </c>
      <c r="O5" s="84" t="n">
        <v>2307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1799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OLED65G51LW</t>
        </is>
      </c>
      <c r="N6" s="84">
        <f>IF(O6="","",O6-P6)</f>
        <v/>
      </c>
      <c r="O6" s="84" t="n">
        <v>1799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1299.95</v>
      </c>
      <c r="K7" s="84" t="n">
        <v>0</v>
      </c>
      <c r="L7" s="85">
        <f>IFERROR(I7/I7,"")</f>
        <v/>
      </c>
      <c r="M7" s="83" t="inlineStr">
        <is>
          <t>OLED55G57LW</t>
        </is>
      </c>
      <c r="N7" s="84">
        <f>IF(O7="","",O7-P7)</f>
        <v/>
      </c>
      <c r="O7" s="84" t="n">
        <v>1214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2149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1799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829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/>
      <c r="D14" s="84">
        <f>IF(E14="","",E14-F14)</f>
        <v/>
      </c>
      <c r="E14" s="84" t="inlineStr"/>
      <c r="F14" s="84" t="inlineStr"/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1799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1171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OLED55B56LA</t>
        </is>
      </c>
      <c r="N19" s="84">
        <f>IF(O19="","",O19-P19)</f>
        <v/>
      </c>
      <c r="O19" s="84" t="n">
        <v>899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OLED48B56LA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4999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3999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2713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2749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2299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1600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2399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2549.95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1799</v>
      </c>
      <c r="F28" s="89" t="n">
        <v>0</v>
      </c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1899.95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949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749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769.95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1299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1199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2299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749.95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749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/>
      <c r="D44" s="84">
        <f>IF(E44="","",E44-F44)</f>
        <v/>
      </c>
      <c r="E44" s="84" t="inlineStr"/>
      <c r="F44" s="84" t="inlineStr"/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699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649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499.95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500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479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399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/>
      <c r="D56" s="95">
        <f>IF(E56="","",E56-F56)</f>
        <v/>
      </c>
      <c r="E56" s="89" t="inlineStr"/>
      <c r="F56" s="89" t="inlineStr"/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/>
      <c r="D57" s="95">
        <f>IF(E57="","",E57-F57)</f>
        <v/>
      </c>
      <c r="E57" s="89" t="inlineStr"/>
      <c r="F57" s="89" t="inlineStr"/>
      <c r="G57" s="90" t="inlineStr"/>
      <c r="H57" s="125" t="inlineStr">
        <is>
          <t>QE55QN80F</t>
        </is>
      </c>
      <c r="I57" s="95">
        <f>IF(J57="","",J57-K57)</f>
        <v/>
      </c>
      <c r="J57" s="89" t="n">
        <v>749.95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699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749.95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1399.95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889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899.95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709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699.95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679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489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857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/>
      <c r="D70" s="95">
        <f>IF(E70="","",E70-F70)</f>
        <v/>
      </c>
      <c r="E70" s="89" t="inlineStr"/>
      <c r="F70" s="89" t="inlineStr"/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>
        <is>
          <t>QE43Q8FAAU</t>
        </is>
      </c>
      <c r="N70" s="95">
        <f>IF(O70="","",O70-P70)</f>
        <v/>
      </c>
      <c r="O70" s="89" t="n">
        <v>525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1434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754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489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717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55UA75006LA</t>
        </is>
      </c>
      <c r="N82" s="84">
        <f>IF(O82="","",O82-P82)</f>
        <v/>
      </c>
      <c r="O82" s="84" t="n">
        <v>379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323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462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1049.95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742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1047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569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479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349</v>
      </c>
      <c r="F91" s="89" t="n">
        <v>0</v>
      </c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379.95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OLED55G69LS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4999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3999.95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2149.95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2199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1599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1599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1499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1399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2706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2169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1248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1009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919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5259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6717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/>
      <c r="N24" s="95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4277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3057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3869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3869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3089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3089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2222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2222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1788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1788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1506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1506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1455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1783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4499.95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4289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2939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2299.95</v>
      </c>
      <c r="K41" s="89" t="n">
        <v>0</v>
      </c>
      <c r="L41" s="90" t="inlineStr"/>
      <c r="M41" s="125" t="inlineStr"/>
      <c r="N41" s="89">
        <f>IF(O41="","",O41-P41)</f>
        <v/>
      </c>
      <c r="O41" s="89" t="inlineStr"/>
      <c r="P41" s="89" t="inlineStr"/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1259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4759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2499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2499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1699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1715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1199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899</v>
      </c>
      <c r="F52" s="89" t="n">
        <v>0</v>
      </c>
      <c r="G52" s="90">
        <f>IFERROR(D52/D7,"")</f>
        <v/>
      </c>
      <c r="H52" s="88" t="inlineStr"/>
      <c r="I52" s="89">
        <f>IF(J52="","",J52-K52)</f>
        <v/>
      </c>
      <c r="J52" s="89" t="inlineStr"/>
      <c r="K52" s="89" t="inlineStr"/>
      <c r="L52" s="90">
        <f>IFERROR(I52/I7,"")</f>
        <v/>
      </c>
      <c r="M52" s="88" t="inlineStr">
        <is>
          <t>50MRGB87B9B</t>
        </is>
      </c>
      <c r="N52" s="89">
        <f>IF(O52="","",O52-P52)</f>
        <v/>
      </c>
      <c r="O52" s="89" t="n">
        <v>1349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2299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749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599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861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1199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1999.95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784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479.95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823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1099.95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359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43QNED70B6C</t>
        </is>
      </c>
      <c r="N78" s="84">
        <f>IF(O78="","",O78-P78)</f>
        <v/>
      </c>
      <c r="O78" s="84" t="n">
        <v>566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6717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5497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4277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3259</v>
      </c>
      <c r="F85" s="89" t="n">
        <v>0</v>
      </c>
      <c r="G85" s="90" t="inlineStr"/>
      <c r="H85" s="125" t="inlineStr">
        <is>
          <t>MRE85R95HATXZU</t>
        </is>
      </c>
      <c r="I85" s="89">
        <f>IF(J85="","",J85-K85)</f>
        <v/>
      </c>
      <c r="J85" s="89" t="n">
        <v>5265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3259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2009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2299.95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2009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1666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1699.95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1666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1352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1399.95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1658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2643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2699.95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2643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3057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1439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1499.95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1439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1149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1199.95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1149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966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966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1300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1300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1153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1153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774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774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629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629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449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421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422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1024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778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>
        <is>
          <t>U8090H</t>
        </is>
      </c>
      <c r="D128" s="89">
        <f>IF(E128="","",E128-F128)</f>
        <v/>
      </c>
      <c r="E128" s="89" t="n">
        <v>799</v>
      </c>
      <c r="F128" s="89" t="n">
        <v>0</v>
      </c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729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599.95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784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/>
      <c r="N131" s="96">
        <f>IF(O131="","",O131-P131)</f>
        <v/>
      </c>
      <c r="O131" s="96" t="inlineStr"/>
      <c r="P131" s="96" t="inlineStr"/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2026-07-03T02:43:55Z</dcterms:created>
  <dcterms:modified xsi:type="dcterms:W3CDTF">2026-08-13T00:24:08Z</dcterms:modified>
  <cp:lastModifiedBy>박대호/책임/TV유럽영업2팀</cp:lastModifiedBy>
</cp:coreProperties>
</file>