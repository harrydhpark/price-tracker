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10" fillId="0" borderId="0"/>
    <xf numFmtId="41" fontId="10" fillId="0" borderId="0" applyAlignment="1">
      <alignment vertical="center"/>
    </xf>
  </cellStyleXfs>
  <cellXfs count="122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81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82" t="inlineStr">
        <is>
          <t>OLED</t>
        </is>
      </c>
      <c r="B4" s="82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3899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OLED83G58LW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82" t="inlineStr">
        <is>
          <t>OLED</t>
        </is>
      </c>
      <c r="B5" s="82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2699.95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82" t="inlineStr">
        <is>
          <t>OLED</t>
        </is>
      </c>
      <c r="B6" s="82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1869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1799.95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1799</v>
      </c>
      <c r="P6" s="84" t="n">
        <v>0</v>
      </c>
      <c r="Q6" s="85">
        <f>IFERROR(N6/N6,"")</f>
        <v/>
      </c>
    </row>
    <row r="7" ht="20" customHeight="1" s="55">
      <c r="A7" s="82" t="inlineStr">
        <is>
          <t>OLED</t>
        </is>
      </c>
      <c r="B7" s="82" t="inlineStr">
        <is>
          <t>55G5</t>
        </is>
      </c>
      <c r="C7" s="83" t="inlineStr">
        <is>
          <t>OLED55G59LS</t>
        </is>
      </c>
      <c r="D7" s="84">
        <f>IF(E7="","",E7-F7)</f>
        <v/>
      </c>
      <c r="E7" s="84" t="n">
        <v>1469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1449.95</v>
      </c>
      <c r="K7" s="84" t="n">
        <v>0</v>
      </c>
      <c r="L7" s="85">
        <f>IFERROR(I7/I7,"")</f>
        <v/>
      </c>
      <c r="M7" s="83" t="inlineStr">
        <is>
          <t>OLED55G57LW</t>
        </is>
      </c>
      <c r="N7" s="84">
        <f>IF(O7="","",O7-P7)</f>
        <v/>
      </c>
      <c r="O7" s="84" t="n">
        <v>1499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82" t="inlineStr">
        <is>
          <t>OLED</t>
        </is>
      </c>
      <c r="B9" s="82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2239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2199</v>
      </c>
      <c r="P9" s="84" t="n">
        <v>0</v>
      </c>
      <c r="Q9" s="85">
        <f>IFERROR(N9/N4,"")</f>
        <v/>
      </c>
    </row>
    <row r="10" ht="20" customHeight="1" s="55">
      <c r="A10" s="82" t="inlineStr">
        <is>
          <t>OLED</t>
        </is>
      </c>
      <c r="B10" s="82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>
        <is>
          <t>OLED77C58LA</t>
        </is>
      </c>
      <c r="I10" s="84">
        <f>IF(J10="","",J10-K10)</f>
        <v/>
      </c>
      <c r="J10" s="84" t="n">
        <v>1879.95</v>
      </c>
      <c r="K10" s="84" t="n">
        <v>0</v>
      </c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1799</v>
      </c>
      <c r="P10" s="84" t="n">
        <v>0</v>
      </c>
      <c r="Q10" s="85">
        <f>IFERROR(N10/N5,"")</f>
        <v/>
      </c>
    </row>
    <row r="11" ht="20" customHeight="1" s="55">
      <c r="A11" s="82" t="inlineStr">
        <is>
          <t>OLED</t>
        </is>
      </c>
      <c r="B11" s="82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1239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1279.95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1239</v>
      </c>
      <c r="P11" s="84" t="n">
        <v>0</v>
      </c>
      <c r="Q11" s="85">
        <f>IFERROR(N11/N6,"")</f>
        <v/>
      </c>
    </row>
    <row r="12" ht="20" customHeight="1" s="55">
      <c r="A12" s="82" t="inlineStr">
        <is>
          <t>OLED</t>
        </is>
      </c>
      <c r="B12" s="82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949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979.95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979</v>
      </c>
      <c r="P12" s="84" t="n">
        <v>0</v>
      </c>
      <c r="Q12" s="85">
        <f>IFERROR(N12/N7,"")</f>
        <v/>
      </c>
    </row>
    <row r="13" ht="20" customHeight="1" s="55">
      <c r="A13" s="82" t="inlineStr">
        <is>
          <t>OLED</t>
        </is>
      </c>
      <c r="B13" s="82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>
        <is>
          <t>OLED48C58</t>
        </is>
      </c>
      <c r="I13" s="84">
        <f>IF(J13="","",J13-K13)</f>
        <v/>
      </c>
      <c r="J13" s="84" t="n">
        <v>849.95</v>
      </c>
      <c r="K13" s="84" t="n">
        <v>0</v>
      </c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82" t="inlineStr">
        <is>
          <t>OLED</t>
        </is>
      </c>
      <c r="B14" s="82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709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OLED42C51LA</t>
        </is>
      </c>
      <c r="N14" s="84">
        <f>IF(O14="","",O14-P14)</f>
        <v/>
      </c>
      <c r="O14" s="84" t="n">
        <v>799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82" t="inlineStr">
        <is>
          <t>OLED</t>
        </is>
      </c>
      <c r="B16" s="82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1749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1818</v>
      </c>
      <c r="P16" s="84" t="n">
        <v>0</v>
      </c>
      <c r="Q16" s="85">
        <f>IFERROR(N16/N4,"")</f>
        <v/>
      </c>
    </row>
    <row r="17" ht="20" customHeight="1" s="55">
      <c r="A17" s="82" t="inlineStr">
        <is>
          <t>OLED</t>
        </is>
      </c>
      <c r="B17" s="82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OLED77B56LA</t>
        </is>
      </c>
      <c r="N17" s="84">
        <f>IF(O17="","",O17-P17)</f>
        <v/>
      </c>
      <c r="O17" s="84" t="n">
        <v>1501</v>
      </c>
      <c r="P17" s="84" t="n">
        <v>0</v>
      </c>
      <c r="Q17" s="85">
        <f>IFERROR(N17/N5,"")</f>
        <v/>
      </c>
    </row>
    <row r="18" ht="20" customHeight="1" s="55">
      <c r="A18" s="82" t="inlineStr">
        <is>
          <t>OLED</t>
        </is>
      </c>
      <c r="B18" s="82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1079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999</v>
      </c>
      <c r="P18" s="84" t="n">
        <v>0</v>
      </c>
      <c r="Q18" s="85">
        <f>IFERROR(N18/N6,"")</f>
        <v/>
      </c>
    </row>
    <row r="19" ht="20" customHeight="1" s="55">
      <c r="A19" s="82" t="inlineStr">
        <is>
          <t>OLED</t>
        </is>
      </c>
      <c r="B19" s="82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789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799</v>
      </c>
      <c r="P19" s="84" t="n">
        <v>0</v>
      </c>
      <c r="Q19" s="85">
        <f>IFERROR(N19/N7,"")</f>
        <v/>
      </c>
    </row>
    <row r="20" ht="20" customHeight="1" s="55">
      <c r="A20" s="82" t="inlineStr">
        <is>
          <t>OLED</t>
        </is>
      </c>
      <c r="B20" s="82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649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87" t="inlineStr">
        <is>
          <t>OLED</t>
        </is>
      </c>
      <c r="B22" s="87" t="inlineStr">
        <is>
          <t>83S95F</t>
        </is>
      </c>
      <c r="C22" s="88" t="inlineStr">
        <is>
          <t>QE83S95F</t>
        </is>
      </c>
      <c r="D22" s="89">
        <f>IF(E22="","",E22-F22)</f>
        <v/>
      </c>
      <c r="E22" s="89" t="n">
        <v>5724</v>
      </c>
      <c r="F22" s="89" t="n">
        <v>0</v>
      </c>
      <c r="G22" s="90" t="inlineStr"/>
      <c r="H22" s="88" t="inlineStr">
        <is>
          <t>QE83S95F</t>
        </is>
      </c>
      <c r="I22" s="89">
        <f>IF(J22="","",J22-K22)</f>
        <v/>
      </c>
      <c r="J22" s="89" t="n">
        <v>4499.95</v>
      </c>
      <c r="K22" s="89" t="n">
        <v>500</v>
      </c>
      <c r="L22" s="90" t="inlineStr"/>
      <c r="M22" s="88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87" t="inlineStr">
        <is>
          <t>OLED</t>
        </is>
      </c>
      <c r="B23" s="87" t="inlineStr">
        <is>
          <t>77S95F</t>
        </is>
      </c>
      <c r="C23" s="88" t="inlineStr">
        <is>
          <t>QE77S95F</t>
        </is>
      </c>
      <c r="D23" s="89">
        <f>IF(E23="","",E23-F23)</f>
        <v/>
      </c>
      <c r="E23" s="89" t="n">
        <v>4804</v>
      </c>
      <c r="F23" s="89" t="n">
        <v>0</v>
      </c>
      <c r="G23" s="90" t="inlineStr"/>
      <c r="H23" s="88" t="inlineStr">
        <is>
          <t>QE77S95F</t>
        </is>
      </c>
      <c r="I23" s="89">
        <f>IF(J23="","",J23-K23)</f>
        <v/>
      </c>
      <c r="J23" s="89" t="n">
        <v>3499.95</v>
      </c>
      <c r="K23" s="89" t="n">
        <v>300</v>
      </c>
      <c r="L23" s="90" t="inlineStr"/>
      <c r="M23" s="88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87" t="inlineStr">
        <is>
          <t>OLED</t>
        </is>
      </c>
      <c r="B24" s="87" t="inlineStr">
        <is>
          <t>65S95F</t>
        </is>
      </c>
      <c r="C24" s="88" t="inlineStr">
        <is>
          <t>QE65S95F</t>
        </is>
      </c>
      <c r="D24" s="89">
        <f>IF(E24="","",E24-F24)</f>
        <v/>
      </c>
      <c r="E24" s="89" t="n">
        <v>3374</v>
      </c>
      <c r="F24" s="89" t="n">
        <v>0</v>
      </c>
      <c r="G24" s="90" t="inlineStr"/>
      <c r="H24" s="88" t="inlineStr"/>
      <c r="I24" s="89">
        <f>IF(J24="","",J24-K24)</f>
        <v/>
      </c>
      <c r="J24" s="89" t="inlineStr"/>
      <c r="K24" s="89" t="inlineStr"/>
      <c r="L24" s="90" t="inlineStr"/>
      <c r="M24" s="88" t="inlineStr">
        <is>
          <t>QE65S95F</t>
        </is>
      </c>
      <c r="N24" s="89">
        <f>IF(O24="","",O24-P24)</f>
        <v/>
      </c>
      <c r="O24" s="89" t="n">
        <v>2500</v>
      </c>
      <c r="P24" s="89" t="n">
        <v>0</v>
      </c>
      <c r="Q24" s="90" t="inlineStr"/>
    </row>
    <row r="25" ht="20" customHeight="1" s="55">
      <c r="A25" s="87" t="inlineStr">
        <is>
          <t>OLED</t>
        </is>
      </c>
      <c r="B25" s="87" t="inlineStr">
        <is>
          <t>55S95F</t>
        </is>
      </c>
      <c r="C25" s="88" t="inlineStr">
        <is>
          <t>QE55S95F</t>
        </is>
      </c>
      <c r="D25" s="89">
        <f>IF(E25="","",E25-F25)</f>
        <v/>
      </c>
      <c r="E25" s="89" t="n">
        <v>2609</v>
      </c>
      <c r="F25" s="89" t="n">
        <v>0</v>
      </c>
      <c r="G25" s="90" t="inlineStr"/>
      <c r="H25" s="88" t="inlineStr">
        <is>
          <t>QE55S95F</t>
        </is>
      </c>
      <c r="I25" s="89">
        <f>IF(J25="","",J25-K25)</f>
        <v/>
      </c>
      <c r="J25" s="89" t="n">
        <v>1999.95</v>
      </c>
      <c r="K25" s="89" t="n">
        <v>150</v>
      </c>
      <c r="L25" s="90" t="inlineStr"/>
      <c r="M25" s="88" t="inlineStr">
        <is>
          <t>QE55S95F</t>
        </is>
      </c>
      <c r="N25" s="89">
        <f>IF(O25="","",O25-P25)</f>
        <v/>
      </c>
      <c r="O25" s="89" t="n">
        <v>1809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87" t="inlineStr">
        <is>
          <t>OLED</t>
        </is>
      </c>
      <c r="B27" s="87" t="inlineStr">
        <is>
          <t>83S90F</t>
        </is>
      </c>
      <c r="C27" s="88" t="inlineStr">
        <is>
          <t>QE83S90F</t>
        </is>
      </c>
      <c r="D27" s="89">
        <f>IF(E27="","",E27-F27)</f>
        <v/>
      </c>
      <c r="E27" s="89" t="n">
        <v>2199</v>
      </c>
      <c r="F27" s="89" t="n">
        <v>0</v>
      </c>
      <c r="G27" s="90" t="inlineStr"/>
      <c r="H27" s="88" t="inlineStr">
        <is>
          <t>QE83S90FAEXZU</t>
        </is>
      </c>
      <c r="I27" s="89">
        <f>IF(J27="","",J27-K27)</f>
        <v/>
      </c>
      <c r="J27" s="89" t="n">
        <v>1999.95</v>
      </c>
      <c r="K27" s="89" t="n">
        <v>500</v>
      </c>
      <c r="L27" s="90" t="inlineStr"/>
      <c r="M27" s="88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87" t="inlineStr">
        <is>
          <t>OLED</t>
        </is>
      </c>
      <c r="B28" s="87" t="inlineStr">
        <is>
          <t>77S90F</t>
        </is>
      </c>
      <c r="C28" s="88" t="inlineStr">
        <is>
          <t>QE77S90F</t>
        </is>
      </c>
      <c r="D28" s="89">
        <f>IF(E28="","",E28-F28)</f>
        <v/>
      </c>
      <c r="E28" s="89" t="n">
        <v>1759</v>
      </c>
      <c r="F28" s="89" t="n">
        <v>0</v>
      </c>
      <c r="G28" s="90" t="inlineStr"/>
      <c r="H28" s="88" t="inlineStr">
        <is>
          <t>QE77S90FAEXZU</t>
        </is>
      </c>
      <c r="I28" s="89">
        <f>IF(J28="","",J28-K28)</f>
        <v/>
      </c>
      <c r="J28" s="89" t="n">
        <v>1799.95</v>
      </c>
      <c r="K28" s="89" t="n">
        <v>300</v>
      </c>
      <c r="L28" s="90" t="inlineStr"/>
      <c r="M28" s="88" t="inlineStr">
        <is>
          <t>QE77S90FAE</t>
        </is>
      </c>
      <c r="N28" s="89">
        <f>IF(O28="","",O28-P28)</f>
        <v/>
      </c>
      <c r="O28" s="89" t="n">
        <v>1779</v>
      </c>
      <c r="P28" s="89" t="n">
        <v>0</v>
      </c>
      <c r="Q28" s="90" t="inlineStr"/>
    </row>
    <row r="29" ht="20" customHeight="1" s="55">
      <c r="A29" s="87" t="inlineStr">
        <is>
          <t>OLED</t>
        </is>
      </c>
      <c r="B29" s="87" t="inlineStr">
        <is>
          <t>65S90F</t>
        </is>
      </c>
      <c r="C29" s="88" t="inlineStr">
        <is>
          <t>QE65S90F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88" t="inlineStr">
        <is>
          <t>QE65S90F</t>
        </is>
      </c>
      <c r="I29" s="89">
        <f>IF(J29="","",J29-K29)</f>
        <v/>
      </c>
      <c r="J29" s="89" t="n">
        <v>1299.95</v>
      </c>
      <c r="K29" s="89" t="n">
        <v>200</v>
      </c>
      <c r="L29" s="90" t="inlineStr"/>
      <c r="M29" s="88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87" t="inlineStr">
        <is>
          <t>OLED</t>
        </is>
      </c>
      <c r="B30" s="87" t="inlineStr">
        <is>
          <t>55S90F</t>
        </is>
      </c>
      <c r="C30" s="88" t="inlineStr">
        <is>
          <t>QE55S90F</t>
        </is>
      </c>
      <c r="D30" s="89">
        <f>IF(E30="","",E30-F30)</f>
        <v/>
      </c>
      <c r="E30" s="89" t="n">
        <v>999</v>
      </c>
      <c r="F30" s="89" t="n">
        <v>0</v>
      </c>
      <c r="G30" s="90" t="inlineStr"/>
      <c r="H30" s="88" t="inlineStr">
        <is>
          <t>QE55S90FAEXZU</t>
        </is>
      </c>
      <c r="I30" s="89">
        <f>IF(J30="","",J30-K30)</f>
        <v/>
      </c>
      <c r="J30" s="89" t="n">
        <v>899.95</v>
      </c>
      <c r="K30" s="89" t="n">
        <v>150</v>
      </c>
      <c r="L30" s="90" t="inlineStr"/>
      <c r="M30" s="88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87" t="inlineStr">
        <is>
          <t>OLED</t>
        </is>
      </c>
      <c r="B31" s="87" t="inlineStr">
        <is>
          <t>48S90F</t>
        </is>
      </c>
      <c r="C31" s="88" t="inlineStr">
        <is>
          <t>QE48S90F</t>
        </is>
      </c>
      <c r="D31" s="89">
        <f>IF(E31="","",E31-F31)</f>
        <v/>
      </c>
      <c r="E31" s="89" t="n">
        <v>849.95</v>
      </c>
      <c r="F31" s="89" t="n">
        <v>0</v>
      </c>
      <c r="G31" s="90" t="inlineStr"/>
      <c r="H31" s="88" t="inlineStr">
        <is>
          <t>QE48S90FAEXZU</t>
        </is>
      </c>
      <c r="I31" s="89">
        <f>IF(J31="","",J31-K31)</f>
        <v/>
      </c>
      <c r="J31" s="89" t="n">
        <v>849.95</v>
      </c>
      <c r="K31" s="89" t="n">
        <v>100</v>
      </c>
      <c r="L31" s="90" t="inlineStr"/>
      <c r="M31" s="88" t="inlineStr">
        <is>
          <t>QE48S90FAE</t>
        </is>
      </c>
      <c r="N31" s="89">
        <f>IF(O31="","",O31-P31)</f>
        <v/>
      </c>
      <c r="O31" s="89" t="n">
        <v>793</v>
      </c>
      <c r="P31" s="89" t="n">
        <v>0</v>
      </c>
      <c r="Q31" s="90" t="inlineStr"/>
    </row>
    <row r="32" ht="20" customHeight="1" s="55">
      <c r="A32" s="87" t="inlineStr">
        <is>
          <t>OLED</t>
        </is>
      </c>
      <c r="B32" s="87" t="inlineStr">
        <is>
          <t>42S90F</t>
        </is>
      </c>
      <c r="C32" s="88" t="inlineStr">
        <is>
          <t>QE42S90F</t>
        </is>
      </c>
      <c r="D32" s="89">
        <f>IF(E32="","",E32-F32)</f>
        <v/>
      </c>
      <c r="E32" s="89" t="n">
        <v>729</v>
      </c>
      <c r="F32" s="89" t="n">
        <v>0</v>
      </c>
      <c r="G32" s="90" t="inlineStr"/>
      <c r="H32" s="88" t="inlineStr">
        <is>
          <t>QE42S90F</t>
        </is>
      </c>
      <c r="I32" s="89">
        <f>IF(J32="","",J32-K32)</f>
        <v/>
      </c>
      <c r="J32" s="89" t="n">
        <v>729.95</v>
      </c>
      <c r="K32" s="89" t="n">
        <v>100</v>
      </c>
      <c r="L32" s="90" t="inlineStr"/>
      <c r="M32" s="88" t="inlineStr">
        <is>
          <t>QE42S90FAE</t>
        </is>
      </c>
      <c r="N32" s="89">
        <f>IF(O32="","",O32-P32)</f>
        <v/>
      </c>
      <c r="O32" s="89" t="n">
        <v>729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87" t="inlineStr">
        <is>
          <t>OLED</t>
        </is>
      </c>
      <c r="B34" s="87" t="inlineStr">
        <is>
          <t>83S85F</t>
        </is>
      </c>
      <c r="C34" s="88" t="inlineStr">
        <is>
          <t>QE83S85F</t>
        </is>
      </c>
      <c r="D34" s="89">
        <f>IF(E34="","",E34-F34)</f>
        <v/>
      </c>
      <c r="E34" s="89" t="n">
        <v>1829</v>
      </c>
      <c r="F34" s="89" t="n">
        <v>0</v>
      </c>
      <c r="G34" s="90" t="inlineStr"/>
      <c r="H34" s="88" t="inlineStr">
        <is>
          <t>QE83S85FAEXZU</t>
        </is>
      </c>
      <c r="I34" s="89">
        <f>IF(J34="","",J34-K34)</f>
        <v/>
      </c>
      <c r="J34" s="89" t="n">
        <v>1899.95</v>
      </c>
      <c r="K34" s="89" t="n">
        <v>500</v>
      </c>
      <c r="L34" s="90" t="inlineStr"/>
      <c r="M34" s="88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87" t="inlineStr">
        <is>
          <t>OLED</t>
        </is>
      </c>
      <c r="B35" s="87" t="inlineStr">
        <is>
          <t>77S85F</t>
        </is>
      </c>
      <c r="C35" s="88" t="inlineStr">
        <is>
          <t>QE77S85F</t>
        </is>
      </c>
      <c r="D35" s="89">
        <f>IF(E35="","",E35-F35)</f>
        <v/>
      </c>
      <c r="E35" s="89" t="n">
        <v>1399</v>
      </c>
      <c r="F35" s="89" t="n">
        <v>0</v>
      </c>
      <c r="G35" s="90" t="inlineStr"/>
      <c r="H35" s="88" t="inlineStr"/>
      <c r="I35" s="89">
        <f>IF(J35="","",J35-K35)</f>
        <v/>
      </c>
      <c r="J35" s="89" t="inlineStr"/>
      <c r="K35" s="89" t="inlineStr"/>
      <c r="L35" s="90" t="inlineStr"/>
      <c r="M35" s="88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87" t="inlineStr">
        <is>
          <t>OLED</t>
        </is>
      </c>
      <c r="B36" s="87" t="inlineStr">
        <is>
          <t>65S85F</t>
        </is>
      </c>
      <c r="C36" s="88" t="inlineStr">
        <is>
          <t>QE65S85F</t>
        </is>
      </c>
      <c r="D36" s="89">
        <f>IF(E36="","",E36-F36)</f>
        <v/>
      </c>
      <c r="E36" s="89" t="n">
        <v>1279</v>
      </c>
      <c r="F36" s="89" t="n">
        <v>0</v>
      </c>
      <c r="G36" s="90" t="inlineStr"/>
      <c r="H36" s="88" t="inlineStr"/>
      <c r="I36" s="89">
        <f>IF(J36="","",J36-K36)</f>
        <v/>
      </c>
      <c r="J36" s="89" t="inlineStr"/>
      <c r="K36" s="89" t="inlineStr"/>
      <c r="L36" s="90" t="inlineStr"/>
      <c r="M36" s="88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87" t="inlineStr">
        <is>
          <t>OLED</t>
        </is>
      </c>
      <c r="B37" s="87" t="inlineStr">
        <is>
          <t>55S85F</t>
        </is>
      </c>
      <c r="C37" s="88" t="inlineStr">
        <is>
          <t>QE55S85F</t>
        </is>
      </c>
      <c r="D37" s="89">
        <f>IF(E37="","",E37-F37)</f>
        <v/>
      </c>
      <c r="E37" s="89" t="n">
        <v>859</v>
      </c>
      <c r="F37" s="89" t="n">
        <v>0</v>
      </c>
      <c r="G37" s="90" t="inlineStr"/>
      <c r="H37" s="88" t="inlineStr"/>
      <c r="I37" s="89">
        <f>IF(J37="","",J37-K37)</f>
        <v/>
      </c>
      <c r="J37" s="89" t="inlineStr"/>
      <c r="K37" s="89" t="inlineStr"/>
      <c r="L37" s="90" t="inlineStr"/>
      <c r="M37" s="88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82" t="inlineStr">
        <is>
          <t>QNED</t>
        </is>
      </c>
      <c r="B39" s="82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2799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2599</v>
      </c>
      <c r="P39" s="84" t="n">
        <v>0</v>
      </c>
      <c r="Q39" s="85">
        <f>IFERROR(N39/N4,"")</f>
        <v/>
      </c>
    </row>
    <row r="40" ht="20" customHeight="1" s="55">
      <c r="A40" s="82" t="inlineStr">
        <is>
          <t>QNED</t>
        </is>
      </c>
      <c r="B40" s="82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>
        <is>
          <t>86QNED86A6A</t>
        </is>
      </c>
      <c r="I40" s="84">
        <f>IF(J40="","",J40-K40)</f>
        <v/>
      </c>
      <c r="J40" s="84" t="n">
        <v>1299.95</v>
      </c>
      <c r="K40" s="84" t="n">
        <v>0</v>
      </c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82" t="inlineStr">
        <is>
          <t>QNED</t>
        </is>
      </c>
      <c r="B41" s="82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82" t="inlineStr">
        <is>
          <t>QNED</t>
        </is>
      </c>
      <c r="B42" s="82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739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699.95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82" t="inlineStr">
        <is>
          <t>QNED</t>
        </is>
      </c>
      <c r="B43" s="82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55QNED85A3C</t>
        </is>
      </c>
      <c r="N43" s="84">
        <f>IF(O43="","",O43-P43)</f>
        <v/>
      </c>
      <c r="O43" s="84" t="n">
        <v>439</v>
      </c>
      <c r="P43" s="84" t="n">
        <v>0</v>
      </c>
      <c r="Q43" s="85">
        <f>IFERROR(N43/N7,"")</f>
        <v/>
      </c>
    </row>
    <row r="44" ht="20" customHeight="1" s="55">
      <c r="A44" s="82" t="inlineStr">
        <is>
          <t>QNED</t>
        </is>
      </c>
      <c r="B44" s="82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479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549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82" t="inlineStr">
        <is>
          <t>QNED</t>
        </is>
      </c>
      <c r="B47" s="82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>
        <is>
          <t>86QNED80A6A</t>
        </is>
      </c>
      <c r="I47" s="84">
        <f>IF(J47="","",J47-K47)</f>
        <v/>
      </c>
      <c r="J47" s="84" t="n">
        <v>1099.95</v>
      </c>
      <c r="K47" s="84" t="n">
        <v>0</v>
      </c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82" t="inlineStr">
        <is>
          <t>QNED</t>
        </is>
      </c>
      <c r="B48" s="82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899</v>
      </c>
      <c r="P48" s="84" t="n">
        <v>0</v>
      </c>
      <c r="Q48" s="85">
        <f>IFERROR(N48/N5,"")</f>
        <v/>
      </c>
    </row>
    <row r="49" ht="20" customHeight="1" s="55">
      <c r="A49" s="82" t="inlineStr">
        <is>
          <t>QNED</t>
        </is>
      </c>
      <c r="B49" s="82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599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666</v>
      </c>
      <c r="P49" s="84" t="n">
        <v>0</v>
      </c>
      <c r="Q49" s="85">
        <f>IFERROR(N49/N6,"")</f>
        <v/>
      </c>
    </row>
    <row r="50" ht="20" customHeight="1" s="55">
      <c r="A50" s="82" t="inlineStr">
        <is>
          <t>QNED</t>
        </is>
      </c>
      <c r="B50" s="82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499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500</v>
      </c>
      <c r="P50" s="84" t="n">
        <v>0</v>
      </c>
      <c r="Q50" s="85">
        <f>IFERROR(N50/N7,"")</f>
        <v/>
      </c>
    </row>
    <row r="51" ht="20" customHeight="1" s="55">
      <c r="A51" s="82" t="inlineStr">
        <is>
          <t>QNED</t>
        </is>
      </c>
      <c r="B51" s="82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409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444</v>
      </c>
      <c r="P51" s="84" t="n">
        <v>0</v>
      </c>
      <c r="Q51" s="85">
        <f>IFERROR(N51/N7,"")</f>
        <v/>
      </c>
    </row>
    <row r="52" ht="20" customHeight="1" s="55">
      <c r="A52" s="82" t="inlineStr">
        <is>
          <t>QNED</t>
        </is>
      </c>
      <c r="B52" s="82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379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379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87" t="inlineStr">
        <is>
          <t>QLED</t>
        </is>
      </c>
      <c r="B54" s="87" t="inlineStr">
        <is>
          <t>85QN80F</t>
        </is>
      </c>
      <c r="C54" s="88" t="inlineStr">
        <is>
          <t>QE85QN80F</t>
        </is>
      </c>
      <c r="D54" s="95">
        <f>IF(E54="","",E54-F54)</f>
        <v/>
      </c>
      <c r="E54" s="89" t="n">
        <v>1799</v>
      </c>
      <c r="F54" s="89" t="n">
        <v>0</v>
      </c>
      <c r="G54" s="90" t="inlineStr"/>
      <c r="H54" s="88" t="inlineStr">
        <is>
          <t>QE85QN80F</t>
        </is>
      </c>
      <c r="I54" s="95">
        <f>IF(J54="","",J54-K54)</f>
        <v/>
      </c>
      <c r="J54" s="89" t="n">
        <v>1799.95</v>
      </c>
      <c r="K54" s="89" t="n">
        <v>500</v>
      </c>
      <c r="L54" s="90" t="inlineStr"/>
      <c r="M54" s="88" t="inlineStr"/>
      <c r="N54" s="95">
        <f>IF(O54="","",O54-P54)</f>
        <v/>
      </c>
      <c r="O54" s="96" t="inlineStr"/>
      <c r="P54" s="96" t="inlineStr"/>
      <c r="Q54" s="90" t="inlineStr"/>
    </row>
    <row r="55" ht="20" customHeight="1" s="55">
      <c r="A55" s="87" t="inlineStr">
        <is>
          <t>QLED</t>
        </is>
      </c>
      <c r="B55" s="87" t="inlineStr">
        <is>
          <t>75QN80F</t>
        </is>
      </c>
      <c r="C55" s="88" t="inlineStr">
        <is>
          <t>QE75QN80F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88" t="inlineStr"/>
      <c r="I55" s="95">
        <f>IF(J55="","",J55-K55)</f>
        <v/>
      </c>
      <c r="J55" s="96" t="inlineStr"/>
      <c r="K55" s="96" t="inlineStr"/>
      <c r="L55" s="90" t="inlineStr"/>
      <c r="M55" s="88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87" t="inlineStr">
        <is>
          <t>QLED</t>
        </is>
      </c>
      <c r="B56" s="87" t="inlineStr">
        <is>
          <t>65QN80F</t>
        </is>
      </c>
      <c r="C56" s="88" t="inlineStr">
        <is>
          <t>QE65QN80F</t>
        </is>
      </c>
      <c r="D56" s="95">
        <f>IF(E56="","",E56-F56)</f>
        <v/>
      </c>
      <c r="E56" s="89" t="n">
        <v>899</v>
      </c>
      <c r="F56" s="89" t="n">
        <v>0</v>
      </c>
      <c r="G56" s="90" t="inlineStr"/>
      <c r="H56" s="88" t="inlineStr"/>
      <c r="I56" s="95">
        <f>IF(J56="","",J56-K56)</f>
        <v/>
      </c>
      <c r="J56" s="96" t="inlineStr"/>
      <c r="K56" s="96" t="inlineStr"/>
      <c r="L56" s="90" t="inlineStr"/>
      <c r="M56" s="88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87" t="inlineStr">
        <is>
          <t>QLED</t>
        </is>
      </c>
      <c r="B57" s="87" t="inlineStr">
        <is>
          <t>55QN80F</t>
        </is>
      </c>
      <c r="C57" s="88" t="inlineStr">
        <is>
          <t>QE55QN80F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88" t="inlineStr">
        <is>
          <t>QE55QN80F</t>
        </is>
      </c>
      <c r="I57" s="95">
        <f>IF(J57="","",J57-K57)</f>
        <v/>
      </c>
      <c r="J57" s="89" t="n">
        <v>799.95</v>
      </c>
      <c r="K57" s="89" t="n">
        <v>150</v>
      </c>
      <c r="L57" s="90" t="inlineStr"/>
      <c r="M57" s="88" t="inlineStr"/>
      <c r="N57" s="95">
        <f>IF(O57="","",O57-P57)</f>
        <v/>
      </c>
      <c r="O57" s="96" t="inlineStr"/>
      <c r="P57" s="96" t="inlineStr"/>
      <c r="Q57" s="90" t="inlineStr"/>
    </row>
    <row r="58" ht="20" customHeight="1" s="55">
      <c r="A58" s="87" t="inlineStr">
        <is>
          <t>QLED</t>
        </is>
      </c>
      <c r="B58" s="87" t="inlineStr">
        <is>
          <t>50QN80F</t>
        </is>
      </c>
      <c r="C58" s="88" t="inlineStr">
        <is>
          <t>QE50QN80F</t>
        </is>
      </c>
      <c r="D58" s="95">
        <f>IF(E58="","",E58-F58)</f>
        <v/>
      </c>
      <c r="E58" s="89" t="n">
        <v>719</v>
      </c>
      <c r="F58" s="89" t="n">
        <v>0</v>
      </c>
      <c r="G58" s="90" t="inlineStr"/>
      <c r="H58" s="88" t="inlineStr">
        <is>
          <t>QE50QN80F</t>
        </is>
      </c>
      <c r="I58" s="95">
        <f>IF(J58="","",J58-K58)</f>
        <v/>
      </c>
      <c r="J58" s="89" t="n">
        <v>769.95</v>
      </c>
      <c r="K58" s="89" t="n">
        <v>150</v>
      </c>
      <c r="L58" s="90" t="inlineStr"/>
      <c r="M58" s="88" t="inlineStr">
        <is>
          <t>QE50QN80FAU</t>
        </is>
      </c>
      <c r="N58" s="95">
        <f>IF(O58="","",O58-P58)</f>
        <v/>
      </c>
      <c r="O58" s="89" t="n">
        <v>844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87" t="inlineStr">
        <is>
          <t>QLED</t>
        </is>
      </c>
      <c r="B60" s="87" t="inlineStr">
        <is>
          <t>85QN70F</t>
        </is>
      </c>
      <c r="C60" s="88" t="inlineStr"/>
      <c r="D60" s="89">
        <f>IF(E60="","",E60-F60)</f>
        <v/>
      </c>
      <c r="E60" s="89" t="inlineStr"/>
      <c r="F60" s="89" t="inlineStr"/>
      <c r="G60" s="90" t="inlineStr"/>
      <c r="H60" s="88" t="inlineStr">
        <is>
          <t>QE85QN70F</t>
        </is>
      </c>
      <c r="I60" s="89">
        <f>IF(J60="","",J60-K60)</f>
        <v/>
      </c>
      <c r="J60" s="89" t="n">
        <v>1599.95</v>
      </c>
      <c r="K60" s="89" t="n">
        <v>500</v>
      </c>
      <c r="L60" s="90" t="inlineStr"/>
      <c r="M60" s="88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87" t="inlineStr">
        <is>
          <t>QLED</t>
        </is>
      </c>
      <c r="B61" s="87" t="inlineStr">
        <is>
          <t>75QN70F</t>
        </is>
      </c>
      <c r="C61" s="88" t="inlineStr">
        <is>
          <t>QE75QN70F</t>
        </is>
      </c>
      <c r="D61" s="89">
        <f>IF(E61="","",E61-F61)</f>
        <v/>
      </c>
      <c r="E61" s="89" t="n">
        <v>1878</v>
      </c>
      <c r="F61" s="89" t="n">
        <v>0</v>
      </c>
      <c r="G61" s="90" t="inlineStr"/>
      <c r="H61" s="88" t="inlineStr">
        <is>
          <t>QE75QN70FAUXXN</t>
        </is>
      </c>
      <c r="I61" s="89">
        <f>IF(J61="","",J61-K61)</f>
        <v/>
      </c>
      <c r="J61" s="89" t="n">
        <v>999.95</v>
      </c>
      <c r="K61" s="89" t="n">
        <v>300</v>
      </c>
      <c r="L61" s="90" t="inlineStr"/>
      <c r="M61" s="88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87" t="inlineStr">
        <is>
          <t>QLED</t>
        </is>
      </c>
      <c r="B62" s="87" t="inlineStr">
        <is>
          <t>65QN70F</t>
        </is>
      </c>
      <c r="C62" s="88" t="inlineStr"/>
      <c r="D62" s="89">
        <f>IF(E62="","",E62-F62)</f>
        <v/>
      </c>
      <c r="E62" s="89" t="inlineStr"/>
      <c r="F62" s="89" t="inlineStr"/>
      <c r="G62" s="90" t="inlineStr"/>
      <c r="H62" s="88" t="inlineStr">
        <is>
          <t>QE65QN70F</t>
        </is>
      </c>
      <c r="I62" s="89">
        <f>IF(J62="","",J62-K62)</f>
        <v/>
      </c>
      <c r="J62" s="89" t="n">
        <v>799.95</v>
      </c>
      <c r="K62" s="89" t="n">
        <v>200</v>
      </c>
      <c r="L62" s="90" t="inlineStr"/>
      <c r="M62" s="88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87" t="inlineStr">
        <is>
          <t>QLED</t>
        </is>
      </c>
      <c r="B63" s="87" t="inlineStr">
        <is>
          <t>55QN70F</t>
        </is>
      </c>
      <c r="C63" s="88" t="inlineStr"/>
      <c r="D63" s="89">
        <f>IF(E63="","",E63-F63)</f>
        <v/>
      </c>
      <c r="E63" s="89" t="inlineStr"/>
      <c r="F63" s="89" t="inlineStr"/>
      <c r="G63" s="90" t="inlineStr"/>
      <c r="H63" s="88" t="inlineStr">
        <is>
          <t>QE55QN70FAUXXN</t>
        </is>
      </c>
      <c r="I63" s="89">
        <f>IF(J63="","",J63-K63)</f>
        <v/>
      </c>
      <c r="J63" s="89" t="n">
        <v>599.95</v>
      </c>
      <c r="K63" s="89" t="n">
        <v>150</v>
      </c>
      <c r="L63" s="90" t="inlineStr"/>
      <c r="M63" s="88" t="inlineStr">
        <is>
          <t>QE55QN70FAU</t>
        </is>
      </c>
      <c r="N63" s="89">
        <f>IF(O63="","",O63-P63)</f>
        <v/>
      </c>
      <c r="O63" s="89" t="n">
        <v>599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87" t="inlineStr">
        <is>
          <t>QLED</t>
        </is>
      </c>
      <c r="B65" s="87" t="inlineStr">
        <is>
          <t>85Q8F</t>
        </is>
      </c>
      <c r="C65" s="88" t="inlineStr">
        <is>
          <t>QE85Q8F</t>
        </is>
      </c>
      <c r="D65" s="89">
        <f>IF(E65="","",E65-F65)</f>
        <v/>
      </c>
      <c r="E65" s="89" t="n">
        <v>1229</v>
      </c>
      <c r="F65" s="89" t="n">
        <v>0</v>
      </c>
      <c r="G65" s="90" t="inlineStr"/>
      <c r="H65" s="88" t="inlineStr">
        <is>
          <t>QE85Q8F</t>
        </is>
      </c>
      <c r="I65" s="89">
        <f>IF(J65="","",J65-K65)</f>
        <v/>
      </c>
      <c r="J65" s="89" t="n">
        <v>1299.95</v>
      </c>
      <c r="K65" s="89" t="n">
        <v>0</v>
      </c>
      <c r="L65" s="90" t="inlineStr"/>
      <c r="M65" s="88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87" t="inlineStr">
        <is>
          <t>QLED</t>
        </is>
      </c>
      <c r="B66" s="87" t="inlineStr">
        <is>
          <t>75Q8F</t>
        </is>
      </c>
      <c r="C66" s="88" t="inlineStr">
        <is>
          <t>QE75Q8F</t>
        </is>
      </c>
      <c r="D66" s="89">
        <f>IF(E66="","",E66-F66)</f>
        <v/>
      </c>
      <c r="E66" s="89" t="n">
        <v>999</v>
      </c>
      <c r="F66" s="89" t="n">
        <v>0</v>
      </c>
      <c r="G66" s="90" t="inlineStr"/>
      <c r="H66" s="88" t="inlineStr">
        <is>
          <t>QE75Q8FAAUXXN</t>
        </is>
      </c>
      <c r="I66" s="89">
        <f>IF(J66="","",J66-K66)</f>
        <v/>
      </c>
      <c r="J66" s="89" t="n">
        <v>949.95</v>
      </c>
      <c r="K66" s="89" t="n">
        <v>0</v>
      </c>
      <c r="L66" s="90" t="inlineStr"/>
      <c r="M66" s="88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87" t="inlineStr">
        <is>
          <t>QLED</t>
        </is>
      </c>
      <c r="B67" s="87" t="inlineStr">
        <is>
          <t>65Q8F</t>
        </is>
      </c>
      <c r="C67" s="88" t="inlineStr">
        <is>
          <t>QE65Q8F</t>
        </is>
      </c>
      <c r="D67" s="89">
        <f>IF(E67="","",E67-F67)</f>
        <v/>
      </c>
      <c r="E67" s="89" t="n">
        <v>679</v>
      </c>
      <c r="F67" s="89" t="n">
        <v>0</v>
      </c>
      <c r="G67" s="90" t="inlineStr"/>
      <c r="H67" s="88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88" t="inlineStr">
        <is>
          <t>QE65Q8FAAU</t>
        </is>
      </c>
      <c r="N67" s="89">
        <f>IF(O67="","",O67-P67)</f>
        <v/>
      </c>
      <c r="O67" s="89" t="n">
        <v>699</v>
      </c>
      <c r="P67" s="89" t="n">
        <v>0</v>
      </c>
      <c r="Q67" s="90" t="inlineStr"/>
    </row>
    <row r="68" ht="20" customHeight="1" s="55">
      <c r="A68" s="87" t="inlineStr">
        <is>
          <t>QLED</t>
        </is>
      </c>
      <c r="B68" s="87" t="inlineStr">
        <is>
          <t>55Q8F</t>
        </is>
      </c>
      <c r="C68" s="88" t="inlineStr">
        <is>
          <t>QE55Q8F</t>
        </is>
      </c>
      <c r="D68" s="89">
        <f>IF(E68="","",E68-F68)</f>
        <v/>
      </c>
      <c r="E68" s="89" t="n">
        <v>459</v>
      </c>
      <c r="F68" s="89" t="n">
        <v>0</v>
      </c>
      <c r="G68" s="90" t="inlineStr"/>
      <c r="H68" s="88" t="inlineStr">
        <is>
          <t>QE55Q8F</t>
        </is>
      </c>
      <c r="I68" s="89">
        <f>IF(J68="","",J68-K68)</f>
        <v/>
      </c>
      <c r="J68" s="89" t="n">
        <v>469.95</v>
      </c>
      <c r="K68" s="89" t="n">
        <v>0</v>
      </c>
      <c r="L68" s="90" t="inlineStr"/>
      <c r="M68" s="88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87" t="inlineStr">
        <is>
          <t>QLED</t>
        </is>
      </c>
      <c r="B69" s="87" t="inlineStr">
        <is>
          <t>50Q8F</t>
        </is>
      </c>
      <c r="C69" s="88" t="inlineStr">
        <is>
          <t>QE50Q8F</t>
        </is>
      </c>
      <c r="D69" s="89">
        <f>IF(E69="","",E69-F69)</f>
        <v/>
      </c>
      <c r="E69" s="89" t="n">
        <v>449</v>
      </c>
      <c r="F69" s="89" t="n">
        <v>0</v>
      </c>
      <c r="G69" s="90" t="inlineStr"/>
      <c r="H69" s="88" t="inlineStr">
        <is>
          <t>QE50Q8F</t>
        </is>
      </c>
      <c r="I69" s="89">
        <f>IF(J69="","",J69-K69)</f>
        <v/>
      </c>
      <c r="J69" s="89" t="n">
        <v>449.95</v>
      </c>
      <c r="K69" s="89" t="n">
        <v>0</v>
      </c>
      <c r="L69" s="90" t="inlineStr"/>
      <c r="M69" s="88" t="inlineStr">
        <is>
          <t>QE50Q8FAAU</t>
        </is>
      </c>
      <c r="N69" s="89">
        <f>IF(O69="","",O69-P69)</f>
        <v/>
      </c>
      <c r="O69" s="89" t="n">
        <v>389</v>
      </c>
      <c r="P69" s="89" t="n">
        <v>0</v>
      </c>
      <c r="Q69" s="90" t="inlineStr"/>
    </row>
    <row r="70" ht="20" customHeight="1" s="55">
      <c r="A70" s="87" t="inlineStr">
        <is>
          <t>QLED</t>
        </is>
      </c>
      <c r="B70" s="87" t="inlineStr">
        <is>
          <t>43Q8F</t>
        </is>
      </c>
      <c r="C70" s="88" t="inlineStr">
        <is>
          <t>QE43Q8F</t>
        </is>
      </c>
      <c r="D70" s="95">
        <f>IF(E70="","",E70-F70)</f>
        <v/>
      </c>
      <c r="E70" s="89" t="n">
        <v>469</v>
      </c>
      <c r="F70" s="89" t="n">
        <v>0</v>
      </c>
      <c r="G70" s="90" t="inlineStr"/>
      <c r="H70" s="88" t="inlineStr">
        <is>
          <t>QE43Q8FAAUXXN</t>
        </is>
      </c>
      <c r="I70" s="95">
        <f>IF(J70="","",J70-K70)</f>
        <v/>
      </c>
      <c r="J70" s="89" t="n">
        <v>449.95</v>
      </c>
      <c r="K70" s="89" t="n">
        <v>0</v>
      </c>
      <c r="L70" s="90" t="inlineStr"/>
      <c r="M70" s="88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87" t="inlineStr">
        <is>
          <t>QLED</t>
        </is>
      </c>
      <c r="B72" s="87" t="inlineStr">
        <is>
          <t>85Q7F</t>
        </is>
      </c>
      <c r="C72" s="88" t="inlineStr">
        <is>
          <t>QE85Q7F</t>
        </is>
      </c>
      <c r="D72" s="89">
        <f>IF(E72="","",E72-F72)</f>
        <v/>
      </c>
      <c r="E72" s="89" t="n">
        <v>2407</v>
      </c>
      <c r="F72" s="89" t="n">
        <v>0</v>
      </c>
      <c r="G72" s="90" t="inlineStr"/>
      <c r="H72" s="88" t="inlineStr"/>
      <c r="I72" s="89">
        <f>IF(J72="","",J72-K72)</f>
        <v/>
      </c>
      <c r="J72" s="89" t="inlineStr"/>
      <c r="K72" s="89" t="inlineStr"/>
      <c r="L72" s="90" t="inlineStr"/>
      <c r="M72" s="88" t="inlineStr">
        <is>
          <t>QE85Q7FAAU</t>
        </is>
      </c>
      <c r="N72" s="89">
        <f>IF(O72="","",O72-P72)</f>
        <v/>
      </c>
      <c r="O72" s="89" t="n">
        <v>1689</v>
      </c>
      <c r="P72" s="89" t="n">
        <v>0</v>
      </c>
      <c r="Q72" s="90" t="inlineStr"/>
    </row>
    <row r="73" ht="20" customHeight="1" s="55">
      <c r="A73" s="87" t="inlineStr">
        <is>
          <t>QLED</t>
        </is>
      </c>
      <c r="B73" s="87" t="inlineStr">
        <is>
          <t>75Q7F</t>
        </is>
      </c>
      <c r="C73" s="88" t="inlineStr"/>
      <c r="D73" s="89">
        <f>IF(E73="","",E73-F73)</f>
        <v/>
      </c>
      <c r="E73" s="89" t="inlineStr"/>
      <c r="F73" s="89" t="inlineStr"/>
      <c r="G73" s="90" t="inlineStr"/>
      <c r="H73" s="88" t="inlineStr"/>
      <c r="I73" s="89">
        <f>IF(J73="","",J73-K73)</f>
        <v/>
      </c>
      <c r="J73" s="89" t="inlineStr"/>
      <c r="K73" s="89" t="inlineStr"/>
      <c r="L73" s="90" t="inlineStr"/>
      <c r="M73" s="88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87" t="inlineStr">
        <is>
          <t>QLED</t>
        </is>
      </c>
      <c r="B74" s="87" t="inlineStr">
        <is>
          <t>65Q7F</t>
        </is>
      </c>
      <c r="C74" s="88" t="inlineStr"/>
      <c r="D74" s="89">
        <f>IF(E74="","",E74-F74)</f>
        <v/>
      </c>
      <c r="E74" s="89" t="inlineStr"/>
      <c r="F74" s="89" t="inlineStr"/>
      <c r="G74" s="90" t="inlineStr"/>
      <c r="H74" s="88" t="inlineStr"/>
      <c r="I74" s="89">
        <f>IF(J74="","",J74-K74)</f>
        <v/>
      </c>
      <c r="J74" s="89" t="inlineStr"/>
      <c r="K74" s="89" t="inlineStr"/>
      <c r="L74" s="90" t="inlineStr"/>
      <c r="M74" s="88" t="inlineStr">
        <is>
          <t>QE65Q7FAAU</t>
        </is>
      </c>
      <c r="N74" s="89">
        <f>IF(O74="","",O74-P74)</f>
        <v/>
      </c>
      <c r="O74" s="89" t="n">
        <v>692</v>
      </c>
      <c r="P74" s="89" t="n">
        <v>0</v>
      </c>
      <c r="Q74" s="90" t="inlineStr"/>
    </row>
    <row r="75" ht="20" customHeight="1" s="55">
      <c r="A75" s="87" t="inlineStr">
        <is>
          <t>QLED</t>
        </is>
      </c>
      <c r="B75" s="87" t="inlineStr">
        <is>
          <t>55Q7F</t>
        </is>
      </c>
      <c r="C75" s="88" t="inlineStr"/>
      <c r="D75" s="89">
        <f>IF(E75="","",E75-F75)</f>
        <v/>
      </c>
      <c r="E75" s="89" t="inlineStr"/>
      <c r="F75" s="89" t="inlineStr"/>
      <c r="G75" s="90" t="inlineStr"/>
      <c r="H75" s="88" t="inlineStr"/>
      <c r="I75" s="89">
        <f>IF(J75="","",J75-K75)</f>
        <v/>
      </c>
      <c r="J75" s="89" t="inlineStr"/>
      <c r="K75" s="89" t="inlineStr"/>
      <c r="L75" s="90" t="inlineStr"/>
      <c r="M75" s="88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87" t="inlineStr">
        <is>
          <t>QLED</t>
        </is>
      </c>
      <c r="B76" s="87" t="inlineStr">
        <is>
          <t>50Q7F</t>
        </is>
      </c>
      <c r="C76" s="88" t="inlineStr">
        <is>
          <t>QE50Q7F</t>
        </is>
      </c>
      <c r="D76" s="89">
        <f>IF(E76="","",E76-F76)</f>
        <v/>
      </c>
      <c r="E76" s="89" t="n">
        <v>639</v>
      </c>
      <c r="F76" s="89" t="n">
        <v>0</v>
      </c>
      <c r="G76" s="90" t="inlineStr"/>
      <c r="H76" s="88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88" t="inlineStr">
        <is>
          <t>QE50Q7FAAU</t>
        </is>
      </c>
      <c r="N76" s="89">
        <f>IF(O76="","",O76-P76)</f>
        <v/>
      </c>
      <c r="O76" s="89" t="n">
        <v>584</v>
      </c>
      <c r="P76" s="89" t="n">
        <v>0</v>
      </c>
      <c r="Q76" s="90" t="inlineStr"/>
    </row>
    <row r="77" ht="20" customHeight="1" s="55">
      <c r="A77" s="87" t="inlineStr">
        <is>
          <t>QLED</t>
        </is>
      </c>
      <c r="B77" s="87" t="inlineStr">
        <is>
          <t>43Q7F</t>
        </is>
      </c>
      <c r="C77" s="88" t="inlineStr"/>
      <c r="D77" s="89">
        <f>IF(E77="","",E77-F77)</f>
        <v/>
      </c>
      <c r="E77" s="89" t="inlineStr"/>
      <c r="F77" s="89" t="inlineStr"/>
      <c r="G77" s="90" t="inlineStr"/>
      <c r="H77" s="88" t="inlineStr"/>
      <c r="I77" s="89">
        <f>IF(J77="","",J77-K77)</f>
        <v/>
      </c>
      <c r="J77" s="89" t="inlineStr"/>
      <c r="K77" s="89" t="inlineStr"/>
      <c r="L77" s="90" t="inlineStr"/>
      <c r="M77" s="88" t="inlineStr">
        <is>
          <t>QE43Q7FAAU</t>
        </is>
      </c>
      <c r="N77" s="89">
        <f>IF(O77="","",O77-P77)</f>
        <v/>
      </c>
      <c r="O77" s="89" t="n">
        <v>562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82" t="inlineStr">
        <is>
          <t>UHD 4K</t>
        </is>
      </c>
      <c r="B79" s="82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/>
      <c r="N79" s="84">
        <f>IF(O79="","",O79-P79)</f>
        <v/>
      </c>
      <c r="O79" s="84" t="inlineStr"/>
      <c r="P79" s="84" t="inlineStr"/>
      <c r="Q79" s="85">
        <f>IFERROR(N79/N4,"")</f>
        <v/>
      </c>
    </row>
    <row r="80" ht="20" customHeight="1" s="55">
      <c r="A80" s="82" t="inlineStr">
        <is>
          <t>UHD 4K</t>
        </is>
      </c>
      <c r="B80" s="82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599</v>
      </c>
      <c r="P80" s="84" t="n">
        <v>0</v>
      </c>
      <c r="Q80" s="85">
        <f>IFERROR(N80/N5,"")</f>
        <v/>
      </c>
    </row>
    <row r="81" ht="20" customHeight="1" s="55">
      <c r="A81" s="82" t="inlineStr">
        <is>
          <t>UHD 4K</t>
        </is>
      </c>
      <c r="B81" s="82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510</v>
      </c>
      <c r="P81" s="84" t="n">
        <v>0</v>
      </c>
      <c r="Q81" s="85">
        <f>IFERROR(N81/N6,"")</f>
        <v/>
      </c>
    </row>
    <row r="82" ht="20" customHeight="1" s="55">
      <c r="A82" s="82" t="inlineStr">
        <is>
          <t>UHD 4K</t>
        </is>
      </c>
      <c r="B82" s="82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338</v>
      </c>
      <c r="P82" s="84" t="n">
        <v>0</v>
      </c>
      <c r="Q82" s="85">
        <f>IFERROR(N82/N7,"")</f>
        <v/>
      </c>
    </row>
    <row r="83" ht="20" customHeight="1" s="55">
      <c r="A83" s="82" t="inlineStr">
        <is>
          <t>UHD 4K</t>
        </is>
      </c>
      <c r="B83" s="82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390</v>
      </c>
      <c r="P83" s="84" t="n">
        <v>0</v>
      </c>
      <c r="Q83" s="85">
        <f>IFERROR(N83/N7,"")</f>
        <v/>
      </c>
    </row>
    <row r="84" ht="20" customHeight="1" s="55">
      <c r="A84" s="82" t="inlineStr">
        <is>
          <t>UHD 4K</t>
        </is>
      </c>
      <c r="B84" s="82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43UA73003LA</t>
        </is>
      </c>
      <c r="N84" s="84">
        <f>IF(O84="","",O84-P84)</f>
        <v/>
      </c>
      <c r="O84" s="84" t="n">
        <v>277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87" t="inlineStr">
        <is>
          <t>UHD 4K</t>
        </is>
      </c>
      <c r="B86" s="87" t="inlineStr">
        <is>
          <t>85U8000F</t>
        </is>
      </c>
      <c r="C86" s="88" t="inlineStr"/>
      <c r="D86" s="89">
        <f>IF(E86="","",E86-F86)</f>
        <v/>
      </c>
      <c r="E86" s="89" t="inlineStr"/>
      <c r="F86" s="89" t="inlineStr"/>
      <c r="G86" s="90" t="inlineStr"/>
      <c r="H86" s="88" t="inlineStr">
        <is>
          <t>UE85U8000FUXXN</t>
        </is>
      </c>
      <c r="I86" s="89">
        <f>IF(J86="","",J86-K86)</f>
        <v/>
      </c>
      <c r="J86" s="89" t="n">
        <v>999.95</v>
      </c>
      <c r="K86" s="89" t="n">
        <v>0</v>
      </c>
      <c r="L86" s="90" t="inlineStr"/>
      <c r="M86" s="88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87" t="inlineStr">
        <is>
          <t>UHD 4K</t>
        </is>
      </c>
      <c r="B87" s="87" t="inlineStr">
        <is>
          <t>75U8000F</t>
        </is>
      </c>
      <c r="C87" s="88" t="inlineStr"/>
      <c r="D87" s="89">
        <f>IF(E87="","",E87-F87)</f>
        <v/>
      </c>
      <c r="E87" s="89" t="inlineStr"/>
      <c r="F87" s="89" t="inlineStr"/>
      <c r="G87" s="90" t="inlineStr"/>
      <c r="H87" s="88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88" t="inlineStr"/>
      <c r="N87" s="89">
        <f>IF(O87="","",O87-P87)</f>
        <v/>
      </c>
      <c r="O87" s="89" t="inlineStr"/>
      <c r="P87" s="89" t="inlineStr"/>
      <c r="Q87" s="90" t="inlineStr"/>
    </row>
    <row r="88" ht="20" customHeight="1" s="55">
      <c r="A88" s="87" t="inlineStr">
        <is>
          <t>UHD 4K</t>
        </is>
      </c>
      <c r="B88" s="87" t="inlineStr">
        <is>
          <t>65U8000F</t>
        </is>
      </c>
      <c r="C88" s="88" t="inlineStr"/>
      <c r="D88" s="89">
        <f>IF(E88="","",E88-F88)</f>
        <v/>
      </c>
      <c r="E88" s="89" t="inlineStr"/>
      <c r="F88" s="89" t="inlineStr"/>
      <c r="G88" s="90" t="inlineStr"/>
      <c r="H88" s="88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88" t="inlineStr">
        <is>
          <t>UE65U8000F</t>
        </is>
      </c>
      <c r="N88" s="89">
        <f>IF(O88="","",O88-P88)</f>
        <v/>
      </c>
      <c r="O88" s="89" t="n">
        <v>605</v>
      </c>
      <c r="P88" s="89" t="n">
        <v>0</v>
      </c>
      <c r="Q88" s="90" t="inlineStr"/>
    </row>
    <row r="89" ht="20" customHeight="1" s="55">
      <c r="A89" s="87" t="inlineStr">
        <is>
          <t>UHD 4K</t>
        </is>
      </c>
      <c r="B89" s="87" t="inlineStr">
        <is>
          <t>55U8000F</t>
        </is>
      </c>
      <c r="C89" s="88" t="inlineStr"/>
      <c r="D89" s="89">
        <f>IF(E89="","",E89-F89)</f>
        <v/>
      </c>
      <c r="E89" s="89" t="inlineStr"/>
      <c r="F89" s="89" t="inlineStr"/>
      <c r="G89" s="90" t="inlineStr"/>
      <c r="H89" s="88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88" t="inlineStr">
        <is>
          <t>UE55U8000F</t>
        </is>
      </c>
      <c r="N89" s="89">
        <f>IF(O89="","",O89-P89)</f>
        <v/>
      </c>
      <c r="O89" s="89" t="n">
        <v>445</v>
      </c>
      <c r="P89" s="89" t="n">
        <v>0</v>
      </c>
      <c r="Q89" s="90" t="inlineStr"/>
    </row>
    <row r="90" ht="20" customHeight="1" s="55">
      <c r="A90" s="87" t="inlineStr">
        <is>
          <t>UHD 4K</t>
        </is>
      </c>
      <c r="B90" s="87" t="inlineStr">
        <is>
          <t>50U8000F</t>
        </is>
      </c>
      <c r="C90" s="88" t="inlineStr"/>
      <c r="D90" s="89">
        <f>IF(E90="","",E90-F90)</f>
        <v/>
      </c>
      <c r="E90" s="89" t="inlineStr"/>
      <c r="F90" s="89" t="inlineStr"/>
      <c r="G90" s="90" t="inlineStr"/>
      <c r="H90" s="88" t="inlineStr">
        <is>
          <t>UE50U8000F</t>
        </is>
      </c>
      <c r="I90" s="89">
        <f>IF(J90="","",J90-K90)</f>
        <v/>
      </c>
      <c r="J90" s="89" t="n">
        <v>399.95</v>
      </c>
      <c r="K90" s="89" t="n">
        <v>0</v>
      </c>
      <c r="L90" s="90" t="inlineStr"/>
      <c r="M90" s="88" t="inlineStr">
        <is>
          <t>UE50U8000F</t>
        </is>
      </c>
      <c r="N90" s="89">
        <f>IF(O90="","",O90-P90)</f>
        <v/>
      </c>
      <c r="O90" s="89" t="n">
        <v>466</v>
      </c>
      <c r="P90" s="89" t="n">
        <v>0</v>
      </c>
      <c r="Q90" s="90" t="inlineStr"/>
    </row>
    <row r="91" ht="20" customHeight="1" s="55">
      <c r="A91" s="87" t="inlineStr">
        <is>
          <t>UHD 4K</t>
        </is>
      </c>
      <c r="B91" s="87" t="inlineStr">
        <is>
          <t>43U8000F</t>
        </is>
      </c>
      <c r="C91" s="88" t="inlineStr">
        <is>
          <t>U8000F</t>
        </is>
      </c>
      <c r="D91" s="89">
        <f>IF(E91="","",E91-F91)</f>
        <v/>
      </c>
      <c r="E91" s="89" t="n">
        <v>339</v>
      </c>
      <c r="F91" s="89" t="n">
        <v>0</v>
      </c>
      <c r="G91" s="90" t="inlineStr"/>
      <c r="H91" s="88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88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02" t="inlineStr">
        <is>
          <t>Display</t>
        </is>
      </c>
      <c r="B93" s="102" t="inlineStr">
        <is>
          <t>Series</t>
        </is>
      </c>
      <c r="C93" s="102" t="inlineStr">
        <is>
          <t>VLOOKUP Summary</t>
        </is>
      </c>
      <c r="D93" s="102" t="n"/>
      <c r="E93" s="102" t="n"/>
      <c r="F93" s="102" t="n"/>
      <c r="G93" s="102" t="n"/>
      <c r="H93" s="102" t="n"/>
      <c r="I93" s="102" t="n"/>
      <c r="J93" s="102" t="n"/>
      <c r="K93" s="102" t="n"/>
      <c r="L93" s="102" t="n"/>
      <c r="M93" s="102" t="n"/>
      <c r="N93" s="102" t="n"/>
      <c r="O93" s="102" t="n"/>
      <c r="P93" s="102" t="n"/>
      <c r="Q93" s="102" t="n"/>
    </row>
    <row r="94" ht="20" customHeight="1" s="55">
      <c r="A94" s="82" t="inlineStr">
        <is>
          <t>OLED</t>
        </is>
      </c>
      <c r="B94" s="82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82" t="inlineStr">
        <is>
          <t>OLED</t>
        </is>
      </c>
      <c r="B95" s="82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82" t="inlineStr">
        <is>
          <t>OLED</t>
        </is>
      </c>
      <c r="B96" s="82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82" t="inlineStr">
        <is>
          <t>QNED</t>
        </is>
      </c>
      <c r="B97" s="82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82" t="inlineStr">
        <is>
          <t>QNED</t>
        </is>
      </c>
      <c r="B98" s="82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82" t="inlineStr">
        <is>
          <t>UHD 4K</t>
        </is>
      </c>
      <c r="B99" s="82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82" t="inlineStr">
        <is>
          <t>OLED</t>
        </is>
      </c>
      <c r="B101" s="82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82" t="inlineStr">
        <is>
          <t>OLED</t>
        </is>
      </c>
      <c r="B102" s="82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82" t="inlineStr">
        <is>
          <t>OLED</t>
        </is>
      </c>
      <c r="B103" s="82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82" t="inlineStr">
        <is>
          <t>QNED</t>
        </is>
      </c>
      <c r="B104" s="82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82" t="inlineStr">
        <is>
          <t>QNED</t>
        </is>
      </c>
      <c r="B105" s="82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82" t="inlineStr">
        <is>
          <t>UHD 4K</t>
        </is>
      </c>
      <c r="B106" s="82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82" t="inlineStr">
        <is>
          <t>OLED</t>
        </is>
      </c>
      <c r="B108" s="82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82" t="inlineStr">
        <is>
          <t>OLED</t>
        </is>
      </c>
      <c r="B109" s="82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82" t="inlineStr">
        <is>
          <t>OLED</t>
        </is>
      </c>
      <c r="B110" s="82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82" t="inlineStr">
        <is>
          <t>QNED</t>
        </is>
      </c>
      <c r="B111" s="82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82" t="inlineStr">
        <is>
          <t>QNED</t>
        </is>
      </c>
      <c r="B112" s="82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82" t="inlineStr">
        <is>
          <t>UHD 4K</t>
        </is>
      </c>
      <c r="B113" s="82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87" t="inlineStr">
        <is>
          <t>OLED</t>
        </is>
      </c>
      <c r="B115" s="87" t="inlineStr">
        <is>
          <t>55S95F</t>
        </is>
      </c>
      <c r="C115" s="88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88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88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87" t="inlineStr">
        <is>
          <t>OLED</t>
        </is>
      </c>
      <c r="B116" s="87" t="inlineStr">
        <is>
          <t>55S90F</t>
        </is>
      </c>
      <c r="C116" s="88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88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88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87" t="inlineStr">
        <is>
          <t>OLED</t>
        </is>
      </c>
      <c r="B117" s="87" t="inlineStr">
        <is>
          <t>55S85F</t>
        </is>
      </c>
      <c r="C117" s="88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88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88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87" t="inlineStr">
        <is>
          <t>QLED</t>
        </is>
      </c>
      <c r="B118" s="87" t="inlineStr">
        <is>
          <t>55QN70F</t>
        </is>
      </c>
      <c r="C118" s="88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88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88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87" t="inlineStr">
        <is>
          <t>QLED</t>
        </is>
      </c>
      <c r="B119" s="87" t="inlineStr">
        <is>
          <t>55Q8F</t>
        </is>
      </c>
      <c r="C119" s="88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88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88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87" t="inlineStr">
        <is>
          <t>QLED</t>
        </is>
      </c>
      <c r="B120" s="87" t="inlineStr">
        <is>
          <t>55Q7F</t>
        </is>
      </c>
      <c r="C120" s="88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88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88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87" t="inlineStr">
        <is>
          <t>UHD 4K</t>
        </is>
      </c>
      <c r="B121" s="87" t="inlineStr">
        <is>
          <t>55U8000F</t>
        </is>
      </c>
      <c r="C121" s="88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88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88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87" t="inlineStr">
        <is>
          <t>OLED</t>
        </is>
      </c>
      <c r="B123" s="87" t="inlineStr">
        <is>
          <t>65S95F</t>
        </is>
      </c>
      <c r="C123" s="88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88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88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87" t="inlineStr">
        <is>
          <t>OLED</t>
        </is>
      </c>
      <c r="B124" s="87" t="inlineStr">
        <is>
          <t>65S90F</t>
        </is>
      </c>
      <c r="C124" s="88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88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88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87" t="inlineStr">
        <is>
          <t>OLED</t>
        </is>
      </c>
      <c r="B125" s="87" t="inlineStr">
        <is>
          <t>65S85F</t>
        </is>
      </c>
      <c r="C125" s="88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88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88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87" t="inlineStr">
        <is>
          <t>QLED</t>
        </is>
      </c>
      <c r="B126" s="87" t="inlineStr">
        <is>
          <t>65QN70F</t>
        </is>
      </c>
      <c r="C126" s="88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88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88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87" t="inlineStr">
        <is>
          <t>QLED</t>
        </is>
      </c>
      <c r="B127" s="87" t="inlineStr">
        <is>
          <t>65Q8F</t>
        </is>
      </c>
      <c r="C127" s="88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88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88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87" t="inlineStr">
        <is>
          <t>QLED</t>
        </is>
      </c>
      <c r="B128" s="87" t="inlineStr">
        <is>
          <t>65Q7F</t>
        </is>
      </c>
      <c r="C128" s="88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88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88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87" t="inlineStr">
        <is>
          <t>UHD 4K</t>
        </is>
      </c>
      <c r="B129" s="87" t="inlineStr">
        <is>
          <t>65U8000F</t>
        </is>
      </c>
      <c r="C129" s="88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88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88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87" t="inlineStr">
        <is>
          <t>OLED</t>
        </is>
      </c>
      <c r="B131" s="87" t="inlineStr">
        <is>
          <t>77S95F</t>
        </is>
      </c>
      <c r="C131" s="88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88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88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87" t="inlineStr">
        <is>
          <t>OLED</t>
        </is>
      </c>
      <c r="B132" s="87" t="inlineStr">
        <is>
          <t>77S90F</t>
        </is>
      </c>
      <c r="C132" s="88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88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88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87" t="inlineStr">
        <is>
          <t>OLED</t>
        </is>
      </c>
      <c r="B133" s="87" t="inlineStr">
        <is>
          <t>77S85F</t>
        </is>
      </c>
      <c r="C133" s="88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88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88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87" t="inlineStr">
        <is>
          <t>QLED</t>
        </is>
      </c>
      <c r="B134" s="87" t="inlineStr">
        <is>
          <t>75QN70F</t>
        </is>
      </c>
      <c r="C134" s="88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88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88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87" t="inlineStr">
        <is>
          <t>QLED</t>
        </is>
      </c>
      <c r="B135" s="87" t="inlineStr">
        <is>
          <t>75Q8F</t>
        </is>
      </c>
      <c r="C135" s="88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88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88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87" t="inlineStr">
        <is>
          <t>QLED</t>
        </is>
      </c>
      <c r="B136" s="87" t="inlineStr">
        <is>
          <t>75Q7F</t>
        </is>
      </c>
      <c r="C136" s="88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88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88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87" t="inlineStr">
        <is>
          <t>UHD 4K</t>
        </is>
      </c>
      <c r="B137" s="87" t="inlineStr">
        <is>
          <t>75U8000F</t>
        </is>
      </c>
      <c r="C137" s="88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88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88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81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82" t="inlineStr">
        <is>
          <t>OLED</t>
        </is>
      </c>
      <c r="B4" s="82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82" t="inlineStr">
        <is>
          <t>OLED</t>
        </is>
      </c>
      <c r="B5" s="82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82" t="inlineStr">
        <is>
          <t>OLED</t>
        </is>
      </c>
      <c r="B6" s="82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82" t="inlineStr">
        <is>
          <t>OLED</t>
        </is>
      </c>
      <c r="B7" s="82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82" t="inlineStr">
        <is>
          <t>OLED</t>
        </is>
      </c>
      <c r="B9" s="82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4499.95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82" t="inlineStr">
        <is>
          <t>OLED</t>
        </is>
      </c>
      <c r="B10" s="82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3499.95</v>
      </c>
      <c r="K10" s="84" t="n">
        <v>0</v>
      </c>
      <c r="L10" s="85">
        <f>IFERROR(I10/I5,"")</f>
        <v/>
      </c>
      <c r="M10" s="83" t="inlineStr"/>
      <c r="N10" s="84">
        <f>IF(O10="","",O10-P10)</f>
        <v/>
      </c>
      <c r="O10" s="84" t="inlineStr"/>
      <c r="P10" s="84" t="inlineStr"/>
      <c r="Q10" s="85">
        <f>IFERROR(N10/N5,"")</f>
        <v/>
      </c>
    </row>
    <row r="11" ht="20" customHeight="1" s="55">
      <c r="A11" s="82" t="inlineStr">
        <is>
          <t>OLED</t>
        </is>
      </c>
      <c r="B11" s="82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2599.95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2599</v>
      </c>
      <c r="P11" s="84" t="n">
        <v>0</v>
      </c>
      <c r="Q11" s="85">
        <f>IFERROR(N11/N6,"")</f>
        <v/>
      </c>
    </row>
    <row r="12" ht="20" customHeight="1" s="55">
      <c r="A12" s="82" t="inlineStr">
        <is>
          <t>OLED</t>
        </is>
      </c>
      <c r="B12" s="82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1799</v>
      </c>
      <c r="P12" s="84" t="n">
        <v>0</v>
      </c>
      <c r="Q12" s="85">
        <f>IFERROR(N12/N7,"")</f>
        <v/>
      </c>
    </row>
    <row r="13" ht="20" customHeight="1" s="55">
      <c r="A13" s="82" t="inlineStr">
        <is>
          <t>OLED</t>
        </is>
      </c>
      <c r="B13" s="82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1599</v>
      </c>
      <c r="P13" s="84" t="n">
        <v>0</v>
      </c>
      <c r="Q13" s="85">
        <f>IFERROR(N13/N7,"")</f>
        <v/>
      </c>
    </row>
    <row r="14" ht="20" customHeight="1" s="55">
      <c r="A14" s="82" t="inlineStr">
        <is>
          <t>OLED</t>
        </is>
      </c>
      <c r="B14" s="82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1245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82" t="inlineStr">
        <is>
          <t>OLED</t>
        </is>
      </c>
      <c r="B16" s="82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3699</v>
      </c>
      <c r="P16" s="84" t="n">
        <v>0</v>
      </c>
      <c r="Q16" s="85">
        <f>IFERROR(N16/N4,"")</f>
        <v/>
      </c>
    </row>
    <row r="17" ht="20" customHeight="1" s="55">
      <c r="A17" s="82" t="inlineStr">
        <is>
          <t>OLED</t>
        </is>
      </c>
      <c r="B17" s="82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2999</v>
      </c>
      <c r="P17" s="84" t="n">
        <v>0</v>
      </c>
      <c r="Q17" s="85">
        <f>IFERROR(N17/N5,"")</f>
        <v/>
      </c>
    </row>
    <row r="18" ht="20" customHeight="1" s="55">
      <c r="A18" s="82" t="inlineStr">
        <is>
          <t>OLED</t>
        </is>
      </c>
      <c r="B18" s="82" t="inlineStr">
        <is>
          <t>65B6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2399</v>
      </c>
      <c r="P18" s="84" t="n">
        <v>0</v>
      </c>
      <c r="Q18" s="85">
        <f>IFERROR(N18/N6,"")</f>
        <v/>
      </c>
    </row>
    <row r="19" ht="20" customHeight="1" s="55">
      <c r="A19" s="82" t="inlineStr">
        <is>
          <t>OLED</t>
        </is>
      </c>
      <c r="B19" s="82" t="inlineStr">
        <is>
          <t>55B6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1599</v>
      </c>
      <c r="P19" s="84" t="n">
        <v>0</v>
      </c>
      <c r="Q19" s="85">
        <f>IFERROR(N19/N7,"")</f>
        <v/>
      </c>
    </row>
    <row r="20" ht="20" customHeight="1" s="55">
      <c r="A20" s="82" t="inlineStr">
        <is>
          <t>OLED</t>
        </is>
      </c>
      <c r="B20" s="82" t="inlineStr">
        <is>
          <t>48B6</t>
        </is>
      </c>
      <c r="C20" s="83" t="inlineStr"/>
      <c r="D20" s="84">
        <f>IF(E20="","",E20-F20)</f>
        <v/>
      </c>
      <c r="E20" s="84" t="inlineStr"/>
      <c r="F20" s="84" t="inlineStr"/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1399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87" t="inlineStr">
        <is>
          <t>OLED</t>
        </is>
      </c>
      <c r="B22" s="87" t="inlineStr">
        <is>
          <t>83S99H</t>
        </is>
      </c>
      <c r="C22" s="88" t="inlineStr"/>
      <c r="D22" s="89">
        <f>IF(E22="","",E22-F22)</f>
        <v/>
      </c>
      <c r="E22" s="89" t="inlineStr"/>
      <c r="F22" s="89" t="inlineStr"/>
      <c r="G22" s="90" t="inlineStr"/>
      <c r="H22" s="88" t="inlineStr">
        <is>
          <t>QE83S99HAEXZU</t>
        </is>
      </c>
      <c r="I22" s="109">
        <f>IF(J22="","",J22-K22)</f>
        <v/>
      </c>
      <c r="J22" s="89" t="n">
        <v>5267</v>
      </c>
      <c r="K22" s="89" t="n">
        <v>0</v>
      </c>
      <c r="L22" s="90" t="inlineStr"/>
      <c r="M22" s="88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87" t="inlineStr">
        <is>
          <t>OLED</t>
        </is>
      </c>
      <c r="B23" s="87" t="inlineStr">
        <is>
          <t>77S99H</t>
        </is>
      </c>
      <c r="C23" s="88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88" t="inlineStr">
        <is>
          <t>QE77S99H</t>
        </is>
      </c>
      <c r="I23" s="109">
        <f>IF(J23="","",J23-K23)</f>
        <v/>
      </c>
      <c r="J23" s="89" t="n">
        <v>4499.95</v>
      </c>
      <c r="K23" s="89" t="n">
        <v>300</v>
      </c>
      <c r="L23" s="90" t="inlineStr"/>
      <c r="M23" s="88" t="inlineStr">
        <is>
          <t>QE77S99HATXZU</t>
        </is>
      </c>
      <c r="N23" s="89">
        <f>IF(O23="","",O23-P23)</f>
        <v/>
      </c>
      <c r="O23" s="89" t="n">
        <v>4149</v>
      </c>
      <c r="P23" s="89" t="n">
        <v>0</v>
      </c>
      <c r="Q23" s="90" t="inlineStr"/>
    </row>
    <row r="24" ht="20" customHeight="1" s="55">
      <c r="A24" s="87" t="inlineStr">
        <is>
          <t>OLED</t>
        </is>
      </c>
      <c r="B24" s="87" t="inlineStr">
        <is>
          <t>65S99H</t>
        </is>
      </c>
      <c r="C24" s="88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88" t="inlineStr">
        <is>
          <t>QE65S99H</t>
        </is>
      </c>
      <c r="I24" s="110">
        <f>IF(J24="","",J24-K24)</f>
        <v/>
      </c>
      <c r="J24" s="89" t="n">
        <v>3499.95</v>
      </c>
      <c r="K24" s="89" t="n">
        <v>200</v>
      </c>
      <c r="L24" s="90" t="inlineStr"/>
      <c r="M24" s="88" t="inlineStr">
        <is>
          <t>QE65S99HATXZU</t>
        </is>
      </c>
      <c r="N24" s="95">
        <f>IF(O24="","",O24-P24)</f>
        <v/>
      </c>
      <c r="O24" s="89" t="n">
        <v>3269</v>
      </c>
      <c r="P24" s="89" t="n">
        <v>0</v>
      </c>
      <c r="Q24" s="90" t="inlineStr"/>
    </row>
    <row r="25" ht="20" customHeight="1" s="55">
      <c r="A25" s="87" t="inlineStr">
        <is>
          <t>OLED</t>
        </is>
      </c>
      <c r="B25" s="87" t="inlineStr">
        <is>
          <t>55S99H</t>
        </is>
      </c>
      <c r="C25" s="88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88" t="inlineStr">
        <is>
          <t>QE55S99H</t>
        </is>
      </c>
      <c r="I25" s="109">
        <f>IF(J25="","",J25-K25)</f>
        <v/>
      </c>
      <c r="J25" s="89" t="n">
        <v>2499.95</v>
      </c>
      <c r="K25" s="89" t="n">
        <v>150</v>
      </c>
      <c r="L25" s="90" t="inlineStr"/>
      <c r="M25" s="88" t="inlineStr">
        <is>
          <t>QE55S99HATXZU</t>
        </is>
      </c>
      <c r="N25" s="89">
        <f>IF(O25="","",O25-P25)</f>
        <v/>
      </c>
      <c r="O25" s="89" t="n">
        <v>2454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87" t="inlineStr">
        <is>
          <t>OLED</t>
        </is>
      </c>
      <c r="B27" s="87" t="inlineStr">
        <is>
          <t>83S95H</t>
        </is>
      </c>
      <c r="C27" s="88" t="inlineStr"/>
      <c r="D27" s="89">
        <f>IF(E27="","",E27-F27)</f>
        <v/>
      </c>
      <c r="E27" s="89" t="inlineStr"/>
      <c r="F27" s="89" t="inlineStr"/>
      <c r="G27" s="90" t="inlineStr"/>
      <c r="H27" s="88" t="inlineStr"/>
      <c r="I27" s="109">
        <f>IF(J27="","",J27-K27)</f>
        <v/>
      </c>
      <c r="J27" s="89" t="inlineStr"/>
      <c r="K27" s="89" t="inlineStr"/>
      <c r="L27" s="90" t="inlineStr"/>
      <c r="M27" s="88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87" t="inlineStr">
        <is>
          <t>OLED</t>
        </is>
      </c>
      <c r="B28" s="87" t="inlineStr">
        <is>
          <t>77S95H</t>
        </is>
      </c>
      <c r="C28" s="88" t="inlineStr"/>
      <c r="D28" s="89">
        <f>IF(E28="","",E28-F28)</f>
        <v/>
      </c>
      <c r="E28" s="89" t="inlineStr"/>
      <c r="F28" s="89" t="inlineStr"/>
      <c r="G28" s="90" t="inlineStr"/>
      <c r="H28" s="88" t="inlineStr"/>
      <c r="I28" s="109">
        <f>IF(J28="","",J28-K28)</f>
        <v/>
      </c>
      <c r="J28" s="89" t="inlineStr"/>
      <c r="K28" s="89" t="inlineStr"/>
      <c r="L28" s="90" t="inlineStr"/>
      <c r="M28" s="88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87" t="inlineStr">
        <is>
          <t>OLED</t>
        </is>
      </c>
      <c r="B29" s="87" t="inlineStr">
        <is>
          <t>65S95H</t>
        </is>
      </c>
      <c r="C29" s="88" t="inlineStr"/>
      <c r="D29" s="89">
        <f>IF(E29="","",E29-F29)</f>
        <v/>
      </c>
      <c r="E29" s="89" t="inlineStr"/>
      <c r="F29" s="89" t="inlineStr"/>
      <c r="G29" s="90" t="inlineStr"/>
      <c r="H29" s="88" t="inlineStr"/>
      <c r="I29" s="109">
        <f>IF(J29="","",J29-K29)</f>
        <v/>
      </c>
      <c r="J29" s="89" t="inlineStr"/>
      <c r="K29" s="89" t="inlineStr"/>
      <c r="L29" s="90" t="inlineStr"/>
      <c r="M29" s="88" t="inlineStr"/>
      <c r="N29" s="89">
        <f>IF(O29="","",O29-P29)</f>
        <v/>
      </c>
      <c r="O29" s="89" t="inlineStr"/>
      <c r="P29" s="89" t="inlineStr"/>
      <c r="Q29" s="90" t="inlineStr"/>
    </row>
    <row r="30" ht="20" customHeight="1" s="55">
      <c r="A30" s="87" t="inlineStr">
        <is>
          <t>OLED</t>
        </is>
      </c>
      <c r="B30" s="87" t="inlineStr">
        <is>
          <t>55S95H</t>
        </is>
      </c>
      <c r="C30" s="88" t="inlineStr"/>
      <c r="D30" s="95">
        <f>IF(E30="","",E30-F30)</f>
        <v/>
      </c>
      <c r="E30" s="96" t="inlineStr"/>
      <c r="F30" s="96" t="inlineStr"/>
      <c r="G30" s="90" t="inlineStr"/>
      <c r="H30" s="88" t="inlineStr">
        <is>
          <t>QE55S95HFTXZU</t>
        </is>
      </c>
      <c r="I30" s="110">
        <f>IF(J30="","",J30-K30)</f>
        <v/>
      </c>
      <c r="J30" s="89" t="n">
        <v>2401</v>
      </c>
      <c r="K30" s="89" t="n">
        <v>0</v>
      </c>
      <c r="L30" s="90" t="inlineStr"/>
      <c r="M30" s="88" t="inlineStr"/>
      <c r="N30" s="95">
        <f>IF(O30="","",O30-P30)</f>
        <v/>
      </c>
      <c r="O30" s="96" t="inlineStr"/>
      <c r="P30" s="96" t="inlineStr"/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87" t="inlineStr">
        <is>
          <t>OLED</t>
        </is>
      </c>
      <c r="B32" s="87" t="inlineStr">
        <is>
          <t>83S90H</t>
        </is>
      </c>
      <c r="C32" s="88" t="inlineStr">
        <is>
          <t>QE83S90H</t>
        </is>
      </c>
      <c r="D32" s="89">
        <f>IF(E32="","",E32-F32)</f>
        <v/>
      </c>
      <c r="E32" s="89" t="n">
        <v>4999</v>
      </c>
      <c r="F32" s="89" t="n">
        <v>0</v>
      </c>
      <c r="G32" s="90" t="inlineStr"/>
      <c r="H32" s="88" t="inlineStr">
        <is>
          <t>QE83S90H</t>
        </is>
      </c>
      <c r="I32" s="109">
        <f>IF(J32="","",J32-K32)</f>
        <v/>
      </c>
      <c r="J32" s="89" t="n">
        <v>4999.95</v>
      </c>
      <c r="K32" s="89" t="n">
        <v>500</v>
      </c>
      <c r="L32" s="90" t="inlineStr"/>
      <c r="M32" s="88" t="inlineStr">
        <is>
          <t>QE83S90HAEXZU</t>
        </is>
      </c>
      <c r="N32" s="89">
        <f>IF(O32="","",O32-P32)</f>
        <v/>
      </c>
      <c r="O32" s="89" t="n">
        <v>4779</v>
      </c>
      <c r="P32" s="89" t="n">
        <v>0</v>
      </c>
      <c r="Q32" s="90" t="inlineStr"/>
    </row>
    <row r="33" ht="20" customHeight="1" s="55">
      <c r="A33" s="87" t="inlineStr">
        <is>
          <t>OLED</t>
        </is>
      </c>
      <c r="B33" s="87" t="inlineStr">
        <is>
          <t>77S90H</t>
        </is>
      </c>
      <c r="C33" s="88" t="inlineStr">
        <is>
          <t>QE77S90H</t>
        </is>
      </c>
      <c r="D33" s="89">
        <f>IF(E33="","",E33-F33)</f>
        <v/>
      </c>
      <c r="E33" s="89" t="n">
        <v>3499</v>
      </c>
      <c r="F33" s="89" t="n">
        <v>0</v>
      </c>
      <c r="G33" s="90" t="inlineStr"/>
      <c r="H33" s="88" t="inlineStr">
        <is>
          <t>QE77S90H</t>
        </is>
      </c>
      <c r="I33" s="109">
        <f>IF(J33="","",J33-K33)</f>
        <v/>
      </c>
      <c r="J33" s="89" t="n">
        <v>3499.95</v>
      </c>
      <c r="K33" s="89" t="n">
        <v>300</v>
      </c>
      <c r="L33" s="90" t="inlineStr"/>
      <c r="M33" s="88" t="inlineStr">
        <is>
          <t>QE77S90HATXZU</t>
        </is>
      </c>
      <c r="N33" s="89">
        <f>IF(O33="","",O33-P33)</f>
        <v/>
      </c>
      <c r="O33" s="89" t="n">
        <v>3429</v>
      </c>
      <c r="P33" s="89" t="n">
        <v>0</v>
      </c>
      <c r="Q33" s="90" t="inlineStr"/>
    </row>
    <row r="34" ht="20" customHeight="1" s="55">
      <c r="A34" s="87" t="inlineStr">
        <is>
          <t>OLED</t>
        </is>
      </c>
      <c r="B34" s="87" t="inlineStr">
        <is>
          <t>65S90H</t>
        </is>
      </c>
      <c r="C34" s="88" t="inlineStr">
        <is>
          <t>QE65S90H</t>
        </is>
      </c>
      <c r="D34" s="89">
        <f>IF(E34="","",E34-F34)</f>
        <v/>
      </c>
      <c r="E34" s="89" t="n">
        <v>2599</v>
      </c>
      <c r="F34" s="89" t="n">
        <v>0</v>
      </c>
      <c r="G34" s="90" t="inlineStr"/>
      <c r="H34" s="88" t="inlineStr">
        <is>
          <t>QE65S90H</t>
        </is>
      </c>
      <c r="I34" s="109">
        <f>IF(J34="","",J34-K34)</f>
        <v/>
      </c>
      <c r="J34" s="89" t="n">
        <v>2599.95</v>
      </c>
      <c r="K34" s="89" t="n">
        <v>200</v>
      </c>
      <c r="L34" s="90" t="inlineStr"/>
      <c r="M34" s="88" t="inlineStr">
        <is>
          <t>QE65S90HAEXZU</t>
        </is>
      </c>
      <c r="N34" s="89">
        <f>IF(O34="","",O34-P34)</f>
        <v/>
      </c>
      <c r="O34" s="89" t="n">
        <v>2518</v>
      </c>
      <c r="P34" s="89" t="n">
        <v>0</v>
      </c>
      <c r="Q34" s="90" t="inlineStr"/>
    </row>
    <row r="35" ht="20" customHeight="1" s="55">
      <c r="A35" s="87" t="inlineStr">
        <is>
          <t>OLED</t>
        </is>
      </c>
      <c r="B35" s="87" t="inlineStr">
        <is>
          <t>55S90H</t>
        </is>
      </c>
      <c r="C35" s="88" t="inlineStr">
        <is>
          <t>QE55S90H</t>
        </is>
      </c>
      <c r="D35" s="89">
        <f>IF(E35="","",E35-F35)</f>
        <v/>
      </c>
      <c r="E35" s="89" t="n">
        <v>1799</v>
      </c>
      <c r="F35" s="89" t="n">
        <v>0</v>
      </c>
      <c r="G35" s="90" t="inlineStr"/>
      <c r="H35" s="88" t="inlineStr">
        <is>
          <t>QE55S90H</t>
        </is>
      </c>
      <c r="I35" s="109">
        <f>IF(J35="","",J35-K35)</f>
        <v/>
      </c>
      <c r="J35" s="89" t="n">
        <v>1799.95</v>
      </c>
      <c r="K35" s="89" t="n">
        <v>150</v>
      </c>
      <c r="L35" s="90" t="inlineStr"/>
      <c r="M35" s="88" t="inlineStr">
        <is>
          <t>QE55S90HAEXZU</t>
        </is>
      </c>
      <c r="N35" s="89">
        <f>IF(O35="","",O35-P35)</f>
        <v/>
      </c>
      <c r="O35" s="89" t="n">
        <v>1764</v>
      </c>
      <c r="P35" s="89" t="n">
        <v>0</v>
      </c>
      <c r="Q35" s="90" t="inlineStr"/>
    </row>
    <row r="36" ht="20" customHeight="1" s="55">
      <c r="A36" s="87" t="inlineStr">
        <is>
          <t>OLED</t>
        </is>
      </c>
      <c r="B36" s="87" t="inlineStr">
        <is>
          <t>48S90H</t>
        </is>
      </c>
      <c r="C36" s="88" t="inlineStr">
        <is>
          <t>QE48S90H</t>
        </is>
      </c>
      <c r="D36" s="95">
        <f>IF(E36="","",E36-F36)</f>
        <v/>
      </c>
      <c r="E36" s="89" t="n">
        <v>1599</v>
      </c>
      <c r="F36" s="89" t="n">
        <v>0</v>
      </c>
      <c r="G36" s="90" t="inlineStr"/>
      <c r="H36" s="88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88" t="inlineStr">
        <is>
          <t>QE48S90HAEXZU</t>
        </is>
      </c>
      <c r="N36" s="95">
        <f>IF(O36="","",O36-P36)</f>
        <v/>
      </c>
      <c r="O36" s="89" t="n">
        <v>1599</v>
      </c>
      <c r="P36" s="89" t="n">
        <v>0</v>
      </c>
      <c r="Q36" s="90" t="inlineStr"/>
    </row>
    <row r="37" ht="20" customHeight="1" s="55">
      <c r="A37" s="87" t="inlineStr">
        <is>
          <t>OLED</t>
        </is>
      </c>
      <c r="B37" s="87" t="inlineStr">
        <is>
          <t>42S90H</t>
        </is>
      </c>
      <c r="C37" s="88" t="inlineStr">
        <is>
          <t>QE42S90H</t>
        </is>
      </c>
      <c r="D37" s="89">
        <f>IF(E37="","",E37-F37)</f>
        <v/>
      </c>
      <c r="E37" s="89" t="n">
        <v>1499</v>
      </c>
      <c r="F37" s="89" t="n">
        <v>0</v>
      </c>
      <c r="G37" s="90" t="inlineStr"/>
      <c r="H37" s="88" t="inlineStr">
        <is>
          <t>QE42S90H</t>
        </is>
      </c>
      <c r="I37" s="109">
        <f>IF(J37="","",J37-K37)</f>
        <v/>
      </c>
      <c r="J37" s="89" t="n">
        <v>1499.95</v>
      </c>
      <c r="K37" s="89" t="n">
        <v>100</v>
      </c>
      <c r="L37" s="90" t="inlineStr"/>
      <c r="M37" s="88" t="inlineStr">
        <is>
          <t>QE42S90HAEXXN</t>
        </is>
      </c>
      <c r="N37" s="89">
        <f>IF(O37="","",O37-P37)</f>
        <v/>
      </c>
      <c r="O37" s="89" t="n">
        <v>1499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87" t="inlineStr">
        <is>
          <t>OLED</t>
        </is>
      </c>
      <c r="B39" s="87" t="inlineStr">
        <is>
          <t>83S85H</t>
        </is>
      </c>
      <c r="C39" s="88" t="inlineStr"/>
      <c r="D39" s="89">
        <f>IF(E39="","",E39-F39)</f>
        <v/>
      </c>
      <c r="E39" s="89" t="inlineStr"/>
      <c r="F39" s="89" t="inlineStr"/>
      <c r="G39" s="90" t="inlineStr"/>
      <c r="H39" s="88" t="inlineStr">
        <is>
          <t>QE83S85H</t>
        </is>
      </c>
      <c r="I39" s="109">
        <f>IF(J39="","",J39-K39)</f>
        <v/>
      </c>
      <c r="J39" s="89" t="n">
        <v>4799.95</v>
      </c>
      <c r="K39" s="89" t="n">
        <v>0</v>
      </c>
      <c r="L39" s="90" t="inlineStr"/>
      <c r="M39" s="88" t="inlineStr">
        <is>
          <t>QE83S85HAEXZU</t>
        </is>
      </c>
      <c r="N39" s="89">
        <f>IF(O39="","",O39-P39)</f>
        <v/>
      </c>
      <c r="O39" s="89" t="n">
        <v>4800</v>
      </c>
      <c r="P39" s="89" t="n">
        <v>0</v>
      </c>
      <c r="Q39" s="90" t="inlineStr"/>
    </row>
    <row r="40" ht="20" customHeight="1" s="55">
      <c r="A40" s="87" t="inlineStr">
        <is>
          <t>OLED</t>
        </is>
      </c>
      <c r="B40" s="87" t="inlineStr">
        <is>
          <t>77S85H</t>
        </is>
      </c>
      <c r="C40" s="88" t="inlineStr"/>
      <c r="D40" s="89">
        <f>IF(E40="","",E40-F40)</f>
        <v/>
      </c>
      <c r="E40" s="89" t="inlineStr"/>
      <c r="F40" s="89" t="inlineStr"/>
      <c r="G40" s="90" t="inlineStr"/>
      <c r="H40" s="88" t="inlineStr">
        <is>
          <t>QE77S85H</t>
        </is>
      </c>
      <c r="I40" s="109">
        <f>IF(J40="","",J40-K40)</f>
        <v/>
      </c>
      <c r="J40" s="89" t="n">
        <v>3299.95</v>
      </c>
      <c r="K40" s="89" t="n">
        <v>0</v>
      </c>
      <c r="L40" s="90" t="inlineStr"/>
      <c r="M40" s="88" t="inlineStr">
        <is>
          <t>QE77S85HAEXZU</t>
        </is>
      </c>
      <c r="N40" s="89">
        <f>IF(O40="","",O40-P40)</f>
        <v/>
      </c>
      <c r="O40" s="89" t="n">
        <v>3295</v>
      </c>
      <c r="P40" s="89" t="n">
        <v>0</v>
      </c>
      <c r="Q40" s="90" t="inlineStr"/>
    </row>
    <row r="41" ht="20" customHeight="1" s="55">
      <c r="A41" s="87" t="inlineStr">
        <is>
          <t>OLED</t>
        </is>
      </c>
      <c r="B41" s="87" t="inlineStr">
        <is>
          <t>65S85H</t>
        </is>
      </c>
      <c r="C41" s="88" t="inlineStr"/>
      <c r="D41" s="89">
        <f>IF(E41="","",E41-F41)</f>
        <v/>
      </c>
      <c r="E41" s="89" t="inlineStr"/>
      <c r="F41" s="89" t="inlineStr"/>
      <c r="G41" s="90" t="inlineStr"/>
      <c r="H41" s="88" t="inlineStr">
        <is>
          <t>QE65S85H</t>
        </is>
      </c>
      <c r="I41" s="109">
        <f>IF(J41="","",J41-K41)</f>
        <v/>
      </c>
      <c r="J41" s="89" t="n">
        <v>2499.95</v>
      </c>
      <c r="K41" s="89" t="n">
        <v>200</v>
      </c>
      <c r="L41" s="90" t="inlineStr"/>
      <c r="M41" s="88" t="inlineStr">
        <is>
          <t>QE65S85HAEXZU</t>
        </is>
      </c>
      <c r="N41" s="89">
        <f>IF(O41="","",O41-P41)</f>
        <v/>
      </c>
      <c r="O41" s="89" t="n">
        <v>2419</v>
      </c>
      <c r="P41" s="89" t="n">
        <v>0</v>
      </c>
      <c r="Q41" s="90" t="inlineStr"/>
    </row>
    <row r="42" ht="20" customHeight="1" s="55">
      <c r="A42" s="87" t="inlineStr">
        <is>
          <t>OLED</t>
        </is>
      </c>
      <c r="B42" s="87" t="inlineStr">
        <is>
          <t>55S85H</t>
        </is>
      </c>
      <c r="C42" s="88" t="inlineStr"/>
      <c r="D42" s="89">
        <f>IF(E42="","",E42-F42)</f>
        <v/>
      </c>
      <c r="E42" s="89" t="inlineStr"/>
      <c r="F42" s="89" t="inlineStr"/>
      <c r="G42" s="90" t="inlineStr"/>
      <c r="H42" s="88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88" t="inlineStr">
        <is>
          <t>QE55S85HAEXZU</t>
        </is>
      </c>
      <c r="N42" s="89">
        <f>IF(O42="","",O42-P42)</f>
        <v/>
      </c>
      <c r="O42" s="89" t="n">
        <v>1666</v>
      </c>
      <c r="P42" s="89" t="n">
        <v>0</v>
      </c>
      <c r="Q42" s="90" t="inlineStr"/>
    </row>
    <row r="43" ht="20" customHeight="1" s="55">
      <c r="A43" s="87" t="inlineStr">
        <is>
          <t>OLED</t>
        </is>
      </c>
      <c r="B43" s="87" t="inlineStr">
        <is>
          <t>48S85H</t>
        </is>
      </c>
      <c r="C43" s="88" t="inlineStr"/>
      <c r="D43" s="89">
        <f>IF(E43="","",E43-F43)</f>
        <v/>
      </c>
      <c r="E43" s="89" t="inlineStr"/>
      <c r="F43" s="89" t="inlineStr"/>
      <c r="G43" s="90" t="inlineStr"/>
      <c r="H43" s="88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88" t="inlineStr">
        <is>
          <t>QE48S85HAEXXN</t>
        </is>
      </c>
      <c r="N43" s="89">
        <f>IF(O43="","",O43-P43)</f>
        <v/>
      </c>
      <c r="O43" s="89" t="n">
        <v>1399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87" t="inlineStr">
        <is>
          <t>MRGB</t>
        </is>
      </c>
      <c r="B45" s="87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87" t="inlineStr">
        <is>
          <t>MRGB</t>
        </is>
      </c>
      <c r="B46" s="87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4999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87" t="inlineStr">
        <is>
          <t>MRGB</t>
        </is>
      </c>
      <c r="B48" s="87" t="inlineStr">
        <is>
          <t>86MRGB85</t>
        </is>
      </c>
      <c r="C48" s="88" t="inlineStr"/>
      <c r="D48" s="89">
        <f>IF(E48="","",E48-F48)</f>
        <v/>
      </c>
      <c r="E48" s="89" t="inlineStr"/>
      <c r="F48" s="89" t="inlineStr"/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/>
      <c r="N48" s="89">
        <f>IF(O48="","",O48-P48)</f>
        <v/>
      </c>
      <c r="O48" s="89" t="inlineStr"/>
      <c r="P48" s="89" t="inlineStr"/>
      <c r="Q48" s="90">
        <f>IFERROR(N48/N4,"")</f>
        <v/>
      </c>
    </row>
    <row r="49" ht="20" customHeight="1" s="55">
      <c r="A49" s="87" t="inlineStr">
        <is>
          <t>MRGB</t>
        </is>
      </c>
      <c r="B49" s="87" t="inlineStr">
        <is>
          <t>75MRGB85</t>
        </is>
      </c>
      <c r="C49" s="88" t="inlineStr"/>
      <c r="D49" s="89">
        <f>IF(E49="","",E49-F49)</f>
        <v/>
      </c>
      <c r="E49" s="89" t="inlineStr"/>
      <c r="F49" s="89" t="inlineStr"/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1999.95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87" t="inlineStr">
        <is>
          <t>MRGB</t>
        </is>
      </c>
      <c r="B50" s="87" t="inlineStr">
        <is>
          <t>65MRGB85</t>
        </is>
      </c>
      <c r="C50" s="88" t="inlineStr"/>
      <c r="D50" s="95">
        <f>IF(E50="","",E50-F50)</f>
        <v/>
      </c>
      <c r="E50" s="96" t="inlineStr"/>
      <c r="F50" s="96" t="inlineStr"/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/>
      <c r="N50" s="95">
        <f>IF(O50="","",O50-P50)</f>
        <v/>
      </c>
      <c r="O50" s="96" t="inlineStr"/>
      <c r="P50" s="96" t="inlineStr"/>
      <c r="Q50" s="90">
        <f>IFERROR(N50/N6,"")</f>
        <v/>
      </c>
    </row>
    <row r="51" ht="20" customHeight="1" s="55">
      <c r="A51" s="87" t="inlineStr">
        <is>
          <t>MRGB</t>
        </is>
      </c>
      <c r="B51" s="87" t="inlineStr">
        <is>
          <t>55MRGB85</t>
        </is>
      </c>
      <c r="C51" s="88" t="inlineStr"/>
      <c r="D51" s="89">
        <f>IF(E51="","",E51-F51)</f>
        <v/>
      </c>
      <c r="E51" s="89" t="inlineStr"/>
      <c r="F51" s="89" t="inlineStr"/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/>
      <c r="N51" s="89">
        <f>IF(O51="","",O51-P51)</f>
        <v/>
      </c>
      <c r="O51" s="89" t="inlineStr"/>
      <c r="P51" s="89" t="inlineStr"/>
      <c r="Q51" s="90">
        <f>IFERROR(N51/N7,"")</f>
        <v/>
      </c>
    </row>
    <row r="52" ht="20" customHeight="1" s="55">
      <c r="A52" s="87" t="inlineStr">
        <is>
          <t>MRGB</t>
        </is>
      </c>
      <c r="B52" s="87" t="inlineStr">
        <is>
          <t>50MRGB85</t>
        </is>
      </c>
      <c r="C52" s="88" t="inlineStr"/>
      <c r="D52" s="89">
        <f>IF(E52="","",E52-F52)</f>
        <v/>
      </c>
      <c r="E52" s="89" t="inlineStr"/>
      <c r="F52" s="89" t="inlineStr"/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999.95</v>
      </c>
      <c r="K52" s="89" t="n">
        <v>0</v>
      </c>
      <c r="L52" s="90">
        <f>IFERROR(I52/I7,"")</f>
        <v/>
      </c>
      <c r="M52" s="88" t="inlineStr"/>
      <c r="N52" s="89">
        <f>IF(O52="","",O52-P52)</f>
        <v/>
      </c>
      <c r="O52" s="89" t="inlineStr"/>
      <c r="P52" s="89" t="inlineStr"/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87" t="inlineStr">
        <is>
          <t>QNED</t>
        </is>
      </c>
      <c r="B54" s="87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87" t="inlineStr">
        <is>
          <t>QNED</t>
        </is>
      </c>
      <c r="B55" s="87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87" t="inlineStr">
        <is>
          <t>QNED</t>
        </is>
      </c>
      <c r="B56" s="87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87" t="inlineStr">
        <is>
          <t>QNED</t>
        </is>
      </c>
      <c r="B57" s="87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82" t="inlineStr">
        <is>
          <t>QNED</t>
        </is>
      </c>
      <c r="B59" s="82" t="inlineStr">
        <is>
          <t>86QNED85</t>
        </is>
      </c>
      <c r="C59" s="83" t="inlineStr"/>
      <c r="D59" s="84">
        <f>IF(E59="","",E59-F59)</f>
        <v/>
      </c>
      <c r="E59" s="84" t="inlineStr"/>
      <c r="F59" s="84" t="inlineStr"/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82" t="inlineStr">
        <is>
          <t>QNED</t>
        </is>
      </c>
      <c r="B60" s="82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1899</v>
      </c>
      <c r="F60" s="84" t="n">
        <v>0</v>
      </c>
      <c r="G60" s="85">
        <f>IFERROR(D60/D5,"")</f>
        <v/>
      </c>
      <c r="H60" s="83" t="inlineStr">
        <is>
          <t>65QNED86B</t>
        </is>
      </c>
      <c r="I60" s="103">
        <f>IF(J60="","",J60-K60)</f>
        <v/>
      </c>
      <c r="J60" s="84" t="n">
        <v>1899.95</v>
      </c>
      <c r="K60" s="84" t="n">
        <v>0</v>
      </c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82" t="inlineStr">
        <is>
          <t>QNED</t>
        </is>
      </c>
      <c r="B61" s="82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/>
      <c r="I61" s="84">
        <f>IF(J61="","",J61-K61)</f>
        <v/>
      </c>
      <c r="J61" s="84" t="inlineStr"/>
      <c r="K61" s="84" t="inlineStr"/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82" t="inlineStr">
        <is>
          <t>QNED</t>
        </is>
      </c>
      <c r="B62" s="82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82" t="inlineStr">
        <is>
          <t>QNED</t>
        </is>
      </c>
      <c r="B63" s="82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999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82" t="inlineStr">
        <is>
          <t>QNED</t>
        </is>
      </c>
      <c r="B64" s="82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699.95</v>
      </c>
      <c r="K64" s="84" t="n">
        <v>0</v>
      </c>
      <c r="L64" s="85">
        <f>IFERROR(I64/I7,"")</f>
        <v/>
      </c>
      <c r="M64" s="83" t="inlineStr"/>
      <c r="N64" s="84">
        <f>IF(O64="","",O64-P64)</f>
        <v/>
      </c>
      <c r="O64" s="84" t="inlineStr"/>
      <c r="P64" s="84" t="inlineStr"/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82" t="inlineStr">
        <is>
          <t>QNED</t>
        </is>
      </c>
      <c r="B66" s="82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82" t="inlineStr">
        <is>
          <t>QNED</t>
        </is>
      </c>
      <c r="B67" s="82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82" t="inlineStr">
        <is>
          <t>QNED</t>
        </is>
      </c>
      <c r="B68" s="82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82" t="inlineStr">
        <is>
          <t>QNED</t>
        </is>
      </c>
      <c r="B69" s="82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82" t="inlineStr">
        <is>
          <t>QNED</t>
        </is>
      </c>
      <c r="B70" s="82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82" t="inlineStr">
        <is>
          <t>QNED</t>
        </is>
      </c>
      <c r="B71" s="82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82" t="inlineStr">
        <is>
          <t>QNED</t>
        </is>
      </c>
      <c r="B73" s="82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82" t="inlineStr">
        <is>
          <t>QNED</t>
        </is>
      </c>
      <c r="B74" s="82" t="inlineStr">
        <is>
          <t>75QNED70</t>
        </is>
      </c>
      <c r="C74" s="83" t="inlineStr"/>
      <c r="D74" s="84">
        <f>IF(E74="","",E74-F74)</f>
        <v/>
      </c>
      <c r="E74" s="84" t="inlineStr"/>
      <c r="F74" s="84" t="inlineStr"/>
      <c r="G74" s="85">
        <f>IFERROR(D74/D5,"")</f>
        <v/>
      </c>
      <c r="H74" s="83" t="inlineStr">
        <is>
          <t>75QNED7EB</t>
        </is>
      </c>
      <c r="I74" s="84">
        <f>IF(J74="","",J74-K74)</f>
        <v/>
      </c>
      <c r="J74" s="84" t="n">
        <v>699.95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796</v>
      </c>
      <c r="P74" s="84" t="n">
        <v>0</v>
      </c>
      <c r="Q74" s="85">
        <f>IFERROR(N74/N5,"")</f>
        <v/>
      </c>
    </row>
    <row r="75" ht="20" customHeight="1" s="55">
      <c r="A75" s="82" t="inlineStr">
        <is>
          <t>QNED</t>
        </is>
      </c>
      <c r="B75" s="82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577</v>
      </c>
      <c r="P75" s="84" t="n">
        <v>0</v>
      </c>
      <c r="Q75" s="85">
        <f>IFERROR(N75/N6,"")</f>
        <v/>
      </c>
    </row>
    <row r="76" ht="20" customHeight="1" s="55">
      <c r="A76" s="82" t="inlineStr">
        <is>
          <t>QNED</t>
        </is>
      </c>
      <c r="B76" s="82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399.95</v>
      </c>
      <c r="K76" s="84" t="n">
        <v>0</v>
      </c>
      <c r="L76" s="85">
        <f>IFERROR(I76/I7,"")</f>
        <v/>
      </c>
      <c r="M76" s="83" t="inlineStr">
        <is>
          <t>55QNED7EB3C</t>
        </is>
      </c>
      <c r="N76" s="103">
        <f>IF(O76="","",O76-P76)</f>
        <v/>
      </c>
      <c r="O76" s="84" t="n">
        <v>451</v>
      </c>
      <c r="P76" s="84" t="n">
        <v>0</v>
      </c>
      <c r="Q76" s="85">
        <f>IFERROR(N76/N7,"")</f>
        <v/>
      </c>
    </row>
    <row r="77" ht="20" customHeight="1" s="55">
      <c r="A77" s="82" t="inlineStr">
        <is>
          <t>QNED</t>
        </is>
      </c>
      <c r="B77" s="82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50QNED7EB</t>
        </is>
      </c>
      <c r="I77" s="84">
        <f>IF(J77="","",J77-K77)</f>
        <v/>
      </c>
      <c r="J77" s="84" t="n">
        <v>349.95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396</v>
      </c>
      <c r="P77" s="84" t="n">
        <v>0</v>
      </c>
      <c r="Q77" s="85">
        <f>IFERROR(N77/N7,"")</f>
        <v/>
      </c>
    </row>
    <row r="78" ht="20" customHeight="1" s="55">
      <c r="A78" s="82" t="inlineStr">
        <is>
          <t>QNED</t>
        </is>
      </c>
      <c r="B78" s="82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355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87" t="inlineStr">
        <is>
          <t>MRGB</t>
        </is>
      </c>
      <c r="B80" s="87" t="inlineStr">
        <is>
          <t>85R95H</t>
        </is>
      </c>
      <c r="C80" s="88" t="inlineStr"/>
      <c r="D80" s="89">
        <f>IF(E80="","",E80-F80)</f>
        <v/>
      </c>
      <c r="E80" s="89" t="inlineStr"/>
      <c r="F80" s="89" t="inlineStr"/>
      <c r="G80" s="90" t="inlineStr"/>
      <c r="H80" s="88" t="inlineStr">
        <is>
          <t>MRE85R95HATXZU</t>
        </is>
      </c>
      <c r="I80" s="89">
        <f>IF(J80="","",J80-K80)</f>
        <v/>
      </c>
      <c r="J80" s="89" t="n">
        <v>5252</v>
      </c>
      <c r="K80" s="89" t="n">
        <v>0</v>
      </c>
      <c r="L80" s="90" t="inlineStr"/>
      <c r="M80" s="88" t="inlineStr"/>
      <c r="N80" s="89">
        <f>IF(O80="","",O80-P80)</f>
        <v/>
      </c>
      <c r="O80" s="89" t="inlineStr"/>
      <c r="P80" s="89" t="inlineStr"/>
      <c r="Q80" s="90" t="inlineStr"/>
    </row>
    <row r="81" ht="20" customHeight="1" s="55">
      <c r="A81" s="87" t="inlineStr">
        <is>
          <t>MRGB</t>
        </is>
      </c>
      <c r="B81" s="87" t="inlineStr">
        <is>
          <t>75R95H</t>
        </is>
      </c>
      <c r="C81" s="88" t="inlineStr"/>
      <c r="D81" s="89">
        <f>IF(E81="","",E81-F81)</f>
        <v/>
      </c>
      <c r="E81" s="89" t="inlineStr"/>
      <c r="F81" s="89" t="inlineStr"/>
      <c r="G81" s="90" t="inlineStr"/>
      <c r="H81" s="88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88" t="inlineStr"/>
      <c r="N81" s="89">
        <f>IF(O81="","",O81-P81)</f>
        <v/>
      </c>
      <c r="O81" s="89" t="inlineStr"/>
      <c r="P81" s="89" t="inlineStr"/>
      <c r="Q81" s="90" t="inlineStr"/>
    </row>
    <row r="82" ht="20" customHeight="1" s="55">
      <c r="A82" s="87" t="inlineStr">
        <is>
          <t>MRGB</t>
        </is>
      </c>
      <c r="B82" s="87" t="inlineStr">
        <is>
          <t>65R95H</t>
        </is>
      </c>
      <c r="C82" s="88" t="inlineStr"/>
      <c r="D82" s="95">
        <f>IF(E82="","",E82-F82)</f>
        <v/>
      </c>
      <c r="E82" s="89" t="inlineStr"/>
      <c r="F82" s="89" t="inlineStr"/>
      <c r="G82" s="90" t="inlineStr"/>
      <c r="H82" s="88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88" t="inlineStr"/>
      <c r="N82" s="95">
        <f>IF(O82="","",O82-P82)</f>
        <v/>
      </c>
      <c r="O82" s="89" t="inlineStr"/>
      <c r="P82" s="89" t="inlineStr"/>
      <c r="Q82" s="90" t="inlineStr"/>
    </row>
    <row r="83" ht="20" customHeight="1" s="55">
      <c r="A83" s="87" t="inlineStr">
        <is>
          <t>MRGB</t>
        </is>
      </c>
      <c r="B83" s="87" t="inlineStr">
        <is>
          <t>55R95H</t>
        </is>
      </c>
      <c r="C83" s="88" t="inlineStr"/>
      <c r="D83" s="89">
        <f>IF(E83="","",E83-F83)</f>
        <v/>
      </c>
      <c r="E83" s="89" t="inlineStr"/>
      <c r="F83" s="89" t="inlineStr"/>
      <c r="G83" s="90" t="inlineStr"/>
      <c r="H83" s="88" t="inlineStr"/>
      <c r="I83" s="89">
        <f>IF(J83="","",J83-K83)</f>
        <v/>
      </c>
      <c r="J83" s="89" t="inlineStr"/>
      <c r="K83" s="89" t="inlineStr"/>
      <c r="L83" s="90" t="inlineStr"/>
      <c r="M83" s="88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87" t="inlineStr">
        <is>
          <t>MRGB</t>
        </is>
      </c>
      <c r="B85" s="87" t="inlineStr">
        <is>
          <t>85R85H</t>
        </is>
      </c>
      <c r="C85" s="88" t="inlineStr">
        <is>
          <t>MRE85R85H</t>
        </is>
      </c>
      <c r="D85" s="89">
        <f>IF(E85="","",E85-F85)</f>
        <v/>
      </c>
      <c r="E85" s="89" t="n">
        <v>4499</v>
      </c>
      <c r="F85" s="89" t="n">
        <v>0</v>
      </c>
      <c r="G85" s="90" t="inlineStr"/>
      <c r="H85" s="88" t="inlineStr">
        <is>
          <t>MRE85R85H</t>
        </is>
      </c>
      <c r="I85" s="89">
        <f>IF(J85="","",J85-K85)</f>
        <v/>
      </c>
      <c r="J85" s="89" t="n">
        <v>3999.95</v>
      </c>
      <c r="K85" s="89" t="n">
        <v>0</v>
      </c>
      <c r="L85" s="90" t="inlineStr"/>
      <c r="M85" s="88" t="inlineStr">
        <is>
          <t>MRE85R85HAUXXN</t>
        </is>
      </c>
      <c r="N85" s="89">
        <f>IF(O85="","",O85-P85)</f>
        <v/>
      </c>
      <c r="O85" s="89" t="n">
        <v>4000</v>
      </c>
      <c r="P85" s="89" t="n">
        <v>0</v>
      </c>
      <c r="Q85" s="90" t="inlineStr"/>
    </row>
    <row r="86" ht="20" customHeight="1" s="55">
      <c r="A86" s="87" t="inlineStr">
        <is>
          <t>MRGB</t>
        </is>
      </c>
      <c r="B86" s="87" t="inlineStr">
        <is>
          <t>75R85H</t>
        </is>
      </c>
      <c r="C86" s="88" t="inlineStr">
        <is>
          <t>MRE75R85H</t>
        </is>
      </c>
      <c r="D86" s="89">
        <f>IF(E86="","",E86-F86)</f>
        <v/>
      </c>
      <c r="E86" s="89" t="n">
        <v>2999</v>
      </c>
      <c r="F86" s="89" t="n">
        <v>0</v>
      </c>
      <c r="G86" s="90" t="inlineStr"/>
      <c r="H86" s="88" t="inlineStr">
        <is>
          <t>MRE75R85H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88" t="inlineStr">
        <is>
          <t>MRE75R85HAUXXN</t>
        </is>
      </c>
      <c r="N86" s="89">
        <f>IF(O86="","",O86-P86)</f>
        <v/>
      </c>
      <c r="O86" s="89" t="n">
        <v>2449</v>
      </c>
      <c r="P86" s="89" t="n">
        <v>0</v>
      </c>
      <c r="Q86" s="90" t="inlineStr"/>
    </row>
    <row r="87" ht="20" customHeight="1" s="55">
      <c r="A87" s="87" t="inlineStr">
        <is>
          <t>MRGB</t>
        </is>
      </c>
      <c r="B87" s="87" t="inlineStr">
        <is>
          <t>65R85H</t>
        </is>
      </c>
      <c r="C87" s="88" t="inlineStr">
        <is>
          <t>MRE65R85H</t>
        </is>
      </c>
      <c r="D87" s="89">
        <f>IF(E87="","",E87-F87)</f>
        <v/>
      </c>
      <c r="E87" s="89" t="n">
        <v>2499</v>
      </c>
      <c r="F87" s="89" t="n">
        <v>0</v>
      </c>
      <c r="G87" s="90" t="inlineStr"/>
      <c r="H87" s="88" t="inlineStr">
        <is>
          <t>MRE65R85H</t>
        </is>
      </c>
      <c r="I87" s="89">
        <f>IF(J87="","",J87-K87)</f>
        <v/>
      </c>
      <c r="J87" s="89" t="n">
        <v>1999.95</v>
      </c>
      <c r="K87" s="89" t="n">
        <v>0</v>
      </c>
      <c r="L87" s="90" t="inlineStr"/>
      <c r="M87" s="88" t="inlineStr">
        <is>
          <t>MRE65R85HAUXXN</t>
        </is>
      </c>
      <c r="N87" s="89">
        <f>IF(O87="","",O87-P87)</f>
        <v/>
      </c>
      <c r="O87" s="89" t="n">
        <v>1959</v>
      </c>
      <c r="P87" s="89" t="n">
        <v>0</v>
      </c>
      <c r="Q87" s="90" t="inlineStr"/>
    </row>
    <row r="88" ht="20" customHeight="1" s="55">
      <c r="A88" s="87" t="inlineStr">
        <is>
          <t>MRGB</t>
        </is>
      </c>
      <c r="B88" s="87" t="inlineStr">
        <is>
          <t>55R85H</t>
        </is>
      </c>
      <c r="C88" s="88" t="inlineStr">
        <is>
          <t>MRE55R85H</t>
        </is>
      </c>
      <c r="D88" s="89">
        <f>IF(E88="","",E88-F88)</f>
        <v/>
      </c>
      <c r="E88" s="89" t="n">
        <v>1699</v>
      </c>
      <c r="F88" s="89" t="n">
        <v>0</v>
      </c>
      <c r="G88" s="90" t="inlineStr"/>
      <c r="H88" s="88" t="inlineStr">
        <is>
          <t>MRE55R85H</t>
        </is>
      </c>
      <c r="I88" s="89">
        <f>IF(J88="","",J88-K88)</f>
        <v/>
      </c>
      <c r="J88" s="89" t="n">
        <v>1499.95</v>
      </c>
      <c r="K88" s="89" t="n">
        <v>0</v>
      </c>
      <c r="L88" s="90" t="inlineStr"/>
      <c r="M88" s="88" t="inlineStr">
        <is>
          <t>MRE55R85HAUXXN</t>
        </is>
      </c>
      <c r="N88" s="89">
        <f>IF(O88="","",O88-P88)</f>
        <v/>
      </c>
      <c r="O88" s="89" t="n">
        <v>1500</v>
      </c>
      <c r="P88" s="89" t="n">
        <v>0</v>
      </c>
      <c r="Q88" s="90" t="inlineStr"/>
    </row>
    <row r="89" ht="20" customHeight="1" s="55">
      <c r="A89" s="87" t="inlineStr">
        <is>
          <t>MRGB</t>
        </is>
      </c>
      <c r="B89" s="87" t="inlineStr">
        <is>
          <t>50R85H</t>
        </is>
      </c>
      <c r="C89" s="88" t="inlineStr"/>
      <c r="D89" s="89">
        <f>IF(E89="","",E89-F89)</f>
        <v/>
      </c>
      <c r="E89" s="89" t="inlineStr"/>
      <c r="F89" s="89" t="inlineStr"/>
      <c r="G89" s="90" t="inlineStr"/>
      <c r="H89" s="88" t="inlineStr"/>
      <c r="I89" s="89">
        <f>IF(J89="","",J89-K89)</f>
        <v/>
      </c>
      <c r="J89" s="89" t="inlineStr"/>
      <c r="K89" s="89" t="inlineStr"/>
      <c r="L89" s="90" t="inlineStr"/>
      <c r="M89" s="88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87" t="inlineStr">
        <is>
          <t>QLED</t>
        </is>
      </c>
      <c r="B91" s="87" t="inlineStr">
        <is>
          <t>100QN80H</t>
        </is>
      </c>
      <c r="C91" s="88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88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88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87" t="inlineStr">
        <is>
          <t>QLED</t>
        </is>
      </c>
      <c r="B92" s="87" t="inlineStr">
        <is>
          <t>85QN80H</t>
        </is>
      </c>
      <c r="C92" s="88" t="inlineStr">
        <is>
          <t>QE85QN80H</t>
        </is>
      </c>
      <c r="D92" s="89">
        <f>IF(E92="","",E92-F92)</f>
        <v/>
      </c>
      <c r="E92" s="89" t="n">
        <v>2999</v>
      </c>
      <c r="F92" s="89" t="n">
        <v>0</v>
      </c>
      <c r="G92" s="90" t="inlineStr"/>
      <c r="H92" s="88" t="inlineStr">
        <is>
          <t>QE85QN80H</t>
        </is>
      </c>
      <c r="I92" s="89">
        <f>IF(J92="","",J92-K92)</f>
        <v/>
      </c>
      <c r="J92" s="89" t="n">
        <v>2999.95</v>
      </c>
      <c r="K92" s="89" t="n">
        <v>0</v>
      </c>
      <c r="L92" s="90" t="inlineStr"/>
      <c r="M92" s="88" t="inlineStr">
        <is>
          <t>QE85QN80HAUXXN</t>
        </is>
      </c>
      <c r="N92" s="89">
        <f>IF(O92="","",O92-P92)</f>
        <v/>
      </c>
      <c r="O92" s="89" t="n">
        <v>2900</v>
      </c>
      <c r="P92" s="89" t="n">
        <v>0</v>
      </c>
      <c r="Q92" s="90" t="inlineStr"/>
    </row>
    <row r="93" ht="20" customHeight="1" s="55">
      <c r="A93" s="87" t="inlineStr">
        <is>
          <t>QLED</t>
        </is>
      </c>
      <c r="B93" s="87" t="inlineStr">
        <is>
          <t>75QN80H</t>
        </is>
      </c>
      <c r="C93" s="88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88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88" t="inlineStr">
        <is>
          <t>QE75QN80HAUXXN</t>
        </is>
      </c>
      <c r="N93" s="89">
        <f>IF(O93="","",O93-P93)</f>
        <v/>
      </c>
      <c r="O93" s="89" t="n">
        <v>2449</v>
      </c>
      <c r="P93" s="89" t="n">
        <v>0</v>
      </c>
      <c r="Q93" s="90" t="inlineStr"/>
    </row>
    <row r="94" ht="20" customHeight="1" s="55">
      <c r="A94" s="87" t="inlineStr">
        <is>
          <t>QLED</t>
        </is>
      </c>
      <c r="B94" s="87" t="inlineStr">
        <is>
          <t>65QN80H</t>
        </is>
      </c>
      <c r="C94" s="88" t="inlineStr">
        <is>
          <t>QE65QN80H</t>
        </is>
      </c>
      <c r="D94" s="120">
        <f>IF(E94="","",E94-F94)</f>
        <v/>
      </c>
      <c r="E94" s="89" t="n">
        <v>1799</v>
      </c>
      <c r="F94" s="89" t="n">
        <v>0</v>
      </c>
      <c r="G94" s="90" t="inlineStr"/>
      <c r="H94" s="88" t="inlineStr">
        <is>
          <t>QE65QN80H</t>
        </is>
      </c>
      <c r="I94" s="120">
        <f>IF(J94="","",J94-K94)</f>
        <v/>
      </c>
      <c r="J94" s="89" t="n">
        <v>1799.95</v>
      </c>
      <c r="K94" s="89" t="n">
        <v>0</v>
      </c>
      <c r="L94" s="90" t="inlineStr"/>
      <c r="M94" s="88" t="inlineStr">
        <is>
          <t>QE65QN80HAUXXN</t>
        </is>
      </c>
      <c r="N94" s="120">
        <f>IF(O94="","",O94-P94)</f>
        <v/>
      </c>
      <c r="O94" s="89" t="n">
        <v>1715</v>
      </c>
      <c r="P94" s="89" t="n">
        <v>0</v>
      </c>
      <c r="Q94" s="90" t="inlineStr"/>
    </row>
    <row r="95" ht="20" customHeight="1" s="55">
      <c r="A95" s="87" t="inlineStr">
        <is>
          <t>QLED</t>
        </is>
      </c>
      <c r="B95" s="87" t="inlineStr">
        <is>
          <t>55QN80H</t>
        </is>
      </c>
      <c r="C95" s="88" t="inlineStr">
        <is>
          <t>QE55QN80H</t>
        </is>
      </c>
      <c r="D95" s="95">
        <f>IF(E95="","",E95-F95)</f>
        <v/>
      </c>
      <c r="E95" s="89" t="n">
        <v>1499</v>
      </c>
      <c r="F95" s="89" t="n">
        <v>0</v>
      </c>
      <c r="G95" s="90" t="inlineStr"/>
      <c r="H95" s="88" t="inlineStr">
        <is>
          <t>QE55QN80H</t>
        </is>
      </c>
      <c r="I95" s="95">
        <f>IF(J95="","",J95-K95)</f>
        <v/>
      </c>
      <c r="J95" s="89" t="n">
        <v>1499.95</v>
      </c>
      <c r="K95" s="89" t="n">
        <v>0</v>
      </c>
      <c r="L95" s="90" t="inlineStr"/>
      <c r="M95" s="88" t="inlineStr">
        <is>
          <t>QE55QN80HAUXXN</t>
        </is>
      </c>
      <c r="N95" s="95">
        <f>IF(O95="","",O95-P95)</f>
        <v/>
      </c>
      <c r="O95" s="89" t="n">
        <v>1419</v>
      </c>
      <c r="P95" s="89" t="n">
        <v>0</v>
      </c>
      <c r="Q95" s="90" t="inlineStr"/>
    </row>
    <row r="96" ht="20" customHeight="1" s="55">
      <c r="A96" s="87" t="inlineStr">
        <is>
          <t>QLED</t>
        </is>
      </c>
      <c r="B96" s="87" t="inlineStr">
        <is>
          <t>50QN80H</t>
        </is>
      </c>
      <c r="C96" s="88" t="inlineStr">
        <is>
          <t>QE50QN80H</t>
        </is>
      </c>
      <c r="D96" s="89">
        <f>IF(E96="","",E96-F96)</f>
        <v/>
      </c>
      <c r="E96" s="89" t="n">
        <v>1299</v>
      </c>
      <c r="F96" s="89" t="n">
        <v>0</v>
      </c>
      <c r="G96" s="90" t="inlineStr"/>
      <c r="H96" s="88" t="inlineStr">
        <is>
          <t>QE50QN80H</t>
        </is>
      </c>
      <c r="I96" s="89">
        <f>IF(J96="","",J96-K96)</f>
        <v/>
      </c>
      <c r="J96" s="89" t="n">
        <v>1299.95</v>
      </c>
      <c r="K96" s="89" t="n">
        <v>0</v>
      </c>
      <c r="L96" s="90" t="inlineStr"/>
      <c r="M96" s="88" t="inlineStr">
        <is>
          <t>QE50QN80HAUXXN</t>
        </is>
      </c>
      <c r="N96" s="89">
        <f>IF(O96="","",O96-P96)</f>
        <v/>
      </c>
      <c r="O96" s="89" t="n">
        <v>1229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87" t="inlineStr">
        <is>
          <t>QLED</t>
        </is>
      </c>
      <c r="B98" s="87" t="inlineStr">
        <is>
          <t>85QN70H</t>
        </is>
      </c>
      <c r="C98" s="88" t="inlineStr"/>
      <c r="D98" s="89">
        <f>IF(E98="","",E98-F98)</f>
        <v/>
      </c>
      <c r="E98" s="89" t="inlineStr"/>
      <c r="F98" s="89" t="inlineStr"/>
      <c r="G98" s="90" t="inlineStr"/>
      <c r="H98" s="88" t="inlineStr"/>
      <c r="I98" s="89">
        <f>IF(J98="","",J98-K98)</f>
        <v/>
      </c>
      <c r="J98" s="89" t="inlineStr"/>
      <c r="K98" s="89" t="inlineStr"/>
      <c r="L98" s="90" t="inlineStr"/>
      <c r="M98" s="88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87" t="inlineStr">
        <is>
          <t>QLED</t>
        </is>
      </c>
      <c r="B99" s="87" t="inlineStr">
        <is>
          <t>75QN70H</t>
        </is>
      </c>
      <c r="C99" s="88" t="inlineStr"/>
      <c r="D99" s="89">
        <f>IF(E99="","",E99-F99)</f>
        <v/>
      </c>
      <c r="E99" s="89" t="inlineStr"/>
      <c r="F99" s="89" t="inlineStr"/>
      <c r="G99" s="90" t="inlineStr"/>
      <c r="H99" s="88" t="inlineStr"/>
      <c r="I99" s="89">
        <f>IF(J99="","",J99-K99)</f>
        <v/>
      </c>
      <c r="J99" s="89" t="inlineStr"/>
      <c r="K99" s="89" t="inlineStr"/>
      <c r="L99" s="90" t="inlineStr"/>
      <c r="M99" s="88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87" t="inlineStr">
        <is>
          <t>QLED</t>
        </is>
      </c>
      <c r="B100" s="87" t="inlineStr">
        <is>
          <t>65QN70H</t>
        </is>
      </c>
      <c r="C100" s="88" t="inlineStr"/>
      <c r="D100" s="89">
        <f>IF(E100="","",E100-F100)</f>
        <v/>
      </c>
      <c r="E100" s="89" t="inlineStr"/>
      <c r="F100" s="89" t="inlineStr"/>
      <c r="G100" s="90" t="inlineStr"/>
      <c r="H100" s="88" t="inlineStr"/>
      <c r="I100" s="89">
        <f>IF(J100="","",J100-K100)</f>
        <v/>
      </c>
      <c r="J100" s="89" t="inlineStr"/>
      <c r="K100" s="89" t="inlineStr"/>
      <c r="L100" s="90" t="inlineStr"/>
      <c r="M100" s="88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87" t="inlineStr">
        <is>
          <t>QLED</t>
        </is>
      </c>
      <c r="B101" s="87" t="inlineStr">
        <is>
          <t>55QN70H</t>
        </is>
      </c>
      <c r="C101" s="88" t="inlineStr"/>
      <c r="D101" s="89">
        <f>IF(E101="","",E101-F101)</f>
        <v/>
      </c>
      <c r="E101" s="89" t="inlineStr"/>
      <c r="F101" s="89" t="inlineStr"/>
      <c r="G101" s="90" t="inlineStr"/>
      <c r="H101" s="88" t="inlineStr"/>
      <c r="I101" s="89">
        <f>IF(J101="","",J101-K101)</f>
        <v/>
      </c>
      <c r="J101" s="89" t="inlineStr"/>
      <c r="K101" s="89" t="inlineStr"/>
      <c r="L101" s="90" t="inlineStr"/>
      <c r="M101" s="88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87" t="inlineStr">
        <is>
          <t>QLED</t>
        </is>
      </c>
      <c r="B102" s="87" t="inlineStr">
        <is>
          <t>50QN70H</t>
        </is>
      </c>
      <c r="C102" s="88" t="inlineStr"/>
      <c r="D102" s="89">
        <f>IF(E102="","",E102-F102)</f>
        <v/>
      </c>
      <c r="E102" s="89" t="inlineStr"/>
      <c r="F102" s="89" t="inlineStr"/>
      <c r="G102" s="90" t="inlineStr"/>
      <c r="H102" s="88" t="inlineStr"/>
      <c r="I102" s="89">
        <f>IF(J102="","",J102-K102)</f>
        <v/>
      </c>
      <c r="J102" s="89" t="inlineStr"/>
      <c r="K102" s="89" t="inlineStr"/>
      <c r="L102" s="90" t="inlineStr"/>
      <c r="M102" s="88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87" t="inlineStr">
        <is>
          <t>QLED</t>
        </is>
      </c>
      <c r="B103" s="87" t="inlineStr">
        <is>
          <t>43QN70H</t>
        </is>
      </c>
      <c r="C103" s="88" t="inlineStr"/>
      <c r="D103" s="95">
        <f>IF(E103="","",E103-F103)</f>
        <v/>
      </c>
      <c r="E103" s="96" t="inlineStr"/>
      <c r="F103" s="96" t="inlineStr"/>
      <c r="G103" s="90" t="inlineStr"/>
      <c r="H103" s="88" t="inlineStr"/>
      <c r="I103" s="95">
        <f>IF(J103="","",J103-K103)</f>
        <v/>
      </c>
      <c r="J103" s="96" t="inlineStr"/>
      <c r="K103" s="96" t="inlineStr"/>
      <c r="L103" s="90" t="inlineStr"/>
      <c r="M103" s="88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87" t="inlineStr">
        <is>
          <t>QLED</t>
        </is>
      </c>
      <c r="B105" s="87" t="inlineStr">
        <is>
          <t>85M80H</t>
        </is>
      </c>
      <c r="C105" s="88" t="inlineStr"/>
      <c r="D105" s="89">
        <f>IF(E105="","",E105-F105)</f>
        <v/>
      </c>
      <c r="E105" s="89" t="inlineStr"/>
      <c r="F105" s="89" t="inlineStr"/>
      <c r="G105" s="90" t="inlineStr"/>
      <c r="H105" s="88" t="inlineStr"/>
      <c r="I105" s="89">
        <f>IF(J105="","",J105-K105)</f>
        <v/>
      </c>
      <c r="J105" s="89" t="inlineStr"/>
      <c r="K105" s="89" t="inlineStr"/>
      <c r="L105" s="90" t="inlineStr"/>
      <c r="M105" s="88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87" t="inlineStr">
        <is>
          <t>QLED</t>
        </is>
      </c>
      <c r="B106" s="87" t="inlineStr">
        <is>
          <t>75M80H</t>
        </is>
      </c>
      <c r="C106" s="88" t="inlineStr"/>
      <c r="D106" s="89">
        <f>IF(E106="","",E106-F106)</f>
        <v/>
      </c>
      <c r="E106" s="89" t="inlineStr"/>
      <c r="F106" s="89" t="inlineStr"/>
      <c r="G106" s="90" t="inlineStr"/>
      <c r="H106" s="88" t="inlineStr"/>
      <c r="I106" s="89">
        <f>IF(J106="","",J106-K106)</f>
        <v/>
      </c>
      <c r="J106" s="89" t="inlineStr"/>
      <c r="K106" s="89" t="inlineStr"/>
      <c r="L106" s="90" t="inlineStr"/>
      <c r="M106" s="88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87" t="inlineStr">
        <is>
          <t>QLED</t>
        </is>
      </c>
      <c r="B107" s="87" t="inlineStr">
        <is>
          <t>65M80H</t>
        </is>
      </c>
      <c r="C107" s="88" t="inlineStr"/>
      <c r="D107" s="89">
        <f>IF(E107="","",E107-F107)</f>
        <v/>
      </c>
      <c r="E107" s="89" t="inlineStr"/>
      <c r="F107" s="89" t="inlineStr"/>
      <c r="G107" s="90" t="inlineStr"/>
      <c r="H107" s="88" t="inlineStr"/>
      <c r="I107" s="89">
        <f>IF(J107="","",J107-K107)</f>
        <v/>
      </c>
      <c r="J107" s="89" t="inlineStr"/>
      <c r="K107" s="89" t="inlineStr"/>
      <c r="L107" s="90" t="inlineStr"/>
      <c r="M107" s="88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87" t="inlineStr">
        <is>
          <t>QLED</t>
        </is>
      </c>
      <c r="B108" s="87" t="inlineStr">
        <is>
          <t>55M80H</t>
        </is>
      </c>
      <c r="C108" s="88" t="inlineStr"/>
      <c r="D108" s="89">
        <f>IF(E108="","",E108-F108)</f>
        <v/>
      </c>
      <c r="E108" s="89" t="inlineStr"/>
      <c r="F108" s="89" t="inlineStr"/>
      <c r="G108" s="90" t="inlineStr"/>
      <c r="H108" s="88" t="inlineStr"/>
      <c r="I108" s="89">
        <f>IF(J108="","",J108-K108)</f>
        <v/>
      </c>
      <c r="J108" s="89" t="inlineStr"/>
      <c r="K108" s="89" t="inlineStr"/>
      <c r="L108" s="90" t="inlineStr"/>
      <c r="M108" s="88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87" t="inlineStr">
        <is>
          <t>QLED</t>
        </is>
      </c>
      <c r="B109" s="87" t="inlineStr">
        <is>
          <t>50M80H</t>
        </is>
      </c>
      <c r="C109" s="88" t="inlineStr"/>
      <c r="D109" s="89">
        <f>IF(E109="","",E109-F109)</f>
        <v/>
      </c>
      <c r="E109" s="89" t="inlineStr"/>
      <c r="F109" s="89" t="inlineStr"/>
      <c r="G109" s="90" t="inlineStr"/>
      <c r="H109" s="88" t="inlineStr"/>
      <c r="I109" s="89">
        <f>IF(J109="","",J109-K109)</f>
        <v/>
      </c>
      <c r="J109" s="89" t="inlineStr"/>
      <c r="K109" s="89" t="inlineStr"/>
      <c r="L109" s="90" t="inlineStr"/>
      <c r="M109" s="88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87" t="inlineStr">
        <is>
          <t>QLED</t>
        </is>
      </c>
      <c r="B110" s="87" t="inlineStr">
        <is>
          <t>43M80H</t>
        </is>
      </c>
      <c r="C110" s="88" t="inlineStr"/>
      <c r="D110" s="89">
        <f>IF(E110="","",E110-F110)</f>
        <v/>
      </c>
      <c r="E110" s="89" t="inlineStr"/>
      <c r="F110" s="89" t="inlineStr"/>
      <c r="G110" s="90" t="inlineStr"/>
      <c r="H110" s="88" t="inlineStr"/>
      <c r="I110" s="89">
        <f>IF(J110="","",J110-K110)</f>
        <v/>
      </c>
      <c r="J110" s="89" t="inlineStr"/>
      <c r="K110" s="89" t="inlineStr"/>
      <c r="L110" s="90" t="inlineStr"/>
      <c r="M110" s="88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87" t="inlineStr">
        <is>
          <t>QLED</t>
        </is>
      </c>
      <c r="B112" s="87" t="inlineStr">
        <is>
          <t>85M70H</t>
        </is>
      </c>
      <c r="C112" s="88" t="inlineStr">
        <is>
          <t>UE85M70H</t>
        </is>
      </c>
      <c r="D112" s="89">
        <f>IF(E112="","",E112-F112)</f>
        <v/>
      </c>
      <c r="E112" s="89" t="n">
        <v>2499</v>
      </c>
      <c r="F112" s="89" t="n">
        <v>0</v>
      </c>
      <c r="G112" s="90" t="inlineStr"/>
      <c r="H112" s="88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88" t="inlineStr"/>
      <c r="N112" s="89">
        <f>IF(O112="","",O112-P112)</f>
        <v/>
      </c>
      <c r="O112" s="89" t="inlineStr"/>
      <c r="P112" s="89" t="inlineStr"/>
      <c r="Q112" s="90" t="inlineStr"/>
    </row>
    <row r="113" ht="20" customHeight="1" s="55">
      <c r="A113" s="87" t="inlineStr">
        <is>
          <t>QLED</t>
        </is>
      </c>
      <c r="B113" s="87" t="inlineStr">
        <is>
          <t>75M70H</t>
        </is>
      </c>
      <c r="C113" s="88" t="inlineStr">
        <is>
          <t>UE75M70H</t>
        </is>
      </c>
      <c r="D113" s="89">
        <f>IF(E113="","",E113-F113)</f>
        <v/>
      </c>
      <c r="E113" s="89" t="n">
        <v>1999</v>
      </c>
      <c r="F113" s="89" t="n">
        <v>0</v>
      </c>
      <c r="G113" s="90" t="inlineStr"/>
      <c r="H113" s="88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88" t="inlineStr">
        <is>
          <t>UE75M70HAUXXN</t>
        </is>
      </c>
      <c r="N113" s="89">
        <f>IF(O113="","",O113-P113)</f>
        <v/>
      </c>
      <c r="O113" s="89" t="n">
        <v>1199</v>
      </c>
      <c r="P113" s="89" t="n">
        <v>0</v>
      </c>
      <c r="Q113" s="90" t="inlineStr"/>
    </row>
    <row r="114" ht="20" customHeight="1" s="55">
      <c r="A114" s="87" t="inlineStr">
        <is>
          <t>QLED</t>
        </is>
      </c>
      <c r="B114" s="87" t="inlineStr">
        <is>
          <t>65M70H</t>
        </is>
      </c>
      <c r="C114" s="88" t="inlineStr">
        <is>
          <t>UE65M70H</t>
        </is>
      </c>
      <c r="D114" s="89">
        <f>IF(E114="","",E114-F114)</f>
        <v/>
      </c>
      <c r="E114" s="89" t="n">
        <v>1399</v>
      </c>
      <c r="F114" s="89" t="n">
        <v>0</v>
      </c>
      <c r="G114" s="90" t="inlineStr"/>
      <c r="H114" s="88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88" t="inlineStr">
        <is>
          <t>UE65M70HAUXXN</t>
        </is>
      </c>
      <c r="N114" s="89">
        <f>IF(O114="","",O114-P114)</f>
        <v/>
      </c>
      <c r="O114" s="89" t="n">
        <v>799</v>
      </c>
      <c r="P114" s="89" t="n">
        <v>0</v>
      </c>
      <c r="Q114" s="90" t="inlineStr"/>
    </row>
    <row r="115" ht="20" customHeight="1" s="55">
      <c r="A115" s="87" t="inlineStr">
        <is>
          <t>QLED</t>
        </is>
      </c>
      <c r="B115" s="87" t="inlineStr">
        <is>
          <t>55M70H</t>
        </is>
      </c>
      <c r="C115" s="88" t="inlineStr">
        <is>
          <t>UE55M70H</t>
        </is>
      </c>
      <c r="D115" s="89">
        <f>IF(E115="","",E115-F115)</f>
        <v/>
      </c>
      <c r="E115" s="89" t="n">
        <v>1199</v>
      </c>
      <c r="F115" s="89" t="n">
        <v>0</v>
      </c>
      <c r="G115" s="90" t="inlineStr"/>
      <c r="H115" s="88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88" t="inlineStr">
        <is>
          <t>UE55M70HAUXXN</t>
        </is>
      </c>
      <c r="N115" s="89">
        <f>IF(O115="","",O115-P115)</f>
        <v/>
      </c>
      <c r="O115" s="89" t="n">
        <v>699</v>
      </c>
      <c r="P115" s="89" t="n">
        <v>0</v>
      </c>
      <c r="Q115" s="90" t="inlineStr"/>
    </row>
    <row r="116" ht="20" customHeight="1" s="55">
      <c r="A116" s="87" t="inlineStr">
        <is>
          <t>QLED</t>
        </is>
      </c>
      <c r="B116" s="87" t="inlineStr">
        <is>
          <t>50M70H</t>
        </is>
      </c>
      <c r="C116" s="88" t="inlineStr">
        <is>
          <t>UE50M70H</t>
        </is>
      </c>
      <c r="D116" s="89">
        <f>IF(E116="","",E116-F116)</f>
        <v/>
      </c>
      <c r="E116" s="89" t="n">
        <v>1099</v>
      </c>
      <c r="F116" s="89" t="n">
        <v>0</v>
      </c>
      <c r="G116" s="90" t="inlineStr"/>
      <c r="H116" s="88" t="inlineStr">
        <is>
          <t>UE50M70H</t>
        </is>
      </c>
      <c r="I116" s="89">
        <f>IF(J116="","",J116-K116)</f>
        <v/>
      </c>
      <c r="J116" s="89" t="n">
        <v>1099.95</v>
      </c>
      <c r="K116" s="89" t="n">
        <v>0</v>
      </c>
      <c r="L116" s="90" t="inlineStr"/>
      <c r="M116" s="88" t="inlineStr">
        <is>
          <t>UE50M70HAUXXN</t>
        </is>
      </c>
      <c r="N116" s="89">
        <f>IF(O116="","",O116-P116)</f>
        <v/>
      </c>
      <c r="O116" s="89" t="n">
        <v>599</v>
      </c>
      <c r="P116" s="89" t="n">
        <v>0</v>
      </c>
      <c r="Q116" s="90" t="inlineStr"/>
    </row>
    <row r="117" ht="20" customHeight="1" s="55">
      <c r="A117" s="87" t="inlineStr">
        <is>
          <t>QLED</t>
        </is>
      </c>
      <c r="B117" s="87" t="inlineStr">
        <is>
          <t>43M70H</t>
        </is>
      </c>
      <c r="C117" s="88" t="inlineStr">
        <is>
          <t>UE43M70H</t>
        </is>
      </c>
      <c r="D117" s="89">
        <f>IF(E117="","",E117-F117)</f>
        <v/>
      </c>
      <c r="E117" s="89" t="n">
        <v>999</v>
      </c>
      <c r="F117" s="89" t="n">
        <v>0</v>
      </c>
      <c r="G117" s="90" t="inlineStr"/>
      <c r="H117" s="88" t="inlineStr">
        <is>
          <t>UE43M70H</t>
        </is>
      </c>
      <c r="I117" s="89">
        <f>IF(J117="","",J117-K117)</f>
        <v/>
      </c>
      <c r="J117" s="89" t="n">
        <v>999.95</v>
      </c>
      <c r="K117" s="89" t="n">
        <v>0</v>
      </c>
      <c r="L117" s="90" t="inlineStr"/>
      <c r="M117" s="88" t="inlineStr">
        <is>
          <t>UE43M70HAUXXN</t>
        </is>
      </c>
      <c r="N117" s="89">
        <f>IF(O117="","",O117-P117)</f>
        <v/>
      </c>
      <c r="O117" s="89" t="n">
        <v>549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82" t="inlineStr">
        <is>
          <t>UHD 4K</t>
        </is>
      </c>
      <c r="B119" s="82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82" t="inlineStr">
        <is>
          <t>UHD 4K</t>
        </is>
      </c>
      <c r="B120" s="82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82" t="inlineStr">
        <is>
          <t>UHD 4K</t>
        </is>
      </c>
      <c r="B121" s="82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82" t="inlineStr">
        <is>
          <t>UHD 4K</t>
        </is>
      </c>
      <c r="B122" s="82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82" t="inlineStr">
        <is>
          <t>UHD 4K</t>
        </is>
      </c>
      <c r="B123" s="82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82" t="inlineStr">
        <is>
          <t>UHD 4K</t>
        </is>
      </c>
      <c r="B124" s="82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87" t="inlineStr">
        <is>
          <t>UHD 4K</t>
        </is>
      </c>
      <c r="B126" s="87" t="inlineStr">
        <is>
          <t>85U8000H</t>
        </is>
      </c>
      <c r="C126" s="88" t="inlineStr"/>
      <c r="D126" s="89">
        <f>IF(E126="","",E126-F126)</f>
        <v/>
      </c>
      <c r="E126" s="89" t="inlineStr"/>
      <c r="F126" s="89" t="inlineStr"/>
      <c r="G126" s="90" t="inlineStr"/>
      <c r="H126" s="88" t="inlineStr"/>
      <c r="I126" s="96">
        <f>IF(J126="","",J126-K126)</f>
        <v/>
      </c>
      <c r="J126" s="96" t="inlineStr"/>
      <c r="K126" s="96" t="inlineStr"/>
      <c r="L126" s="90" t="inlineStr"/>
      <c r="M126" s="88" t="inlineStr">
        <is>
          <t>UE85U8090HUXXN</t>
        </is>
      </c>
      <c r="N126" s="96">
        <f>IF(O126="","",O126-P126)</f>
        <v/>
      </c>
      <c r="O126" s="89" t="n">
        <v>1568</v>
      </c>
      <c r="P126" s="89" t="n">
        <v>0</v>
      </c>
      <c r="Q126" s="90" t="inlineStr"/>
    </row>
    <row r="127" ht="20" customHeight="1" s="55">
      <c r="A127" s="87" t="inlineStr">
        <is>
          <t>UHD 4K</t>
        </is>
      </c>
      <c r="B127" s="87" t="inlineStr">
        <is>
          <t>75U8000H</t>
        </is>
      </c>
      <c r="C127" s="88" t="inlineStr"/>
      <c r="D127" s="89">
        <f>IF(E127="","",E127-F127)</f>
        <v/>
      </c>
      <c r="E127" s="89" t="inlineStr"/>
      <c r="F127" s="89" t="inlineStr"/>
      <c r="G127" s="90" t="inlineStr"/>
      <c r="H127" s="88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88" t="inlineStr">
        <is>
          <t>UE75U8090HUXXN</t>
        </is>
      </c>
      <c r="N127" s="96">
        <f>IF(O127="","",O127-P127)</f>
        <v/>
      </c>
      <c r="O127" s="89" t="n">
        <v>1176</v>
      </c>
      <c r="P127" s="89" t="n">
        <v>0</v>
      </c>
      <c r="Q127" s="90" t="inlineStr"/>
    </row>
    <row r="128" ht="20" customHeight="1" s="55">
      <c r="A128" s="87" t="inlineStr">
        <is>
          <t>UHD 4K</t>
        </is>
      </c>
      <c r="B128" s="87" t="inlineStr">
        <is>
          <t>65U8000H</t>
        </is>
      </c>
      <c r="C128" s="88" t="inlineStr"/>
      <c r="D128" s="89">
        <f>IF(E128="","",E128-F128)</f>
        <v/>
      </c>
      <c r="E128" s="89" t="inlineStr"/>
      <c r="F128" s="89" t="inlineStr"/>
      <c r="G128" s="90" t="inlineStr"/>
      <c r="H128" s="88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88" t="inlineStr">
        <is>
          <t>UE65U8090HUXXN</t>
        </is>
      </c>
      <c r="N128" s="96">
        <f>IF(O128="","",O128-P128)</f>
        <v/>
      </c>
      <c r="O128" s="89" t="n">
        <v>799</v>
      </c>
      <c r="P128" s="89" t="n">
        <v>0</v>
      </c>
      <c r="Q128" s="90" t="inlineStr"/>
    </row>
    <row r="129" ht="20" customHeight="1" s="55">
      <c r="A129" s="87" t="inlineStr">
        <is>
          <t>UHD 4K</t>
        </is>
      </c>
      <c r="B129" s="87" t="inlineStr">
        <is>
          <t>55U8000H</t>
        </is>
      </c>
      <c r="C129" s="88" t="inlineStr">
        <is>
          <t>U8090H</t>
        </is>
      </c>
      <c r="D129" s="89">
        <f>IF(E129="","",E129-F129)</f>
        <v/>
      </c>
      <c r="E129" s="89" t="n">
        <v>699</v>
      </c>
      <c r="F129" s="89" t="n">
        <v>0</v>
      </c>
      <c r="G129" s="90" t="inlineStr"/>
      <c r="H129" s="88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88" t="inlineStr">
        <is>
          <t>UE55U8090HUXXN</t>
        </is>
      </c>
      <c r="N129" s="96">
        <f>IF(O129="","",O129-P129)</f>
        <v/>
      </c>
      <c r="O129" s="89" t="n">
        <v>679</v>
      </c>
      <c r="P129" s="89" t="n">
        <v>0</v>
      </c>
      <c r="Q129" s="90" t="inlineStr"/>
    </row>
    <row r="130" ht="20" customHeight="1" s="55">
      <c r="A130" s="87" t="inlineStr">
        <is>
          <t>UHD 4K</t>
        </is>
      </c>
      <c r="B130" s="87" t="inlineStr">
        <is>
          <t>50U8000H</t>
        </is>
      </c>
      <c r="C130" s="88" t="inlineStr"/>
      <c r="D130" s="89">
        <f>IF(E130="","",E130-F130)</f>
        <v/>
      </c>
      <c r="E130" s="89" t="inlineStr"/>
      <c r="F130" s="89" t="inlineStr"/>
      <c r="G130" s="90" t="inlineStr"/>
      <c r="H130" s="88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88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87" t="inlineStr">
        <is>
          <t>UHD 4K</t>
        </is>
      </c>
      <c r="B131" s="87" t="inlineStr">
        <is>
          <t>43U8000H</t>
        </is>
      </c>
      <c r="C131" s="88" t="inlineStr"/>
      <c r="D131" s="89">
        <f>IF(E131="","",E131-F131)</f>
        <v/>
      </c>
      <c r="E131" s="89" t="inlineStr"/>
      <c r="F131" s="89" t="inlineStr"/>
      <c r="G131" s="90" t="inlineStr"/>
      <c r="H131" s="88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88" t="inlineStr"/>
      <c r="N131" s="96">
        <f>IF(O131="","",O131-P131)</f>
        <v/>
      </c>
      <c r="O131" s="96" t="inlineStr"/>
      <c r="P131" s="96" t="inlineStr"/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02" t="inlineStr">
        <is>
          <t>Display</t>
        </is>
      </c>
      <c r="B133" s="102" t="inlineStr">
        <is>
          <t>Series</t>
        </is>
      </c>
      <c r="C133" s="102" t="inlineStr">
        <is>
          <t>VLOOKUP Summary</t>
        </is>
      </c>
      <c r="D133" s="102" t="n"/>
      <c r="E133" s="102" t="n"/>
      <c r="F133" s="102" t="n"/>
      <c r="G133" s="102" t="n"/>
      <c r="H133" s="102" t="n"/>
      <c r="I133" s="102" t="n"/>
      <c r="J133" s="102" t="n"/>
      <c r="K133" s="102" t="n"/>
      <c r="L133" s="102" t="n"/>
      <c r="M133" s="102" t="n"/>
      <c r="N133" s="102" t="n"/>
      <c r="O133" s="102" t="n"/>
      <c r="P133" s="102" t="n"/>
      <c r="Q133" s="102" t="n"/>
    </row>
    <row r="134" hidden="1" ht="20" customHeight="1" s="55">
      <c r="A134" s="82" t="inlineStr">
        <is>
          <t>OLED</t>
        </is>
      </c>
      <c r="B134" s="82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82" t="inlineStr">
        <is>
          <t>OLED</t>
        </is>
      </c>
      <c r="B135" s="82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82" t="inlineStr">
        <is>
          <t>OLED</t>
        </is>
      </c>
      <c r="B136" s="82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82" t="inlineStr">
        <is>
          <t>QNED</t>
        </is>
      </c>
      <c r="B137" s="82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82" t="inlineStr">
        <is>
          <t>QNED</t>
        </is>
      </c>
      <c r="B138" s="82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82" t="inlineStr">
        <is>
          <t>UHD 4K</t>
        </is>
      </c>
      <c r="B139" s="82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/>
    <row r="141" hidden="1" ht="20" customHeight="1" s="55">
      <c r="A141" s="82" t="inlineStr">
        <is>
          <t>OLED</t>
        </is>
      </c>
      <c r="B141" s="82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82" t="inlineStr">
        <is>
          <t>OLED</t>
        </is>
      </c>
      <c r="B142" s="82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82" t="inlineStr">
        <is>
          <t>OLED</t>
        </is>
      </c>
      <c r="B143" s="82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82" t="inlineStr">
        <is>
          <t>QNED</t>
        </is>
      </c>
      <c r="B144" s="82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82" t="inlineStr">
        <is>
          <t>QNED</t>
        </is>
      </c>
      <c r="B145" s="82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82" t="inlineStr">
        <is>
          <t>UHD 4K</t>
        </is>
      </c>
      <c r="B146" s="82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/>
    <row r="148" hidden="1" ht="20" customHeight="1" s="55">
      <c r="A148" s="82" t="inlineStr">
        <is>
          <t>OLED</t>
        </is>
      </c>
      <c r="B148" s="82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82" t="inlineStr">
        <is>
          <t>OLED</t>
        </is>
      </c>
      <c r="B149" s="82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82" t="inlineStr">
        <is>
          <t>OLED</t>
        </is>
      </c>
      <c r="B150" s="82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82" t="inlineStr">
        <is>
          <t>QNED</t>
        </is>
      </c>
      <c r="B151" s="82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82" t="inlineStr">
        <is>
          <t>QNED</t>
        </is>
      </c>
      <c r="B152" s="82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82" t="inlineStr">
        <is>
          <t>UHD 4K</t>
        </is>
      </c>
      <c r="B153" s="82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/>
    <row r="155" hidden="1" ht="20" customHeight="1" s="55">
      <c r="A155" s="87" t="inlineStr">
        <is>
          <t>OLED</t>
        </is>
      </c>
      <c r="B155" s="87" t="inlineStr">
        <is>
          <t>55S99H</t>
        </is>
      </c>
      <c r="C155" s="88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88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88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87" t="inlineStr">
        <is>
          <t>OLED</t>
        </is>
      </c>
      <c r="B156" s="87" t="inlineStr">
        <is>
          <t>55S95H</t>
        </is>
      </c>
      <c r="C156" s="88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88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88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87" t="inlineStr">
        <is>
          <t>OLED</t>
        </is>
      </c>
      <c r="B157" s="87" t="inlineStr">
        <is>
          <t>55S90H</t>
        </is>
      </c>
      <c r="C157" s="88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88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88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87" t="inlineStr">
        <is>
          <t>OLED</t>
        </is>
      </c>
      <c r="B158" s="87" t="inlineStr">
        <is>
          <t>55S85H</t>
        </is>
      </c>
      <c r="C158" s="88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88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88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87" t="inlineStr">
        <is>
          <t>QLED</t>
        </is>
      </c>
      <c r="B159" s="87" t="inlineStr">
        <is>
          <t>55QN70H</t>
        </is>
      </c>
      <c r="C159" s="88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88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88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87" t="inlineStr">
        <is>
          <t>QLED</t>
        </is>
      </c>
      <c r="B160" s="87" t="inlineStr">
        <is>
          <t>55Q8H</t>
        </is>
      </c>
      <c r="C160" s="88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88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88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87" t="inlineStr">
        <is>
          <t>QLED</t>
        </is>
      </c>
      <c r="B161" s="87" t="inlineStr">
        <is>
          <t>55Q7H</t>
        </is>
      </c>
      <c r="C161" s="88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88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88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87" t="inlineStr">
        <is>
          <t>UHD 4K</t>
        </is>
      </c>
      <c r="B162" s="87" t="inlineStr">
        <is>
          <t>55U8000H</t>
        </is>
      </c>
      <c r="C162" s="88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88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88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/>
    <row r="164" hidden="1" ht="20" customHeight="1" s="55">
      <c r="A164" s="87" t="inlineStr">
        <is>
          <t>OLED</t>
        </is>
      </c>
      <c r="B164" s="87" t="inlineStr">
        <is>
          <t>65S99H</t>
        </is>
      </c>
      <c r="C164" s="88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88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88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87" t="inlineStr">
        <is>
          <t>OLED</t>
        </is>
      </c>
      <c r="B165" s="87" t="inlineStr">
        <is>
          <t>65S95H</t>
        </is>
      </c>
      <c r="C165" s="88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88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88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87" t="inlineStr">
        <is>
          <t>OLED</t>
        </is>
      </c>
      <c r="B166" s="87" t="inlineStr">
        <is>
          <t>65S90H</t>
        </is>
      </c>
      <c r="C166" s="88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88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88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87" t="inlineStr">
        <is>
          <t>OLED</t>
        </is>
      </c>
      <c r="B167" s="87" t="inlineStr">
        <is>
          <t>65S85H</t>
        </is>
      </c>
      <c r="C167" s="88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88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88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87" t="inlineStr">
        <is>
          <t>QLED</t>
        </is>
      </c>
      <c r="B168" s="87" t="inlineStr">
        <is>
          <t>65QN70H</t>
        </is>
      </c>
      <c r="C168" s="88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88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88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87" t="inlineStr">
        <is>
          <t>QLED</t>
        </is>
      </c>
      <c r="B169" s="87" t="inlineStr">
        <is>
          <t>65Q8H</t>
        </is>
      </c>
      <c r="C169" s="88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88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88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87" t="inlineStr">
        <is>
          <t>QLED</t>
        </is>
      </c>
      <c r="B170" s="87" t="inlineStr">
        <is>
          <t>65Q7H</t>
        </is>
      </c>
      <c r="C170" s="88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88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88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87" t="inlineStr">
        <is>
          <t>UHD 4K</t>
        </is>
      </c>
      <c r="B171" s="87" t="inlineStr">
        <is>
          <t>65U8000H</t>
        </is>
      </c>
      <c r="C171" s="88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88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88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/>
    <row r="173" hidden="1" ht="20" customHeight="1" s="55">
      <c r="A173" s="87" t="inlineStr">
        <is>
          <t>OLED</t>
        </is>
      </c>
      <c r="B173" s="87" t="inlineStr">
        <is>
          <t>77S99H</t>
        </is>
      </c>
      <c r="C173" s="88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88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88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87" t="inlineStr">
        <is>
          <t>OLED</t>
        </is>
      </c>
      <c r="B174" s="87" t="inlineStr">
        <is>
          <t>77S95H</t>
        </is>
      </c>
      <c r="C174" s="88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88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88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87" t="inlineStr">
        <is>
          <t>OLED</t>
        </is>
      </c>
      <c r="B175" s="87" t="inlineStr">
        <is>
          <t>77S90H</t>
        </is>
      </c>
      <c r="C175" s="88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88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88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87" t="inlineStr">
        <is>
          <t>OLED</t>
        </is>
      </c>
      <c r="B176" s="87" t="inlineStr">
        <is>
          <t>77S85H</t>
        </is>
      </c>
      <c r="C176" s="88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88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88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87" t="inlineStr">
        <is>
          <t>QLED</t>
        </is>
      </c>
      <c r="B177" s="87" t="inlineStr">
        <is>
          <t>75QN70H</t>
        </is>
      </c>
      <c r="C177" s="88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88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88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87" t="inlineStr">
        <is>
          <t>QLED</t>
        </is>
      </c>
      <c r="B178" s="87" t="inlineStr">
        <is>
          <t>75Q8H</t>
        </is>
      </c>
      <c r="C178" s="88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88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88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87" t="inlineStr">
        <is>
          <t>QLED</t>
        </is>
      </c>
      <c r="B179" s="87" t="inlineStr">
        <is>
          <t>75Q7H</t>
        </is>
      </c>
      <c r="C179" s="88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88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88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87" t="inlineStr">
        <is>
          <t>UHD 4K</t>
        </is>
      </c>
      <c r="B180" s="87" t="inlineStr">
        <is>
          <t>75U8000H</t>
        </is>
      </c>
      <c r="C180" s="88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88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88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2026-07-09T08:46:52Z</dcterms:modified>
  <cp:lastModifiedBy>박대호/책임/TV유럽영업2팀</cp:lastModifiedBy>
</cp:coreProperties>
</file>