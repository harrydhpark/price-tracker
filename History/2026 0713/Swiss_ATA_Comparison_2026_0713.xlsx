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OLED83G58LW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OLED77G57LW</t>
        </is>
      </c>
      <c r="N5" s="84">
        <f>IF(O5="","",O5-P5)</f>
        <v/>
      </c>
      <c r="O5" s="84" t="n">
        <v>2799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1869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1599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1499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2199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1874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/>
      <c r="D11" s="84">
        <f>IF(E11="","",E11-F11)</f>
        <v/>
      </c>
      <c r="E11" s="84" t="inlineStr"/>
      <c r="F11" s="84" t="inlineStr"/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1279.95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1306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/>
      <c r="D12" s="84">
        <f>IF(E12="","",E12-F12)</f>
        <v/>
      </c>
      <c r="E12" s="84" t="inlineStr"/>
      <c r="F12" s="84" t="inlineStr"/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979.95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1000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/>
      <c r="D13" s="84">
        <f>IF(E13="","",E13-F13)</f>
        <v/>
      </c>
      <c r="E13" s="84" t="inlineStr"/>
      <c r="F13" s="84" t="inlineStr"/>
      <c r="G13" s="85">
        <f>IFERROR(D13/D7,"")</f>
        <v/>
      </c>
      <c r="H13" s="83" t="inlineStr">
        <is>
          <t>OLED48C58</t>
        </is>
      </c>
      <c r="I13" s="84">
        <f>IF(J13="","",J13-K13)</f>
        <v/>
      </c>
      <c r="J13" s="84" t="n">
        <v>849.95</v>
      </c>
      <c r="K13" s="84" t="n">
        <v>0</v>
      </c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729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1818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1502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1079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999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799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789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/>
      <c r="D20" s="84">
        <f>IF(E20="","",E20-F20)</f>
        <v/>
      </c>
      <c r="E20" s="84" t="inlineStr"/>
      <c r="F20" s="84" t="inlineStr"/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</t>
        </is>
      </c>
      <c r="D22" s="89">
        <f>IF(E22="","",E22-F22)</f>
        <v/>
      </c>
      <c r="E22" s="89" t="n">
        <v>5697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</t>
        </is>
      </c>
      <c r="D23" s="89">
        <f>IF(E23="","",E23-F23)</f>
        <v/>
      </c>
      <c r="E23" s="89" t="n">
        <v>4797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4125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</t>
        </is>
      </c>
      <c r="D24" s="89">
        <f>IF(E24="","",E24-F24)</f>
        <v/>
      </c>
      <c r="E24" s="89" t="n">
        <v>3347</v>
      </c>
      <c r="F24" s="89" t="n">
        <v>0</v>
      </c>
      <c r="G24" s="90" t="inlineStr"/>
      <c r="H24" s="125" t="inlineStr"/>
      <c r="I24" s="89">
        <f>IF(J24="","",J24-K24)</f>
        <v/>
      </c>
      <c r="J24" s="89" t="inlineStr"/>
      <c r="K24" s="89" t="inlineStr"/>
      <c r="L24" s="90" t="inlineStr"/>
      <c r="M24" s="125" t="inlineStr">
        <is>
          <t>QE65S95F</t>
        </is>
      </c>
      <c r="N24" s="89">
        <f>IF(O24="","",O24-P24)</f>
        <v/>
      </c>
      <c r="O24" s="89" t="n">
        <v>2500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</t>
        </is>
      </c>
      <c r="D25" s="89">
        <f>IF(E25="","",E25-F25)</f>
        <v/>
      </c>
      <c r="E25" s="89" t="n">
        <v>2587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1768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</t>
        </is>
      </c>
      <c r="D27" s="89">
        <f>IF(E27="","",E27-F27)</f>
        <v/>
      </c>
      <c r="E27" s="89" t="n">
        <v>2199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1999.95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</t>
        </is>
      </c>
      <c r="D28" s="89">
        <f>IF(E28="","",E28-F28)</f>
        <v/>
      </c>
      <c r="E28" s="89" t="n">
        <v>1799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QE65S90F</t>
        </is>
      </c>
      <c r="I29" s="89">
        <f>IF(J29="","",J29-K29)</f>
        <v/>
      </c>
      <c r="J29" s="89" t="n">
        <v>1299.95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/>
      <c r="D30" s="89">
        <f>IF(E30="","",E30-F30)</f>
        <v/>
      </c>
      <c r="E30" s="89" t="inlineStr"/>
      <c r="F30" s="89" t="inlineStr"/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>
        <is>
          <t>QE48S90FAE</t>
        </is>
      </c>
      <c r="N31" s="89">
        <f>IF(O31="","",O31-P31)</f>
        <v/>
      </c>
      <c r="O31" s="89" t="n">
        <v>793</v>
      </c>
      <c r="P31" s="89" t="n">
        <v>0</v>
      </c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</t>
        </is>
      </c>
      <c r="D32" s="89">
        <f>IF(E32="","",E32-F32)</f>
        <v/>
      </c>
      <c r="E32" s="89" t="n">
        <v>699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729.95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</t>
        </is>
      </c>
      <c r="D34" s="89">
        <f>IF(E34="","",E34-F34)</f>
        <v/>
      </c>
      <c r="E34" s="89" t="n">
        <v>3199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</t>
        </is>
      </c>
      <c r="D35" s="89">
        <f>IF(E35="","",E35-F35)</f>
        <v/>
      </c>
      <c r="E35" s="89" t="n">
        <v>3807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</t>
        </is>
      </c>
      <c r="D36" s="89">
        <f>IF(E36="","",E36-F36)</f>
        <v/>
      </c>
      <c r="E36" s="89" t="n">
        <v>1849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</t>
        </is>
      </c>
      <c r="D37" s="89">
        <f>IF(E37="","",E37-F37)</f>
        <v/>
      </c>
      <c r="E37" s="89" t="n">
        <v>1349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>
        <is>
          <t>86QNED86A6A</t>
        </is>
      </c>
      <c r="I40" s="84">
        <f>IF(J40="","",J40-K40)</f>
        <v/>
      </c>
      <c r="J40" s="84" t="n">
        <v>1299.95</v>
      </c>
      <c r="K40" s="84" t="n">
        <v>0</v>
      </c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55QNED85A3C</t>
        </is>
      </c>
      <c r="N43" s="84">
        <f>IF(O43="","",O43-P43)</f>
        <v/>
      </c>
      <c r="O43" s="84" t="n">
        <v>469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549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>
        <is>
          <t>86QNED80A6A</t>
        </is>
      </c>
      <c r="I47" s="84">
        <f>IF(J47="","",J47-K47)</f>
        <v/>
      </c>
      <c r="J47" s="84" t="n">
        <v>1099.95</v>
      </c>
      <c r="K47" s="84" t="n">
        <v>0</v>
      </c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500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379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399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>
        <is>
          <t>QE85QN80F</t>
        </is>
      </c>
      <c r="D54" s="95">
        <f>IF(E54="","",E54-F54)</f>
        <v/>
      </c>
      <c r="E54" s="89" t="n">
        <v>1799</v>
      </c>
      <c r="F54" s="89" t="n">
        <v>0</v>
      </c>
      <c r="G54" s="90" t="inlineStr"/>
      <c r="H54" s="125" t="inlineStr">
        <is>
          <t>QE85QN80F</t>
        </is>
      </c>
      <c r="I54" s="95">
        <f>IF(J54="","",J54-K54)</f>
        <v/>
      </c>
      <c r="J54" s="89" t="n">
        <v>1799.95</v>
      </c>
      <c r="K54" s="89" t="n">
        <v>0</v>
      </c>
      <c r="L54" s="90" t="inlineStr"/>
      <c r="M54" s="125" t="inlineStr"/>
      <c r="N54" s="95">
        <f>IF(O54="","",O54-P54)</f>
        <v/>
      </c>
      <c r="O54" s="96" t="inlineStr"/>
      <c r="P54" s="96" t="inlineStr"/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/>
      <c r="D55" s="95">
        <f>IF(E55="","",E55-F55)</f>
        <v/>
      </c>
      <c r="E55" s="89" t="inlineStr"/>
      <c r="F55" s="89" t="inlineStr"/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799.95</v>
      </c>
      <c r="K57" s="89" t="n">
        <v>0</v>
      </c>
      <c r="L57" s="90" t="inlineStr"/>
      <c r="M57" s="125" t="inlineStr"/>
      <c r="N57" s="95">
        <f>IF(O57="","",O57-P57)</f>
        <v/>
      </c>
      <c r="O57" s="96" t="inlineStr"/>
      <c r="P57" s="96" t="inlineStr"/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769.95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717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1599.95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</t>
        </is>
      </c>
      <c r="D61" s="89">
        <f>IF(E61="","",E61-F61)</f>
        <v/>
      </c>
      <c r="E61" s="89" t="n">
        <v>1878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799.95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</t>
        </is>
      </c>
      <c r="D66" s="89">
        <f>IF(E66="","",E66-F66)</f>
        <v/>
      </c>
      <c r="E66" s="89" t="n">
        <v>949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</t>
        </is>
      </c>
      <c r="D67" s="89">
        <f>IF(E67="","",E67-F67)</f>
        <v/>
      </c>
      <c r="E67" s="89" t="n">
        <v>769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</t>
        </is>
      </c>
      <c r="D68" s="89">
        <f>IF(E68="","",E68-F68)</f>
        <v/>
      </c>
      <c r="E68" s="89" t="n">
        <v>479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</t>
        </is>
      </c>
      <c r="D70" s="95">
        <f>IF(E70="","",E70-F70)</f>
        <v/>
      </c>
      <c r="E70" s="89" t="n">
        <v>449</v>
      </c>
      <c r="F70" s="89" t="n">
        <v>0</v>
      </c>
      <c r="G70" s="90" t="inlineStr"/>
      <c r="H70" s="125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1435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684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</t>
        </is>
      </c>
      <c r="D76" s="89">
        <f>IF(E76="","",E76-F76)</f>
        <v/>
      </c>
      <c r="E76" s="89" t="n">
        <v>639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584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478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/>
      <c r="N79" s="84">
        <f>IF(O79="","",O79-P79)</f>
        <v/>
      </c>
      <c r="O79" s="84" t="inlineStr"/>
      <c r="P79" s="84" t="inlineStr"/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599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449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338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375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269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/>
      <c r="D87" s="89">
        <f>IF(E87="","",E87-F87)</f>
        <v/>
      </c>
      <c r="E87" s="89" t="inlineStr"/>
      <c r="F87" s="89" t="inlineStr"/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/>
      <c r="N87" s="89">
        <f>IF(O87="","",O87-P87)</f>
        <v/>
      </c>
      <c r="O87" s="89" t="inlineStr"/>
      <c r="P87" s="89" t="inlineStr"/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U8000F</t>
        </is>
      </c>
      <c r="D88" s="89">
        <f>IF(E88="","",E88-F88)</f>
        <v/>
      </c>
      <c r="E88" s="89" t="n">
        <v>579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605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444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>
        <is>
          <t>UE50U8000F</t>
        </is>
      </c>
      <c r="I90" s="89">
        <f>IF(J90="","",J90-K90)</f>
        <v/>
      </c>
      <c r="J90" s="89" t="n">
        <v>399.95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/>
      <c r="N10" s="84">
        <f>IF(O10="","",O10-P10)</f>
        <v/>
      </c>
      <c r="O10" s="84" t="inlineStr"/>
      <c r="P10" s="84" t="inlineStr"/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1199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/>
      <c r="D20" s="84">
        <f>IF(E20="","",E20-F20)</f>
        <v/>
      </c>
      <c r="E20" s="84" t="inlineStr"/>
      <c r="F20" s="84" t="inlineStr"/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5266.05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4067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3269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/>
      <c r="N25" s="89">
        <f>IF(O25="","",O25-P25)</f>
        <v/>
      </c>
      <c r="O25" s="89" t="inlineStr"/>
      <c r="P25" s="89" t="inlineStr"/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/>
      <c r="I29" s="109">
        <f>IF(J29="","",J29-K29)</f>
        <v/>
      </c>
      <c r="J29" s="89" t="inlineStr"/>
      <c r="K29" s="89" t="inlineStr"/>
      <c r="L29" s="90" t="inlineStr"/>
      <c r="M29" s="125" t="inlineStr"/>
      <c r="N29" s="89">
        <f>IF(O29="","",O29-P29)</f>
        <v/>
      </c>
      <c r="O29" s="89" t="inlineStr"/>
      <c r="P29" s="89" t="inlineStr"/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/>
      <c r="N30" s="95">
        <f>IF(O30="","",O30-P30)</f>
        <v/>
      </c>
      <c r="O30" s="96" t="inlineStr"/>
      <c r="P30" s="96" t="inlineStr"/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4999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4684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3499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3359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2599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2518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1799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1764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1599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4800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3294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2419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1633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1369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/>
      <c r="D48" s="89">
        <f>IF(E48="","",E48-F48)</f>
        <v/>
      </c>
      <c r="E48" s="89" t="inlineStr"/>
      <c r="F48" s="89" t="inlineStr"/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/>
      <c r="D49" s="89">
        <f>IF(E49="","",E49-F49)</f>
        <v/>
      </c>
      <c r="E49" s="89" t="inlineStr"/>
      <c r="F49" s="89" t="inlineStr"/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1999.95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/>
      <c r="D50" s="95">
        <f>IF(E50="","",E50-F50)</f>
        <v/>
      </c>
      <c r="E50" s="96" t="inlineStr"/>
      <c r="F50" s="96" t="inlineStr"/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/>
      <c r="D51" s="89">
        <f>IF(E51="","",E51-F51)</f>
        <v/>
      </c>
      <c r="E51" s="89" t="inlineStr"/>
      <c r="F51" s="89" t="inlineStr"/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/>
      <c r="D52" s="89">
        <f>IF(E52="","",E52-F52)</f>
        <v/>
      </c>
      <c r="E52" s="89" t="inlineStr"/>
      <c r="F52" s="89" t="inlineStr"/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999.95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>
        <is>
          <t>65QNED86B</t>
        </is>
      </c>
      <c r="I60" s="103">
        <f>IF(J60="","",J60-K60)</f>
        <v/>
      </c>
      <c r="J60" s="84" t="n">
        <v>1899.95</v>
      </c>
      <c r="K60" s="84" t="n">
        <v>0</v>
      </c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/>
      <c r="I61" s="84">
        <f>IF(J61="","",J61-K61)</f>
        <v/>
      </c>
      <c r="J61" s="84" t="inlineStr"/>
      <c r="K61" s="84" t="inlineStr"/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/>
      <c r="D64" s="84">
        <f>IF(E64="","",E64-F64)</f>
        <v/>
      </c>
      <c r="E64" s="84" t="inlineStr"/>
      <c r="F64" s="84" t="inlineStr"/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/>
      <c r="D74" s="84">
        <f>IF(E74="","",E74-F74)</f>
        <v/>
      </c>
      <c r="E74" s="84" t="inlineStr"/>
      <c r="F74" s="84" t="inlineStr"/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842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577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399.95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452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397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355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5252</v>
      </c>
      <c r="K80" s="89" t="n">
        <v>0</v>
      </c>
      <c r="L80" s="90" t="inlineStr"/>
      <c r="M80" s="125" t="inlineStr"/>
      <c r="N80" s="89">
        <f>IF(O80="","",O80-P80)</f>
        <v/>
      </c>
      <c r="O80" s="89" t="inlineStr"/>
      <c r="P80" s="89" t="inlineStr"/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/>
      <c r="N81" s="89">
        <f>IF(O81="","",O81-P81)</f>
        <v/>
      </c>
      <c r="O81" s="89" t="inlineStr"/>
      <c r="P81" s="89" t="inlineStr"/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/>
      <c r="N82" s="95">
        <f>IF(O82="","",O82-P82)</f>
        <v/>
      </c>
      <c r="O82" s="89" t="inlineStr"/>
      <c r="P82" s="89" t="inlineStr"/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4499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3919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2999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2399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2499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1919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1699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1500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2842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2399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1799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1679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1499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1389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1299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1229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2499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/>
      <c r="N112" s="89">
        <f>IF(O112="","",O112-P112)</f>
        <v/>
      </c>
      <c r="O112" s="89" t="inlineStr"/>
      <c r="P112" s="89" t="inlineStr"/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1999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1399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799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1199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1099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549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1537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1176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799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>
        <is>
          <t>U8090H</t>
        </is>
      </c>
      <c r="D129" s="89">
        <f>IF(E129="","",E129-F129)</f>
        <v/>
      </c>
      <c r="E129" s="89" t="n">
        <v>699</v>
      </c>
      <c r="F129" s="89" t="n">
        <v>0</v>
      </c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659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/>
      <c r="N131" s="96">
        <f>IF(O131="","",O131-P131)</f>
        <v/>
      </c>
      <c r="O131" s="96" t="inlineStr"/>
      <c r="P131" s="96" t="inlineStr"/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2026-07-12T23:51:59Z</dcterms:modified>
  <cp:lastModifiedBy>박대호/책임/TV유럽영업2팀</cp:lastModifiedBy>
</cp:coreProperties>
</file>