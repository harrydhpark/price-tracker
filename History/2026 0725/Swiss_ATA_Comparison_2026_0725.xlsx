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3899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2699.95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OLED65G59LS</t>
        </is>
      </c>
      <c r="D6" s="84">
        <f>IF(E6="","",E6-F6)</f>
        <v/>
      </c>
      <c r="E6" s="84" t="n">
        <v>1749</v>
      </c>
      <c r="F6" s="84" t="n">
        <v>0</v>
      </c>
      <c r="G6" s="85">
        <f>IFERROR(D6/D6,"")</f>
        <v/>
      </c>
      <c r="H6" s="83" t="inlineStr">
        <is>
          <t>OLED65G57LW</t>
        </is>
      </c>
      <c r="I6" s="84">
        <f>IF(J6="","",J6-K6)</f>
        <v/>
      </c>
      <c r="J6" s="84" t="n">
        <v>1799.95</v>
      </c>
      <c r="K6" s="84" t="n">
        <v>0</v>
      </c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1749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OLED55G57LW</t>
        </is>
      </c>
      <c r="D7" s="84">
        <f>IF(E7="","",E7-F7)</f>
        <v/>
      </c>
      <c r="E7" s="84" t="n">
        <v>1499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1449.95</v>
      </c>
      <c r="K7" s="84" t="n">
        <v>0</v>
      </c>
      <c r="L7" s="85">
        <f>IFERROR(I7/I7,"")</f>
        <v/>
      </c>
      <c r="M7" s="83" t="inlineStr">
        <is>
          <t>OLED55G58LW</t>
        </is>
      </c>
      <c r="N7" s="84">
        <f>IF(O7="","",O7-P7)</f>
        <v/>
      </c>
      <c r="O7" s="84" t="n">
        <v>1379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2299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2199.95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1999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/>
      <c r="D10" s="84">
        <f>IF(E10="","",E10-F10)</f>
        <v/>
      </c>
      <c r="E10" s="84" t="inlineStr"/>
      <c r="F10" s="84" t="inlineStr"/>
      <c r="G10" s="85">
        <f>IFERROR(D10/D5,"")</f>
        <v/>
      </c>
      <c r="H10" s="83" t="inlineStr">
        <is>
          <t>OLED77C58LA</t>
        </is>
      </c>
      <c r="I10" s="84">
        <f>IF(J10="","",J10-K10)</f>
        <v/>
      </c>
      <c r="J10" s="84" t="n">
        <v>1879.95</v>
      </c>
      <c r="K10" s="84" t="n">
        <v>0</v>
      </c>
      <c r="L10" s="85">
        <f>IFERROR(I10/I5,"")</f>
        <v/>
      </c>
      <c r="M10" s="83" t="inlineStr">
        <is>
          <t>OLED77C57LA</t>
        </is>
      </c>
      <c r="N10" s="84">
        <f>IF(O10="","",O10-P10)</f>
        <v/>
      </c>
      <c r="O10" s="84" t="n">
        <v>1859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1249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1249.95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/>
      <c r="D12" s="84">
        <f>IF(E12="","",E12-F12)</f>
        <v/>
      </c>
      <c r="E12" s="84" t="inlineStr"/>
      <c r="F12" s="84" t="inlineStr"/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949.95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969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819</v>
      </c>
      <c r="F13" s="84" t="n">
        <v>0</v>
      </c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679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699.95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1889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1819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OLED77B56LA</t>
        </is>
      </c>
      <c r="N17" s="84">
        <f>IF(O17="","",O17-P17)</f>
        <v/>
      </c>
      <c r="O17" s="84" t="n">
        <v>1450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1171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OLED55B59LA</t>
        </is>
      </c>
      <c r="N19" s="84">
        <f>IF(O19="","",O19-P19)</f>
        <v/>
      </c>
      <c r="O19" s="84" t="n">
        <v>780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689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OLED48B59LA</t>
        </is>
      </c>
      <c r="N20" s="84">
        <f>IF(O20="","",O20-P20)</f>
        <v/>
      </c>
      <c r="O20" s="84" t="n">
        <v>649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5706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3949.95</v>
      </c>
      <c r="K22" s="89" t="n">
        <v>0</v>
      </c>
      <c r="L22" s="90" t="inlineStr"/>
      <c r="M22" s="125" t="inlineStr">
        <is>
          <t>QE83S95F</t>
        </is>
      </c>
      <c r="N22" s="89">
        <f>IF(O22="","",O22-P22)</f>
        <v/>
      </c>
      <c r="O22" s="89" t="n">
        <v>3999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4799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2949.95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5052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3356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1999.95</v>
      </c>
      <c r="K24" s="89" t="n">
        <v>0</v>
      </c>
      <c r="L24" s="90" t="inlineStr"/>
      <c r="M24" s="125" t="inlineStr">
        <is>
          <t>QE65S95F</t>
        </is>
      </c>
      <c r="N24" s="89">
        <f>IF(O24="","",O24-P24)</f>
        <v/>
      </c>
      <c r="O24" s="89" t="n">
        <v>1999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2595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1599.95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2608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2217</v>
      </c>
      <c r="F27" s="89" t="n">
        <v>0</v>
      </c>
      <c r="G27" s="90" t="inlineStr"/>
      <c r="H27" s="125" t="inlineStr">
        <is>
          <t>QE83S90FAEXZU</t>
        </is>
      </c>
      <c r="I27" s="89">
        <f>IF(J27="","",J27-K27)</f>
        <v/>
      </c>
      <c r="J27" s="89" t="n">
        <v>2949.95</v>
      </c>
      <c r="K27" s="89" t="n">
        <v>0</v>
      </c>
      <c r="L27" s="90" t="inlineStr"/>
      <c r="M27" s="125" t="inlineStr">
        <is>
          <t>QE83S90FAE</t>
        </is>
      </c>
      <c r="N27" s="89">
        <f>IF(O27="","",O27-P27)</f>
        <v/>
      </c>
      <c r="O27" s="89" t="n">
        <v>2199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1749</v>
      </c>
      <c r="F28" s="89" t="n">
        <v>0</v>
      </c>
      <c r="G28" s="90" t="inlineStr"/>
      <c r="H28" s="125" t="inlineStr">
        <is>
          <t>QE77S90FAEXZU</t>
        </is>
      </c>
      <c r="I28" s="89">
        <f>IF(J28="","",J28-K28)</f>
        <v/>
      </c>
      <c r="J28" s="89" t="n">
        <v>1799.95</v>
      </c>
      <c r="K28" s="89" t="n">
        <v>0</v>
      </c>
      <c r="L28" s="90" t="inlineStr"/>
      <c r="M28" s="125" t="inlineStr">
        <is>
          <t>QE77S90FAE</t>
        </is>
      </c>
      <c r="N28" s="89">
        <f>IF(O28="","",O28-P28)</f>
        <v/>
      </c>
      <c r="O28" s="89" t="n">
        <v>1779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1279</v>
      </c>
      <c r="F29" s="89" t="n">
        <v>0</v>
      </c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889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959.95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999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849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729.95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729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>
        <is>
          <t>QE83S85FAEXZU</t>
        </is>
      </c>
      <c r="I34" s="89">
        <f>IF(J34="","",J34-K34)</f>
        <v/>
      </c>
      <c r="J34" s="89" t="n">
        <v>1899.95</v>
      </c>
      <c r="K34" s="89" t="n">
        <v>0</v>
      </c>
      <c r="L34" s="90" t="inlineStr"/>
      <c r="M34" s="125" t="inlineStr">
        <is>
          <t>QE83S85F</t>
        </is>
      </c>
      <c r="N34" s="89">
        <f>IF(O34="","",O34-P34)</f>
        <v/>
      </c>
      <c r="O34" s="89" t="n">
        <v>1999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3807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1624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1338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2799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2782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>
        <is>
          <t>75QNED86A6A</t>
        </is>
      </c>
      <c r="D41" s="84">
        <f>IF(E41="","",E41-F41)</f>
        <v/>
      </c>
      <c r="E41" s="84" t="n">
        <v>1069</v>
      </c>
      <c r="F41" s="84" t="n">
        <v>0</v>
      </c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>
        <is>
          <t>75QNED86A6A</t>
        </is>
      </c>
      <c r="N41" s="84">
        <f>IF(O41="","",O41-P41)</f>
        <v/>
      </c>
      <c r="O41" s="84" t="n">
        <v>899</v>
      </c>
      <c r="P41" s="84" t="n">
        <v>0</v>
      </c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739</v>
      </c>
      <c r="F42" s="84" t="n">
        <v>0</v>
      </c>
      <c r="G42" s="85">
        <f>IFERROR(D42/D6,"")</f>
        <v/>
      </c>
      <c r="H42" s="83" t="inlineStr"/>
      <c r="I42" s="84">
        <f>IF(J42="","",J42-K42)</f>
        <v/>
      </c>
      <c r="J42" s="84" t="inlineStr"/>
      <c r="K42" s="84" t="inlineStr"/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599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499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899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599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666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499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449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409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399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379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379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1659.95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2281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/>
      <c r="D55" s="95">
        <f>IF(E55="","",E55-F55)</f>
        <v/>
      </c>
      <c r="E55" s="89" t="inlineStr"/>
      <c r="F55" s="89" t="inlineStr"/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>
        <is>
          <t>QE75QN80FAU</t>
        </is>
      </c>
      <c r="N55" s="95">
        <f>IF(O55="","",O55-P55)</f>
        <v/>
      </c>
      <c r="O55" s="96" t="n">
        <v>2143</v>
      </c>
      <c r="P55" s="96" t="n">
        <v>0</v>
      </c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>
        <is>
          <t>QE65QN80FAU</t>
        </is>
      </c>
      <c r="D56" s="95">
        <f>IF(E56="","",E56-F56)</f>
        <v/>
      </c>
      <c r="E56" s="89" t="n">
        <v>879</v>
      </c>
      <c r="F56" s="89" t="n">
        <v>0</v>
      </c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999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QE55QN80FAU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759.95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1034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919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709.95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715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1369.95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999.95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999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719.95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812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599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/>
      <c r="D65" s="89">
        <f>IF(E65="","",E65-F65)</f>
        <v/>
      </c>
      <c r="E65" s="89" t="inlineStr"/>
      <c r="F65" s="89" t="inlineStr"/>
      <c r="G65" s="90" t="inlineStr"/>
      <c r="H65" s="125" t="inlineStr">
        <is>
          <t>QE85Q8F</t>
        </is>
      </c>
      <c r="I65" s="89">
        <f>IF(J65="","",J65-K65)</f>
        <v/>
      </c>
      <c r="J65" s="89" t="n">
        <v>1499.95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1116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949.95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899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669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679.95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699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459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479.95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389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QE43Q8FAAU</t>
        </is>
      </c>
      <c r="D70" s="95">
        <f>IF(E70="","",E70-F70)</f>
        <v/>
      </c>
      <c r="E70" s="89" t="n">
        <v>399</v>
      </c>
      <c r="F70" s="89" t="n">
        <v>0</v>
      </c>
      <c r="G70" s="90" t="inlineStr"/>
      <c r="H70" s="125" t="inlineStr">
        <is>
          <t>QE43Q8FAAUXXN</t>
        </is>
      </c>
      <c r="I70" s="95">
        <f>IF(J70="","",J70-K70)</f>
        <v/>
      </c>
      <c r="J70" s="89" t="n">
        <v>379.95</v>
      </c>
      <c r="K70" s="89" t="n">
        <v>0</v>
      </c>
      <c r="L70" s="90" t="inlineStr"/>
      <c r="M70" s="125" t="inlineStr">
        <is>
          <t>QE43Q8FAAU</t>
        </is>
      </c>
      <c r="N70" s="95">
        <f>IF(O70="","",O70-P70)</f>
        <v/>
      </c>
      <c r="O70" s="89" t="n">
        <v>329</v>
      </c>
      <c r="P70" s="89" t="n">
        <v>0</v>
      </c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2407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1292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QE75Q7FAAU</t>
        </is>
      </c>
      <c r="N73" s="89">
        <f>IF(O73="","",O73-P73)</f>
        <v/>
      </c>
      <c r="O73" s="89" t="n">
        <v>899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QE65Q7FAAU</t>
        </is>
      </c>
      <c r="N74" s="89">
        <f>IF(O74="","",O74-P74)</f>
        <v/>
      </c>
      <c r="O74" s="89" t="n">
        <v>706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>
        <is>
          <t>QE55Q7FAAU</t>
        </is>
      </c>
      <c r="N75" s="89">
        <f>IF(O75="","",O75-P75)</f>
        <v/>
      </c>
      <c r="O75" s="89" t="n">
        <v>456</v>
      </c>
      <c r="P75" s="89" t="n">
        <v>0</v>
      </c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788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439.95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584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560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999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799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449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340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320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43UA73003LA</t>
        </is>
      </c>
      <c r="N84" s="84">
        <f>IF(O84="","",O84-P84)</f>
        <v/>
      </c>
      <c r="O84" s="84" t="n">
        <v>299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999.95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1079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746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669.95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706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/>
      <c r="D88" s="89">
        <f>IF(E88="","",E88-F88)</f>
        <v/>
      </c>
      <c r="E88" s="89" t="inlineStr"/>
      <c r="F88" s="89" t="inlineStr"/>
      <c r="G88" s="90" t="inlineStr"/>
      <c r="H88" s="125" t="inlineStr">
        <is>
          <t>UE65U8000F</t>
        </is>
      </c>
      <c r="I88" s="89">
        <f>IF(J88="","",J88-K88)</f>
        <v/>
      </c>
      <c r="J88" s="89" t="n">
        <v>539.95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597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459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369.95</v>
      </c>
      <c r="K89" s="89" t="n">
        <v>0</v>
      </c>
      <c r="L89" s="90" t="inlineStr"/>
      <c r="M89" s="125" t="inlineStr">
        <is>
          <t>UE55U8000F</t>
        </is>
      </c>
      <c r="N89" s="89">
        <f>IF(O89="","",O89-P89)</f>
        <v/>
      </c>
      <c r="O89" s="89" t="n">
        <v>581</v>
      </c>
      <c r="P89" s="89" t="n">
        <v>0</v>
      </c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/>
      <c r="D90" s="89">
        <f>IF(E90="","",E90-F90)</f>
        <v/>
      </c>
      <c r="E90" s="89" t="inlineStr"/>
      <c r="F90" s="89" t="inlineStr"/>
      <c r="G90" s="90" t="inlineStr"/>
      <c r="H90" s="125" t="inlineStr">
        <is>
          <t>UE50U8000F</t>
        </is>
      </c>
      <c r="I90" s="89">
        <f>IF(J90="","",J90-K90)</f>
        <v/>
      </c>
      <c r="J90" s="89" t="n">
        <v>379.95</v>
      </c>
      <c r="K90" s="89" t="n">
        <v>0</v>
      </c>
      <c r="L90" s="90" t="inlineStr"/>
      <c r="M90" s="125" t="inlineStr">
        <is>
          <t>UE50U8000F</t>
        </is>
      </c>
      <c r="N90" s="89">
        <f>IF(O90="","",O90-P90)</f>
        <v/>
      </c>
      <c r="O90" s="89" t="n">
        <v>466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/>
      <c r="D91" s="89">
        <f>IF(E91="","",E91-F91)</f>
        <v/>
      </c>
      <c r="E91" s="89" t="inlineStr"/>
      <c r="F91" s="89" t="inlineStr"/>
      <c r="G91" s="90" t="inlineStr"/>
      <c r="H91" s="125" t="inlineStr">
        <is>
          <t>UE43U8000FUXXN</t>
        </is>
      </c>
      <c r="I91" s="89">
        <f>IF(J91="","",J91-K91)</f>
        <v/>
      </c>
      <c r="J91" s="89" t="n">
        <v>349.95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OLED65G69LS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4499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4499.95</v>
      </c>
      <c r="K9" s="84" t="n">
        <v>0</v>
      </c>
      <c r="L9" s="85">
        <f>IFERROR(I9/I4,"")</f>
        <v/>
      </c>
      <c r="M9" s="83" t="inlineStr">
        <is>
          <t>OLED83C6ELB</t>
        </is>
      </c>
      <c r="N9" s="103">
        <f>IF(O9="","",O9-P9)</f>
        <v/>
      </c>
      <c r="O9" s="84" t="n">
        <v>4499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3499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3499.95</v>
      </c>
      <c r="K10" s="84" t="n">
        <v>0</v>
      </c>
      <c r="L10" s="85">
        <f>IFERROR(I10/I5,"")</f>
        <v/>
      </c>
      <c r="M10" s="83" t="inlineStr">
        <is>
          <t>OLED77C6ELB</t>
        </is>
      </c>
      <c r="N10" s="84">
        <f>IF(O10="","",O10-P10)</f>
        <v/>
      </c>
      <c r="O10" s="84" t="n">
        <v>3499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2599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2599.95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2599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1799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OLED55C6ELB</t>
        </is>
      </c>
      <c r="N12" s="84">
        <f>IF(O12="","",O12-P12)</f>
        <v/>
      </c>
      <c r="O12" s="84" t="n">
        <v>1799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1599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OLED48C6ELB</t>
        </is>
      </c>
      <c r="N13" s="84">
        <f>IF(O13="","",O13-P13)</f>
        <v/>
      </c>
      <c r="O13" s="84" t="n">
        <v>1599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1499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OLED42C6ELB</t>
        </is>
      </c>
      <c r="N14" s="84">
        <f>IF(O14="","",O14-P14)</f>
        <v/>
      </c>
      <c r="O14" s="84" t="n">
        <v>1499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3699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2999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2399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2399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1599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1399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5266.05</v>
      </c>
      <c r="K22" s="89" t="n">
        <v>0</v>
      </c>
      <c r="L22" s="90" t="inlineStr"/>
      <c r="M22" s="125" t="inlineStr">
        <is>
          <t>QE83S99HAEXZU</t>
        </is>
      </c>
      <c r="N22" s="89">
        <f>IF(O22="","",O22-P22)</f>
        <v/>
      </c>
      <c r="O22" s="89" t="n">
        <v>5266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4499.95</v>
      </c>
      <c r="K23" s="89" t="n">
        <v>0</v>
      </c>
      <c r="L23" s="90" t="inlineStr"/>
      <c r="M23" s="125" t="inlineStr">
        <is>
          <t>QE77S99HATXZU</t>
        </is>
      </c>
      <c r="N23" s="89">
        <f>IF(O23="","",O23-P23)</f>
        <v/>
      </c>
      <c r="O23" s="89" t="n">
        <v>4548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3279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2499.95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2405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>
        <is>
          <t>QE77S95HFTXZU</t>
        </is>
      </c>
      <c r="N28" s="89">
        <f>IF(O28="","",O28-P28)</f>
        <v/>
      </c>
      <c r="O28" s="89" t="n">
        <v>4541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3499.95</v>
      </c>
      <c r="K29" s="89" t="n">
        <v>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3279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>
        <is>
          <t>QE55S95HFTXZU</t>
        </is>
      </c>
      <c r="I30" s="110">
        <f>IF(J30="","",J30-K30)</f>
        <v/>
      </c>
      <c r="J30" s="89" t="n">
        <v>2405</v>
      </c>
      <c r="K30" s="89" t="n">
        <v>0</v>
      </c>
      <c r="L30" s="90" t="inlineStr"/>
      <c r="M30" s="125" t="inlineStr">
        <is>
          <t>QE55S95HFTXZU</t>
        </is>
      </c>
      <c r="N30" s="95">
        <f>IF(O30="","",O30-P30)</f>
        <v/>
      </c>
      <c r="O30" s="96" t="n">
        <v>2405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4197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4999.95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4157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3236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3499.95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3205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2373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2599.95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2343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1729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1799.95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1729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1539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1529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1499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1499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4799.95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4611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3299.95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3122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2499.95</v>
      </c>
      <c r="K41" s="89" t="n">
        <v>0</v>
      </c>
      <c r="L41" s="90" t="inlineStr"/>
      <c r="M41" s="125" t="inlineStr">
        <is>
          <t>QE65S85HAEXZU</t>
        </is>
      </c>
      <c r="N41" s="89">
        <f>IF(O41="","",O41-P41)</f>
        <v/>
      </c>
      <c r="O41" s="89" t="n">
        <v>2246</v>
      </c>
      <c r="P41" s="89" t="n">
        <v>0</v>
      </c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/>
      <c r="N42" s="89">
        <f>IF(O42="","",O42-P42)</f>
        <v/>
      </c>
      <c r="O42" s="89" t="inlineStr"/>
      <c r="P42" s="89" t="inlineStr"/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1339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4999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2999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/>
      <c r="N48" s="89">
        <f>IF(O48="","",O48-P48)</f>
        <v/>
      </c>
      <c r="O48" s="89" t="inlineStr"/>
      <c r="P48" s="89" t="inlineStr"/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1999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2399.95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1399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/>
      <c r="N50" s="95">
        <f>IF(O50="","",O50-P50)</f>
        <v/>
      </c>
      <c r="O50" s="96" t="inlineStr"/>
      <c r="P50" s="96" t="inlineStr"/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1199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/>
      <c r="N51" s="89">
        <f>IF(O51="","",O51-P51)</f>
        <v/>
      </c>
      <c r="O51" s="89" t="inlineStr"/>
      <c r="P51" s="89" t="inlineStr"/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949</v>
      </c>
      <c r="F52" s="89" t="n">
        <v>0</v>
      </c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1099.95</v>
      </c>
      <c r="K52" s="89" t="n">
        <v>0</v>
      </c>
      <c r="L52" s="90">
        <f>IFERROR(I52/I7,"")</f>
        <v/>
      </c>
      <c r="M52" s="88" t="inlineStr"/>
      <c r="N52" s="89">
        <f>IF(O52="","",O52-P52)</f>
        <v/>
      </c>
      <c r="O52" s="89" t="inlineStr"/>
      <c r="P52" s="89" t="inlineStr"/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/>
      <c r="D59" s="84">
        <f>IF(E59="","",E59-F59)</f>
        <v/>
      </c>
      <c r="E59" s="84" t="inlineStr"/>
      <c r="F59" s="84" t="inlineStr"/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1849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1099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1099.95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999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999.95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/>
      <c r="D64" s="84">
        <f>IF(E64="","",E64-F64)</f>
        <v/>
      </c>
      <c r="E64" s="84" t="inlineStr"/>
      <c r="F64" s="84" t="inlineStr"/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699.95</v>
      </c>
      <c r="K64" s="84" t="n">
        <v>0</v>
      </c>
      <c r="L64" s="85">
        <f>IFERROR(I64/I7,"")</f>
        <v/>
      </c>
      <c r="M64" s="83" t="inlineStr"/>
      <c r="N64" s="84">
        <f>IF(O64="","",O64-P64)</f>
        <v/>
      </c>
      <c r="O64" s="84" t="inlineStr"/>
      <c r="P64" s="84" t="inlineStr"/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/>
      <c r="D74" s="84">
        <f>IF(E74="","",E74-F74)</f>
        <v/>
      </c>
      <c r="E74" s="84" t="inlineStr"/>
      <c r="F74" s="84" t="inlineStr"/>
      <c r="G74" s="85">
        <f>IFERROR(D74/D5,"")</f>
        <v/>
      </c>
      <c r="H74" s="83" t="inlineStr">
        <is>
          <t>75QNED7EB</t>
        </is>
      </c>
      <c r="I74" s="84">
        <f>IF(J74="","",J74-K74)</f>
        <v/>
      </c>
      <c r="J74" s="84" t="n">
        <v>699.95</v>
      </c>
      <c r="K74" s="84" t="n">
        <v>0</v>
      </c>
      <c r="L74" s="85">
        <f>IFERROR(I74/I5,"")</f>
        <v/>
      </c>
      <c r="M74" s="83" t="inlineStr">
        <is>
          <t>75QNED7EB3A</t>
        </is>
      </c>
      <c r="N74" s="84">
        <f>IF(O74="","",O74-P74)</f>
        <v/>
      </c>
      <c r="O74" s="84" t="n">
        <v>890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65QNED7EB</t>
        </is>
      </c>
      <c r="I75" s="84">
        <f>IF(J75="","",J75-K75)</f>
        <v/>
      </c>
      <c r="J75" s="84" t="n">
        <v>499.95</v>
      </c>
      <c r="K75" s="84" t="n">
        <v>0</v>
      </c>
      <c r="L75" s="85">
        <f>IFERROR(I75/I6,"")</f>
        <v/>
      </c>
      <c r="M75" s="83" t="inlineStr">
        <is>
          <t>65QNED7EB3C</t>
        </is>
      </c>
      <c r="N75" s="84">
        <f>IF(O75="","",O75-P75)</f>
        <v/>
      </c>
      <c r="O75" s="84" t="n">
        <v>584</v>
      </c>
      <c r="P75" s="84" t="n">
        <v>0</v>
      </c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55QNED72B</t>
        </is>
      </c>
      <c r="I76" s="103">
        <f>IF(J76="","",J76-K76)</f>
        <v/>
      </c>
      <c r="J76" s="84" t="n">
        <v>1199.95</v>
      </c>
      <c r="K76" s="84" t="n">
        <v>0</v>
      </c>
      <c r="L76" s="85">
        <f>IFERROR(I76/I7,"")</f>
        <v/>
      </c>
      <c r="M76" s="83" t="inlineStr">
        <is>
          <t>55QNED7EB3C</t>
        </is>
      </c>
      <c r="N76" s="103">
        <f>IF(O76="","",O76-P76)</f>
        <v/>
      </c>
      <c r="O76" s="84" t="n">
        <v>449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50QNED7EB</t>
        </is>
      </c>
      <c r="I77" s="84">
        <f>IF(J77="","",J77-K77)</f>
        <v/>
      </c>
      <c r="J77" s="84" t="n">
        <v>349.95</v>
      </c>
      <c r="K77" s="84" t="n">
        <v>0</v>
      </c>
      <c r="L77" s="85">
        <f>IFERROR(I77/I7,"")</f>
        <v/>
      </c>
      <c r="M77" s="83" t="inlineStr">
        <is>
          <t>50QNED7EB3C</t>
        </is>
      </c>
      <c r="N77" s="84">
        <f>IF(O77="","",O77-P77)</f>
        <v/>
      </c>
      <c r="O77" s="84" t="n">
        <v>376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43QNED7EB</t>
        </is>
      </c>
      <c r="I78" s="84">
        <f>IF(J78="","",J78-K78)</f>
        <v/>
      </c>
      <c r="J78" s="84" t="n">
        <v>329.95</v>
      </c>
      <c r="K78" s="84" t="n">
        <v>0</v>
      </c>
      <c r="L78" s="85">
        <f>IFERROR(I78/I7,"")</f>
        <v/>
      </c>
      <c r="M78" s="83" t="inlineStr">
        <is>
          <t>43QNED7EB3C</t>
        </is>
      </c>
      <c r="N78" s="84">
        <f>IF(O78="","",O78-P78)</f>
        <v/>
      </c>
      <c r="O78" s="84" t="n">
        <v>325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>
        <is>
          <t>MRE85R95HATXZU</t>
        </is>
      </c>
      <c r="I80" s="89">
        <f>IF(J80="","",J80-K80)</f>
        <v/>
      </c>
      <c r="J80" s="89" t="n">
        <v>5266.05</v>
      </c>
      <c r="K80" s="89" t="n">
        <v>0</v>
      </c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5266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4283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3322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3476</v>
      </c>
      <c r="F85" s="89" t="n">
        <v>0</v>
      </c>
      <c r="G85" s="90" t="inlineStr"/>
      <c r="H85" s="125" t="inlineStr">
        <is>
          <t>MRE85R85H</t>
        </is>
      </c>
      <c r="I85" s="89">
        <f>IF(J85="","",J85-K85)</f>
        <v/>
      </c>
      <c r="J85" s="89" t="n">
        <v>3999.95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3441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2394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2499.95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2392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1914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1999.95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1912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1500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1499.95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1498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4799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2999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2999.95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2786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2499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2499.95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2349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1546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1799.95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1525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1264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1499.95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1245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1089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1299.95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1069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1300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1299.95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1328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1888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1999.95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1196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1329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1399.95</v>
      </c>
      <c r="K114" s="89" t="n">
        <v>0</v>
      </c>
      <c r="L114" s="90" t="inlineStr"/>
      <c r="M114" s="125" t="inlineStr">
        <is>
          <t>UE65M70HAUXXN</t>
        </is>
      </c>
      <c r="N114" s="89">
        <f>IF(O114="","",O114-P114)</f>
        <v/>
      </c>
      <c r="O114" s="89" t="n">
        <v>796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679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899.95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671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1098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1099.95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599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999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999.95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549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1507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1199.95</v>
      </c>
      <c r="K127" s="89" t="n">
        <v>0</v>
      </c>
      <c r="L127" s="90" t="inlineStr"/>
      <c r="M127" s="125" t="inlineStr">
        <is>
          <t>UE75U8090HUXXN</t>
        </is>
      </c>
      <c r="N127" s="96">
        <f>IF(O127="","",O127-P127)</f>
        <v/>
      </c>
      <c r="O127" s="89" t="n">
        <v>1144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/>
      <c r="D128" s="89">
        <f>IF(E128="","",E128-F128)</f>
        <v/>
      </c>
      <c r="E128" s="89" t="inlineStr"/>
      <c r="F128" s="89" t="inlineStr"/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799.95</v>
      </c>
      <c r="K128" s="89" t="n">
        <v>0</v>
      </c>
      <c r="L128" s="90" t="inlineStr"/>
      <c r="M128" s="125" t="inlineStr">
        <is>
          <t>UE65U8090HUXXN</t>
        </is>
      </c>
      <c r="N128" s="96">
        <f>IF(O128="","",O128-P128)</f>
        <v/>
      </c>
      <c r="O128" s="89" t="n">
        <v>776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699.95</v>
      </c>
      <c r="K129" s="89" t="n">
        <v>0</v>
      </c>
      <c r="L129" s="90" t="inlineStr"/>
      <c r="M129" s="125" t="inlineStr">
        <is>
          <t>UE55U8090HUXXN</t>
        </is>
      </c>
      <c r="N129" s="96">
        <f>IF(O129="","",O129-P129)</f>
        <v/>
      </c>
      <c r="O129" s="89" t="n">
        <v>643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>
        <is>
          <t>U8090H</t>
        </is>
      </c>
      <c r="D130" s="89">
        <f>IF(E130="","",E130-F130)</f>
        <v/>
      </c>
      <c r="E130" s="89" t="n">
        <v>579</v>
      </c>
      <c r="F130" s="89" t="n">
        <v>0</v>
      </c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579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/>
      <c r="D131" s="89">
        <f>IF(E131="","",E131-F131)</f>
        <v/>
      </c>
      <c r="E131" s="89" t="inlineStr"/>
      <c r="F131" s="89" t="inlineStr"/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>
        <is>
          <t>UE43U8090HUXXN</t>
        </is>
      </c>
      <c r="N131" s="96">
        <f>IF(O131="","",O131-P131)</f>
        <v/>
      </c>
      <c r="O131" s="96" t="n">
        <v>509</v>
      </c>
      <c r="P131" s="96" t="n">
        <v>0</v>
      </c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2026-07-25T13:46:34Z</dcterms:modified>
  <cp:lastModifiedBy>박대호/책임/TV유럽영업2팀</cp:lastModifiedBy>
</cp:coreProperties>
</file>