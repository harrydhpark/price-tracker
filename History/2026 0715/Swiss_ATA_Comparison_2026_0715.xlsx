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3899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OLED83G58LW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2699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2699.95</v>
      </c>
      <c r="K5" s="84" t="n">
        <v>0</v>
      </c>
      <c r="L5" s="85">
        <f>IFERROR(I5/I5,"")</f>
        <v/>
      </c>
      <c r="M5" s="83" t="inlineStr">
        <is>
          <t>OLED77G58LW</t>
        </is>
      </c>
      <c r="N5" s="84">
        <f>IF(O5="","",O5-P5)</f>
        <v/>
      </c>
      <c r="O5" s="84" t="n">
        <v>2999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OLED65G57LW</t>
        </is>
      </c>
      <c r="D6" s="84">
        <f>IF(E6="","",E6-F6)</f>
        <v/>
      </c>
      <c r="E6" s="84" t="n">
        <v>1869</v>
      </c>
      <c r="F6" s="84" t="n">
        <v>0</v>
      </c>
      <c r="G6" s="85">
        <f>IFERROR(D6/D6,"")</f>
        <v/>
      </c>
      <c r="H6" s="83" t="inlineStr">
        <is>
          <t>OLED65G57LW</t>
        </is>
      </c>
      <c r="I6" s="84">
        <f>IF(J6="","",J6-K6)</f>
        <v/>
      </c>
      <c r="J6" s="84" t="n">
        <v>1799.95</v>
      </c>
      <c r="K6" s="84" t="n">
        <v>0</v>
      </c>
      <c r="L6" s="85">
        <f>IFERROR(I6/I6,"")</f>
        <v/>
      </c>
      <c r="M6" s="83" t="inlineStr">
        <is>
          <t>OLED65G59LS</t>
        </is>
      </c>
      <c r="N6" s="84">
        <f>IF(O6="","",O6-P6)</f>
        <v/>
      </c>
      <c r="O6" s="84" t="n">
        <v>1599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OLED55G59LS</t>
        </is>
      </c>
      <c r="D7" s="84">
        <f>IF(E7="","",E7-F7)</f>
        <v/>
      </c>
      <c r="E7" s="84" t="n">
        <v>1469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1449.95</v>
      </c>
      <c r="K7" s="84" t="n">
        <v>0</v>
      </c>
      <c r="L7" s="85">
        <f>IFERROR(I7/I7,"")</f>
        <v/>
      </c>
      <c r="M7" s="83" t="inlineStr">
        <is>
          <t>OLED55G58LW</t>
        </is>
      </c>
      <c r="N7" s="84">
        <f>IF(O7="","",O7-P7)</f>
        <v/>
      </c>
      <c r="O7" s="84" t="n">
        <v>1379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2299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2499.95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2249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>
        <is>
          <t>OLED77C57LA</t>
        </is>
      </c>
      <c r="D10" s="84">
        <f>IF(E10="","",E10-F10)</f>
        <v/>
      </c>
      <c r="E10" s="84" t="n">
        <v>1879</v>
      </c>
      <c r="F10" s="84" t="n">
        <v>0</v>
      </c>
      <c r="G10" s="85">
        <f>IFERROR(D10/D5,"")</f>
        <v/>
      </c>
      <c r="H10" s="83" t="inlineStr">
        <is>
          <t>OLED77C58LA</t>
        </is>
      </c>
      <c r="I10" s="84">
        <f>IF(J10="","",J10-K10)</f>
        <v/>
      </c>
      <c r="J10" s="84" t="n">
        <v>1879.95</v>
      </c>
      <c r="K10" s="84" t="n">
        <v>0</v>
      </c>
      <c r="L10" s="85">
        <f>IFERROR(I10/I5,"")</f>
        <v/>
      </c>
      <c r="M10" s="83" t="inlineStr">
        <is>
          <t>OLED77C57LA</t>
        </is>
      </c>
      <c r="N10" s="84">
        <f>IF(O10="","",O10-P10)</f>
        <v/>
      </c>
      <c r="O10" s="84" t="n">
        <v>1879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1249</v>
      </c>
      <c r="F11" s="84" t="n">
        <v>0</v>
      </c>
      <c r="G11" s="85">
        <f>IFERROR(D11/D6,"")</f>
        <v/>
      </c>
      <c r="H11" s="83" t="inlineStr">
        <is>
          <t>OLED65C58LA</t>
        </is>
      </c>
      <c r="I11" s="84">
        <f>IF(J11="","",J11-K11)</f>
        <v/>
      </c>
      <c r="J11" s="84" t="n">
        <v>1279.95</v>
      </c>
      <c r="K11" s="84" t="n">
        <v>0</v>
      </c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/>
      <c r="D12" s="84">
        <f>IF(E12="","",E12-F12)</f>
        <v/>
      </c>
      <c r="E12" s="84" t="inlineStr"/>
      <c r="F12" s="84" t="inlineStr"/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979.95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969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/>
      <c r="D13" s="84">
        <f>IF(E13="","",E13-F13)</f>
        <v/>
      </c>
      <c r="E13" s="84" t="inlineStr"/>
      <c r="F13" s="84" t="inlineStr"/>
      <c r="G13" s="85">
        <f>IFERROR(D13/D7,"")</f>
        <v/>
      </c>
      <c r="H13" s="83" t="inlineStr">
        <is>
          <t>OLED48C58</t>
        </is>
      </c>
      <c r="I13" s="84">
        <f>IF(J13="","",J13-K13)</f>
        <v/>
      </c>
      <c r="J13" s="84" t="n">
        <v>849.95</v>
      </c>
      <c r="K13" s="84" t="n">
        <v>0</v>
      </c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839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/>
      <c r="D14" s="84">
        <f>IF(E14="","",E14-F14)</f>
        <v/>
      </c>
      <c r="E14" s="84" t="inlineStr"/>
      <c r="F14" s="84" t="inlineStr"/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729.95</v>
      </c>
      <c r="K14" s="84" t="n">
        <v>0</v>
      </c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1849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1899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OLED77B56LA</t>
        </is>
      </c>
      <c r="N17" s="84">
        <f>IF(O17="","",O17-P17)</f>
        <v/>
      </c>
      <c r="O17" s="84" t="n">
        <v>1506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>
        <is>
          <t>OLED65B59LA</t>
        </is>
      </c>
      <c r="D18" s="84">
        <f>IF(E18="","",E18-F18)</f>
        <v/>
      </c>
      <c r="E18" s="84" t="n">
        <v>999</v>
      </c>
      <c r="F18" s="84" t="n">
        <v>0</v>
      </c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1079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/>
      <c r="D19" s="84">
        <f>IF(E19="","",E19-F19)</f>
        <v/>
      </c>
      <c r="E19" s="84" t="inlineStr"/>
      <c r="F19" s="84" t="inlineStr"/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OLED55B59LA</t>
        </is>
      </c>
      <c r="N19" s="84">
        <f>IF(O19="","",O19-P19)</f>
        <v/>
      </c>
      <c r="O19" s="84" t="n">
        <v>789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/>
      <c r="D20" s="84">
        <f>IF(E20="","",E20-F20)</f>
        <v/>
      </c>
      <c r="E20" s="84" t="inlineStr"/>
      <c r="F20" s="84" t="inlineStr"/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OLED48B59LA</t>
        </is>
      </c>
      <c r="N20" s="84">
        <f>IF(O20="","",O20-P20)</f>
        <v/>
      </c>
      <c r="O20" s="84" t="n">
        <v>649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5697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4499.95</v>
      </c>
      <c r="K22" s="89" t="n">
        <v>0</v>
      </c>
      <c r="L22" s="90" t="inlineStr"/>
      <c r="M22" s="125" t="inlineStr">
        <is>
          <t>QE83S95F</t>
        </is>
      </c>
      <c r="N22" s="89">
        <f>IF(O22="","",O22-P22)</f>
        <v/>
      </c>
      <c r="O22" s="89" t="n">
        <v>4500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4797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3499.95</v>
      </c>
      <c r="K23" s="89" t="n">
        <v>0</v>
      </c>
      <c r="L23" s="90" t="inlineStr"/>
      <c r="M23" s="125" t="inlineStr">
        <is>
          <t>QE77S95F</t>
        </is>
      </c>
      <c r="N23" s="89">
        <f>IF(O23="","",O23-P23)</f>
        <v/>
      </c>
      <c r="O23" s="89" t="n">
        <v>3500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3347</v>
      </c>
      <c r="F24" s="89" t="n">
        <v>0</v>
      </c>
      <c r="G24" s="90" t="inlineStr"/>
      <c r="H24" s="125" t="inlineStr"/>
      <c r="I24" s="89">
        <f>IF(J24="","",J24-K24)</f>
        <v/>
      </c>
      <c r="J24" s="89" t="inlineStr"/>
      <c r="K24" s="89" t="inlineStr"/>
      <c r="L24" s="90" t="inlineStr"/>
      <c r="M24" s="125" t="inlineStr">
        <is>
          <t>QE65S95F</t>
        </is>
      </c>
      <c r="N24" s="89">
        <f>IF(O24="","",O24-P24)</f>
        <v/>
      </c>
      <c r="O24" s="89" t="n">
        <v>2500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2587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1999.95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2608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2199</v>
      </c>
      <c r="F27" s="89" t="n">
        <v>0</v>
      </c>
      <c r="G27" s="90" t="inlineStr"/>
      <c r="H27" s="125" t="inlineStr">
        <is>
          <t>QE83S90FAEXZU</t>
        </is>
      </c>
      <c r="I27" s="89">
        <f>IF(J27="","",J27-K27)</f>
        <v/>
      </c>
      <c r="J27" s="89" t="n">
        <v>1999.95</v>
      </c>
      <c r="K27" s="89" t="n">
        <v>0</v>
      </c>
      <c r="L27" s="90" t="inlineStr"/>
      <c r="M27" s="125" t="inlineStr">
        <is>
          <t>QE83S90FAE</t>
        </is>
      </c>
      <c r="N27" s="89">
        <f>IF(O27="","",O27-P27)</f>
        <v/>
      </c>
      <c r="O27" s="89" t="n">
        <v>2199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>
        <is>
          <t>QE77S90FAEXZU</t>
        </is>
      </c>
      <c r="I28" s="89">
        <f>IF(J28="","",J28-K28)</f>
        <v/>
      </c>
      <c r="J28" s="89" t="n">
        <v>1799.95</v>
      </c>
      <c r="K28" s="89" t="n">
        <v>0</v>
      </c>
      <c r="L28" s="90" t="inlineStr"/>
      <c r="M28" s="125" t="inlineStr">
        <is>
          <t>QE77S90FAE</t>
        </is>
      </c>
      <c r="N28" s="89">
        <f>IF(O28="","",O28-P28)</f>
        <v/>
      </c>
      <c r="O28" s="89" t="n">
        <v>1779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QE65S90F</t>
        </is>
      </c>
      <c r="I29" s="89">
        <f>IF(J29="","",J29-K29)</f>
        <v/>
      </c>
      <c r="J29" s="89" t="n">
        <v>1299.95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1279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/>
      <c r="D30" s="89">
        <f>IF(E30="","",E30-F30)</f>
        <v/>
      </c>
      <c r="E30" s="89" t="inlineStr"/>
      <c r="F30" s="89" t="inlineStr"/>
      <c r="G30" s="90" t="inlineStr"/>
      <c r="H30" s="125" t="inlineStr">
        <is>
          <t>QE55S90FAEXZU</t>
        </is>
      </c>
      <c r="I30" s="89">
        <f>IF(J30="","",J30-K30)</f>
        <v/>
      </c>
      <c r="J30" s="89" t="n">
        <v>899.95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999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699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729.95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729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3197</v>
      </c>
      <c r="F34" s="89" t="n">
        <v>0</v>
      </c>
      <c r="G34" s="90" t="inlineStr"/>
      <c r="H34" s="125" t="inlineStr">
        <is>
          <t>QE83S85FAEXZU</t>
        </is>
      </c>
      <c r="I34" s="89">
        <f>IF(J34="","",J34-K34)</f>
        <v/>
      </c>
      <c r="J34" s="89" t="n">
        <v>1899.95</v>
      </c>
      <c r="K34" s="89" t="n">
        <v>0</v>
      </c>
      <c r="L34" s="90" t="inlineStr"/>
      <c r="M34" s="125" t="inlineStr">
        <is>
          <t>QE83S85F</t>
        </is>
      </c>
      <c r="N34" s="89">
        <f>IF(O34="","",O34-P34)</f>
        <v/>
      </c>
      <c r="O34" s="89" t="n">
        <v>1999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3807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1847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QE55S85FAU</t>
        </is>
      </c>
      <c r="D37" s="89">
        <f>IF(E37="","",E37-F37)</f>
        <v/>
      </c>
      <c r="E37" s="89" t="n">
        <v>1347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2799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2299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>
        <is>
          <t>86QNED86A6A</t>
        </is>
      </c>
      <c r="I40" s="84">
        <f>IF(J40="","",J40-K40)</f>
        <v/>
      </c>
      <c r="J40" s="84" t="n">
        <v>699.95</v>
      </c>
      <c r="K40" s="84" t="n">
        <v>0</v>
      </c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1279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/>
      <c r="N41" s="84">
        <f>IF(O41="","",O41-P41)</f>
        <v/>
      </c>
      <c r="O41" s="84" t="inlineStr"/>
      <c r="P41" s="84" t="inlineStr"/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739</v>
      </c>
      <c r="F42" s="84" t="n">
        <v>0</v>
      </c>
      <c r="G42" s="85">
        <f>IFERROR(D42/D6,"")</f>
        <v/>
      </c>
      <c r="H42" s="83" t="inlineStr">
        <is>
          <t>65QNED86A6A</t>
        </is>
      </c>
      <c r="I42" s="84">
        <f>IF(J42="","",J42-K42)</f>
        <v/>
      </c>
      <c r="J42" s="84" t="n">
        <v>699.95</v>
      </c>
      <c r="K42" s="84" t="n">
        <v>0</v>
      </c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749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55QNED85A3C</t>
        </is>
      </c>
      <c r="N43" s="84">
        <f>IF(O43="","",O43-P43)</f>
        <v/>
      </c>
      <c r="O43" s="84" t="n">
        <v>469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499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>
        <is>
          <t>86QNED80A6A</t>
        </is>
      </c>
      <c r="I47" s="84">
        <f>IF(J47="","",J47-K47)</f>
        <v/>
      </c>
      <c r="J47" s="84" t="n">
        <v>699.95</v>
      </c>
      <c r="K47" s="84" t="n">
        <v>0</v>
      </c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1111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75QNED80A6A</t>
        </is>
      </c>
      <c r="N48" s="84">
        <f>IF(O48="","",O48-P48)</f>
        <v/>
      </c>
      <c r="O48" s="84" t="n">
        <v>899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599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666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499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479.95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475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379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399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379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379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>
        <is>
          <t>QE85QN80FAU</t>
        </is>
      </c>
      <c r="D54" s="95">
        <f>IF(E54="","",E54-F54)</f>
        <v/>
      </c>
      <c r="E54" s="89" t="n">
        <v>1799</v>
      </c>
      <c r="F54" s="89" t="n">
        <v>0</v>
      </c>
      <c r="G54" s="90" t="inlineStr"/>
      <c r="H54" s="125" t="inlineStr">
        <is>
          <t>QE85QN80F</t>
        </is>
      </c>
      <c r="I54" s="95">
        <f>IF(J54="","",J54-K54)</f>
        <v/>
      </c>
      <c r="J54" s="89" t="n">
        <v>1799.95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2729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/>
      <c r="D55" s="95">
        <f>IF(E55="","",E55-F55)</f>
        <v/>
      </c>
      <c r="E55" s="89" t="inlineStr"/>
      <c r="F55" s="89" t="inlineStr"/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/>
      <c r="N55" s="95">
        <f>IF(O55="","",O55-P55)</f>
        <v/>
      </c>
      <c r="O55" s="96" t="inlineStr"/>
      <c r="P55" s="96" t="inlineStr"/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/>
      <c r="D56" s="95">
        <f>IF(E56="","",E56-F56)</f>
        <v/>
      </c>
      <c r="E56" s="89" t="inlineStr"/>
      <c r="F56" s="89" t="inlineStr"/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999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/>
      <c r="D57" s="95">
        <f>IF(E57="","",E57-F57)</f>
        <v/>
      </c>
      <c r="E57" s="89" t="inlineStr"/>
      <c r="F57" s="89" t="inlineStr"/>
      <c r="G57" s="90" t="inlineStr"/>
      <c r="H57" s="125" t="inlineStr">
        <is>
          <t>QE55QN80F</t>
        </is>
      </c>
      <c r="I57" s="95">
        <f>IF(J57="","",J57-K57)</f>
        <v/>
      </c>
      <c r="J57" s="89" t="n">
        <v>799.95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1325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>
        <is>
          <t>QE50QN80FAU</t>
        </is>
      </c>
      <c r="D58" s="95">
        <f>IF(E58="","",E58-F58)</f>
        <v/>
      </c>
      <c r="E58" s="89" t="n">
        <v>699</v>
      </c>
      <c r="F58" s="89" t="n">
        <v>0</v>
      </c>
      <c r="G58" s="90" t="inlineStr"/>
      <c r="H58" s="125" t="inlineStr">
        <is>
          <t>QE50QN80F</t>
        </is>
      </c>
      <c r="I58" s="95">
        <f>IF(J58="","",J58-K58)</f>
        <v/>
      </c>
      <c r="J58" s="89" t="n">
        <v>769.95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717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1599.95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1449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1878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999.95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999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799.95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749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599.95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599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/>
      <c r="D65" s="89">
        <f>IF(E65="","",E65-F65)</f>
        <v/>
      </c>
      <c r="E65" s="89" t="inlineStr"/>
      <c r="F65" s="89" t="inlineStr"/>
      <c r="G65" s="90" t="inlineStr"/>
      <c r="H65" s="125" t="inlineStr">
        <is>
          <t>QE85Q8F</t>
        </is>
      </c>
      <c r="I65" s="89">
        <f>IF(J65="","",J65-K65)</f>
        <v/>
      </c>
      <c r="J65" s="89" t="n">
        <v>1299.95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1299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949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949.95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899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713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679.95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699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479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469.95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/>
      <c r="D69" s="89">
        <f>IF(E69="","",E69-F69)</f>
        <v/>
      </c>
      <c r="E69" s="89" t="inlineStr"/>
      <c r="F69" s="89" t="inlineStr"/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>
        <is>
          <t>QE50Q8FAAU</t>
        </is>
      </c>
      <c r="N69" s="89">
        <f>IF(O69="","",O69-P69)</f>
        <v/>
      </c>
      <c r="O69" s="89" t="n">
        <v>389</v>
      </c>
      <c r="P69" s="89" t="n">
        <v>0</v>
      </c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>
        <is>
          <t>QE43Q8FAAU</t>
        </is>
      </c>
      <c r="D70" s="95">
        <f>IF(E70="","",E70-F70)</f>
        <v/>
      </c>
      <c r="E70" s="89" t="n">
        <v>449</v>
      </c>
      <c r="F70" s="89" t="n">
        <v>0</v>
      </c>
      <c r="G70" s="90" t="inlineStr"/>
      <c r="H70" s="125" t="inlineStr">
        <is>
          <t>QE43Q8FAAUXXN</t>
        </is>
      </c>
      <c r="I70" s="95">
        <f>IF(J70="","",J70-K70)</f>
        <v/>
      </c>
      <c r="J70" s="89" t="n">
        <v>449.95</v>
      </c>
      <c r="K70" s="89" t="n">
        <v>0</v>
      </c>
      <c r="L70" s="90" t="inlineStr"/>
      <c r="M70" s="125" t="inlineStr">
        <is>
          <t>QE43Q8FAAU</t>
        </is>
      </c>
      <c r="N70" s="95">
        <f>IF(O70="","",O70-P70)</f>
        <v/>
      </c>
      <c r="O70" s="89" t="n">
        <v>329</v>
      </c>
      <c r="P70" s="89" t="n">
        <v>0</v>
      </c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2407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1435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QE75Q7FAAU</t>
        </is>
      </c>
      <c r="N73" s="89">
        <f>IF(O73="","",O73-P73)</f>
        <v/>
      </c>
      <c r="O73" s="89" t="n">
        <v>899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QE65Q7FAAU</t>
        </is>
      </c>
      <c r="N74" s="89">
        <f>IF(O74="","",O74-P74)</f>
        <v/>
      </c>
      <c r="O74" s="89" t="n">
        <v>1013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>
        <is>
          <t>QE55Q7FAAU</t>
        </is>
      </c>
      <c r="N75" s="89">
        <f>IF(O75="","",O75-P75)</f>
        <v/>
      </c>
      <c r="O75" s="89" t="n">
        <v>857</v>
      </c>
      <c r="P75" s="89" t="n">
        <v>0</v>
      </c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QE50Q7FAAU</t>
        </is>
      </c>
      <c r="D76" s="89">
        <f>IF(E76="","",E76-F76)</f>
        <v/>
      </c>
      <c r="E76" s="89" t="n">
        <v>997</v>
      </c>
      <c r="F76" s="89" t="n">
        <v>0</v>
      </c>
      <c r="G76" s="90" t="inlineStr"/>
      <c r="H76" s="125" t="inlineStr">
        <is>
          <t>QE50Q7F</t>
        </is>
      </c>
      <c r="I76" s="89">
        <f>IF(J76="","",J76-K76)</f>
        <v/>
      </c>
      <c r="J76" s="89" t="n">
        <v>499.95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584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478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1403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690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449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339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321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43UA73003LA</t>
        </is>
      </c>
      <c r="N84" s="84">
        <f>IF(O84="","",O84-P84)</f>
        <v/>
      </c>
      <c r="O84" s="84" t="n">
        <v>276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999.95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1099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UE75U8000FU</t>
        </is>
      </c>
      <c r="D87" s="89">
        <f>IF(E87="","",E87-F87)</f>
        <v/>
      </c>
      <c r="E87" s="89" t="n">
        <v>847</v>
      </c>
      <c r="F87" s="89" t="n">
        <v>0</v>
      </c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699.95</v>
      </c>
      <c r="K87" s="89" t="n">
        <v>0</v>
      </c>
      <c r="L87" s="90" t="inlineStr"/>
      <c r="M87" s="125" t="inlineStr">
        <is>
          <t>UE75U8000F</t>
        </is>
      </c>
      <c r="N87" s="89">
        <f>IF(O87="","",O87-P87)</f>
        <v/>
      </c>
      <c r="O87" s="89" t="n">
        <v>1049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>
        <is>
          <t>UE65U8000FU</t>
        </is>
      </c>
      <c r="D88" s="89">
        <f>IF(E88="","",E88-F88)</f>
        <v/>
      </c>
      <c r="E88" s="89" t="n">
        <v>579</v>
      </c>
      <c r="F88" s="89" t="n">
        <v>0</v>
      </c>
      <c r="G88" s="90" t="inlineStr"/>
      <c r="H88" s="125" t="inlineStr">
        <is>
          <t>UE65U8000F</t>
        </is>
      </c>
      <c r="I88" s="89">
        <f>IF(J88="","",J88-K88)</f>
        <v/>
      </c>
      <c r="J88" s="89" t="n">
        <v>569.95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605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459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449.95</v>
      </c>
      <c r="K89" s="89" t="n">
        <v>0</v>
      </c>
      <c r="L89" s="90" t="inlineStr"/>
      <c r="M89" s="125" t="inlineStr">
        <is>
          <t>UE55U8000F</t>
        </is>
      </c>
      <c r="N89" s="89">
        <f>IF(O89="","",O89-P89)</f>
        <v/>
      </c>
      <c r="O89" s="89" t="n">
        <v>444</v>
      </c>
      <c r="P89" s="89" t="n">
        <v>0</v>
      </c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>
        <is>
          <t>UE50U8000FU</t>
        </is>
      </c>
      <c r="D90" s="89">
        <f>IF(E90="","",E90-F90)</f>
        <v/>
      </c>
      <c r="E90" s="89" t="n">
        <v>449</v>
      </c>
      <c r="F90" s="89" t="n">
        <v>0</v>
      </c>
      <c r="G90" s="90" t="inlineStr"/>
      <c r="H90" s="125" t="inlineStr">
        <is>
          <t>UE50U8000F</t>
        </is>
      </c>
      <c r="I90" s="89">
        <f>IF(J90="","",J90-K90)</f>
        <v/>
      </c>
      <c r="J90" s="89" t="n">
        <v>399.95</v>
      </c>
      <c r="K90" s="89" t="n">
        <v>0</v>
      </c>
      <c r="L90" s="90" t="inlineStr"/>
      <c r="M90" s="125" t="inlineStr">
        <is>
          <t>UE50U8000F</t>
        </is>
      </c>
      <c r="N90" s="89">
        <f>IF(O90="","",O90-P90)</f>
        <v/>
      </c>
      <c r="O90" s="89" t="n">
        <v>466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/>
      <c r="D91" s="89">
        <f>IF(E91="","",E91-F91)</f>
        <v/>
      </c>
      <c r="E91" s="89" t="inlineStr"/>
      <c r="F91" s="89" t="inlineStr"/>
      <c r="G91" s="90" t="inlineStr"/>
      <c r="H91" s="125" t="inlineStr">
        <is>
          <t>UE43U8000FUXXN</t>
        </is>
      </c>
      <c r="I91" s="89">
        <f>IF(J91="","",J91-K91)</f>
        <v/>
      </c>
      <c r="J91" s="89" t="n">
        <v>349.95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/>
      <c r="N4" s="84">
        <f>IF(O4="","",O4-P4)</f>
        <v/>
      </c>
      <c r="O4" s="84" t="inlineStr"/>
      <c r="P4" s="84" t="inlineStr"/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OLED65G69LS</t>
        </is>
      </c>
      <c r="D6" s="84">
        <f>IF(E6="","",E6-F6)</f>
        <v/>
      </c>
      <c r="E6" s="84" t="n">
        <v>3499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4499</v>
      </c>
      <c r="F9" s="84" t="n">
        <v>0</v>
      </c>
      <c r="G9" s="85">
        <f>IFERROR(D9/D4,"")</f>
        <v/>
      </c>
      <c r="H9" s="83" t="inlineStr">
        <is>
          <t>OLED83C6</t>
        </is>
      </c>
      <c r="I9" s="107">
        <f>IF(J9="","",J9-K9)</f>
        <v/>
      </c>
      <c r="J9" s="84" t="n">
        <v>4499.95</v>
      </c>
      <c r="K9" s="84" t="n">
        <v>0</v>
      </c>
      <c r="L9" s="85">
        <f>IFERROR(I9/I4,"")</f>
        <v/>
      </c>
      <c r="M9" s="83" t="inlineStr">
        <is>
          <t>OLED83C6ELB</t>
        </is>
      </c>
      <c r="N9" s="103">
        <f>IF(O9="","",O9-P9)</f>
        <v/>
      </c>
      <c r="O9" s="84" t="n">
        <v>4499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3499</v>
      </c>
      <c r="F10" s="84" t="n">
        <v>0</v>
      </c>
      <c r="G10" s="85">
        <f>IFERROR(D10/D5,"")</f>
        <v/>
      </c>
      <c r="H10" s="83" t="inlineStr">
        <is>
          <t>OLED77C6</t>
        </is>
      </c>
      <c r="I10" s="108">
        <f>IF(J10="","",J10-K10)</f>
        <v/>
      </c>
      <c r="J10" s="84" t="n">
        <v>3499.95</v>
      </c>
      <c r="K10" s="84" t="n">
        <v>0</v>
      </c>
      <c r="L10" s="85">
        <f>IFERROR(I10/I5,"")</f>
        <v/>
      </c>
      <c r="M10" s="83" t="inlineStr">
        <is>
          <t>OLED77C6ELB</t>
        </is>
      </c>
      <c r="N10" s="84">
        <f>IF(O10="","",O10-P10)</f>
        <v/>
      </c>
      <c r="O10" s="84" t="n">
        <v>3499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2599</v>
      </c>
      <c r="F11" s="84" t="n">
        <v>0</v>
      </c>
      <c r="G11" s="85">
        <f>IFERROR(D11/D6,"")</f>
        <v/>
      </c>
      <c r="H11" s="83" t="inlineStr">
        <is>
          <t>OLED65C6</t>
        </is>
      </c>
      <c r="I11" s="108">
        <f>IF(J11="","",J11-K11)</f>
        <v/>
      </c>
      <c r="J11" s="84" t="n">
        <v>2599.95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2599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1799</v>
      </c>
      <c r="F12" s="84" t="n">
        <v>0</v>
      </c>
      <c r="G12" s="85">
        <f>IFERROR(D12/D7,"")</f>
        <v/>
      </c>
      <c r="H12" s="83" t="inlineStr">
        <is>
          <t>OLED55C6</t>
        </is>
      </c>
      <c r="I12" s="108">
        <f>IF(J12="","",J12-K12)</f>
        <v/>
      </c>
      <c r="J12" s="84" t="n">
        <v>1799.95</v>
      </c>
      <c r="K12" s="84" t="n">
        <v>0</v>
      </c>
      <c r="L12" s="85">
        <f>IFERROR(I12/I7,"")</f>
        <v/>
      </c>
      <c r="M12" s="83" t="inlineStr">
        <is>
          <t>OLED55C6ELB</t>
        </is>
      </c>
      <c r="N12" s="84">
        <f>IF(O12="","",O12-P12)</f>
        <v/>
      </c>
      <c r="O12" s="84" t="n">
        <v>1799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1599</v>
      </c>
      <c r="F13" s="84" t="n">
        <v>0</v>
      </c>
      <c r="G13" s="85">
        <f>IFERROR(D13/D7,"")</f>
        <v/>
      </c>
      <c r="H13" s="83" t="inlineStr">
        <is>
          <t>OLED48C6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OLED48C6ELB</t>
        </is>
      </c>
      <c r="N13" s="84">
        <f>IF(O13="","",O13-P13)</f>
        <v/>
      </c>
      <c r="O13" s="84" t="n">
        <v>1599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1499</v>
      </c>
      <c r="F14" s="84" t="n">
        <v>0</v>
      </c>
      <c r="G14" s="85">
        <f>IFERROR(D14/D7,"")</f>
        <v/>
      </c>
      <c r="H14" s="83" t="inlineStr">
        <is>
          <t>OLED42C6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OLED42C6ELB</t>
        </is>
      </c>
      <c r="N14" s="84">
        <f>IF(O14="","",O14-P14)</f>
        <v/>
      </c>
      <c r="O14" s="84" t="n">
        <v>1499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3699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2999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/>
      <c r="D18" s="84">
        <f>IF(E18="","",E18-F18)</f>
        <v/>
      </c>
      <c r="E18" s="84" t="inlineStr"/>
      <c r="F18" s="84" t="inlineStr"/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2399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>
        <is>
          <t>OLED55B68LA</t>
        </is>
      </c>
      <c r="D19" s="84">
        <f>IF(E19="","",E19-F19)</f>
        <v/>
      </c>
      <c r="E19" s="84" t="n">
        <v>1599</v>
      </c>
      <c r="F19" s="84" t="n">
        <v>0</v>
      </c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1599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1399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1399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>
        <is>
          <t>QE83S99HAEXZU</t>
        </is>
      </c>
      <c r="I22" s="109">
        <f>IF(J22="","",J22-K22)</f>
        <v/>
      </c>
      <c r="J22" s="89" t="n">
        <v>5266.05</v>
      </c>
      <c r="K22" s="89" t="n">
        <v>0</v>
      </c>
      <c r="L22" s="90" t="inlineStr"/>
      <c r="M22" s="125" t="inlineStr">
        <is>
          <t>QE83S99HAEXZU</t>
        </is>
      </c>
      <c r="N22" s="89">
        <f>IF(O22="","",O22-P22)</f>
        <v/>
      </c>
      <c r="O22" s="89" t="n">
        <v>6719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/>
      <c r="I23" s="109">
        <f>IF(J23="","",J23-K23)</f>
        <v/>
      </c>
      <c r="J23" s="89" t="inlineStr"/>
      <c r="K23" s="89" t="inlineStr"/>
      <c r="L23" s="90" t="inlineStr"/>
      <c r="M23" s="125" t="inlineStr">
        <is>
          <t>QE77S99HATXZU</t>
        </is>
      </c>
      <c r="N23" s="89">
        <f>IF(O23="","",O23-P23)</f>
        <v/>
      </c>
      <c r="O23" s="89" t="n">
        <v>4067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3499.95</v>
      </c>
      <c r="K24" s="89" t="n">
        <v>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3204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2499.95</v>
      </c>
      <c r="K25" s="89" t="n">
        <v>0</v>
      </c>
      <c r="L25" s="90" t="inlineStr"/>
      <c r="M25" s="125" t="inlineStr"/>
      <c r="N25" s="89">
        <f>IF(O25="","",O25-P25)</f>
        <v/>
      </c>
      <c r="O25" s="89" t="inlineStr"/>
      <c r="P25" s="89" t="inlineStr"/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/>
      <c r="N28" s="89">
        <f>IF(O28="","",O28-P28)</f>
        <v/>
      </c>
      <c r="O28" s="89" t="inlineStr"/>
      <c r="P28" s="89" t="inlineStr"/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/>
      <c r="I29" s="109">
        <f>IF(J29="","",J29-K29)</f>
        <v/>
      </c>
      <c r="J29" s="89" t="inlineStr"/>
      <c r="K29" s="89" t="inlineStr"/>
      <c r="L29" s="90" t="inlineStr"/>
      <c r="M29" s="125" t="inlineStr"/>
      <c r="N29" s="89">
        <f>IF(O29="","",O29-P29)</f>
        <v/>
      </c>
      <c r="O29" s="89" t="inlineStr"/>
      <c r="P29" s="89" t="inlineStr"/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>
        <is>
          <t>QE55S95HFTXZU</t>
        </is>
      </c>
      <c r="I30" s="110">
        <f>IF(J30="","",J30-K30)</f>
        <v/>
      </c>
      <c r="J30" s="89" t="n">
        <v>2405</v>
      </c>
      <c r="K30" s="89" t="n">
        <v>0</v>
      </c>
      <c r="L30" s="90" t="inlineStr"/>
      <c r="M30" s="125" t="inlineStr">
        <is>
          <t>QE55S95HFTXZU</t>
        </is>
      </c>
      <c r="N30" s="95">
        <f>IF(O30="","",O30-P30)</f>
        <v/>
      </c>
      <c r="O30" s="96" t="n">
        <v>3059</v>
      </c>
      <c r="P30" s="96" t="n">
        <v>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4999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4999.95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4684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3499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3499.95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3359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2599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2599.95</v>
      </c>
      <c r="K34" s="89" t="n">
        <v>0</v>
      </c>
      <c r="L34" s="90" t="inlineStr"/>
      <c r="M34" s="125" t="inlineStr">
        <is>
          <t>QE65S90HAEXZU</t>
        </is>
      </c>
      <c r="N34" s="89">
        <f>IF(O34="","",O34-P34)</f>
        <v/>
      </c>
      <c r="O34" s="89" t="n">
        <v>2468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1799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1799.95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1729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1599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1599.95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1568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1499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1499.95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1499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4799.95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4800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3299.95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3229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2499.95</v>
      </c>
      <c r="K41" s="89" t="n">
        <v>0</v>
      </c>
      <c r="L41" s="90" t="inlineStr"/>
      <c r="M41" s="125" t="inlineStr">
        <is>
          <t>QE65S85HAEXZU</t>
        </is>
      </c>
      <c r="N41" s="89">
        <f>IF(O41="","",O41-P41)</f>
        <v/>
      </c>
      <c r="O41" s="89" t="n">
        <v>2369</v>
      </c>
      <c r="P41" s="89" t="n">
        <v>0</v>
      </c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>
        <is>
          <t>QE55S85HAEXZU</t>
        </is>
      </c>
      <c r="N42" s="89">
        <f>IF(O42="","",O42-P42)</f>
        <v/>
      </c>
      <c r="O42" s="89" t="n">
        <v>1633</v>
      </c>
      <c r="P42" s="89" t="n">
        <v>0</v>
      </c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1369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4999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>
        <is>
          <t>86MRGB87B9B</t>
        </is>
      </c>
      <c r="D48" s="89">
        <f>IF(E48="","",E48-F48)</f>
        <v/>
      </c>
      <c r="E48" s="89" t="n">
        <v>2999</v>
      </c>
      <c r="F48" s="89" t="n">
        <v>0</v>
      </c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/>
      <c r="N48" s="89">
        <f>IF(O48="","",O48-P48)</f>
        <v/>
      </c>
      <c r="O48" s="89" t="inlineStr"/>
      <c r="P48" s="89" t="inlineStr"/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>
        <is>
          <t>75MRGB87B9B</t>
        </is>
      </c>
      <c r="D49" s="89">
        <f>IF(E49="","",E49-F49)</f>
        <v/>
      </c>
      <c r="E49" s="89" t="n">
        <v>1999</v>
      </c>
      <c r="F49" s="89" t="n">
        <v>0</v>
      </c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1999.95</v>
      </c>
      <c r="K49" s="89" t="n">
        <v>0</v>
      </c>
      <c r="L49" s="90">
        <f>IFERROR(I49/I5,"")</f>
        <v/>
      </c>
      <c r="M49" s="88" t="inlineStr"/>
      <c r="N49" s="89">
        <f>IF(O49="","",O49-P49)</f>
        <v/>
      </c>
      <c r="O49" s="89" t="inlineStr"/>
      <c r="P49" s="89" t="inlineStr"/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/>
      <c r="D50" s="95">
        <f>IF(E50="","",E50-F50)</f>
        <v/>
      </c>
      <c r="E50" s="96" t="inlineStr"/>
      <c r="F50" s="96" t="inlineStr"/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1399.95</v>
      </c>
      <c r="K50" s="89" t="n">
        <v>0</v>
      </c>
      <c r="L50" s="90">
        <f>IFERROR(I50/I6,"")</f>
        <v/>
      </c>
      <c r="M50" s="88" t="inlineStr"/>
      <c r="N50" s="95">
        <f>IF(O50="","",O50-P50)</f>
        <v/>
      </c>
      <c r="O50" s="96" t="inlineStr"/>
      <c r="P50" s="96" t="inlineStr"/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>
        <is>
          <t>55MRGB87B9B</t>
        </is>
      </c>
      <c r="D51" s="89">
        <f>IF(E51="","",E51-F51)</f>
        <v/>
      </c>
      <c r="E51" s="89" t="n">
        <v>1199</v>
      </c>
      <c r="F51" s="89" t="n">
        <v>0</v>
      </c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1199.95</v>
      </c>
      <c r="K51" s="89" t="n">
        <v>0</v>
      </c>
      <c r="L51" s="90">
        <f>IFERROR(I51/I7,"")</f>
        <v/>
      </c>
      <c r="M51" s="88" t="inlineStr"/>
      <c r="N51" s="89">
        <f>IF(O51="","",O51-P51)</f>
        <v/>
      </c>
      <c r="O51" s="89" t="inlineStr"/>
      <c r="P51" s="89" t="inlineStr"/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>
        <is>
          <t>50MRGB87B9B</t>
        </is>
      </c>
      <c r="D52" s="89">
        <f>IF(E52="","",E52-F52)</f>
        <v/>
      </c>
      <c r="E52" s="89" t="n">
        <v>899</v>
      </c>
      <c r="F52" s="89" t="n">
        <v>0</v>
      </c>
      <c r="G52" s="90">
        <f>IFERROR(D52/D7,"")</f>
        <v/>
      </c>
      <c r="H52" s="88" t="inlineStr">
        <is>
          <t>50MRGB87B</t>
        </is>
      </c>
      <c r="I52" s="89">
        <f>IF(J52="","",J52-K52)</f>
        <v/>
      </c>
      <c r="J52" s="89" t="n">
        <v>999.95</v>
      </c>
      <c r="K52" s="89" t="n">
        <v>0</v>
      </c>
      <c r="L52" s="90">
        <f>IFERROR(I52/I7,"")</f>
        <v/>
      </c>
      <c r="M52" s="88" t="inlineStr"/>
      <c r="N52" s="89">
        <f>IF(O52="","",O52-P52)</f>
        <v/>
      </c>
      <c r="O52" s="89" t="inlineStr"/>
      <c r="P52" s="89" t="inlineStr"/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/>
      <c r="D59" s="84">
        <f>IF(E59="","",E59-F59)</f>
        <v/>
      </c>
      <c r="E59" s="84" t="inlineStr"/>
      <c r="F59" s="84" t="inlineStr"/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/>
      <c r="N59" s="84">
        <f>IF(O59="","",O59-P59)</f>
        <v/>
      </c>
      <c r="O59" s="84" t="inlineStr"/>
      <c r="P59" s="84" t="inlineStr"/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1849</v>
      </c>
      <c r="F60" s="84" t="n">
        <v>0</v>
      </c>
      <c r="G60" s="85">
        <f>IFERROR(D60/D5,"")</f>
        <v/>
      </c>
      <c r="H60" s="83" t="inlineStr">
        <is>
          <t>65QNED86B</t>
        </is>
      </c>
      <c r="I60" s="103">
        <f>IF(J60="","",J60-K60)</f>
        <v/>
      </c>
      <c r="J60" s="84" t="n">
        <v>1899.95</v>
      </c>
      <c r="K60" s="84" t="n">
        <v>0</v>
      </c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1299</v>
      </c>
      <c r="F61" s="84" t="n">
        <v>0</v>
      </c>
      <c r="G61" s="85">
        <f>IFERROR(D61/D6,"")</f>
        <v/>
      </c>
      <c r="H61" s="83" t="inlineStr"/>
      <c r="I61" s="84">
        <f>IF(J61="","",J61-K61)</f>
        <v/>
      </c>
      <c r="J61" s="84" t="inlineStr"/>
      <c r="K61" s="84" t="inlineStr"/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1099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1099.95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999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999.95</v>
      </c>
      <c r="K63" s="84" t="n">
        <v>0</v>
      </c>
      <c r="L63" s="85">
        <f>IFERROR(I63/I7,"")</f>
        <v/>
      </c>
      <c r="M63" s="83" t="inlineStr"/>
      <c r="N63" s="84">
        <f>IF(O63="","",O63-P63)</f>
        <v/>
      </c>
      <c r="O63" s="84" t="inlineStr"/>
      <c r="P63" s="84" t="inlineStr"/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/>
      <c r="D64" s="84">
        <f>IF(E64="","",E64-F64)</f>
        <v/>
      </c>
      <c r="E64" s="84" t="inlineStr"/>
      <c r="F64" s="84" t="inlineStr"/>
      <c r="G64" s="85">
        <f>IFERROR(D64/D7,"")</f>
        <v/>
      </c>
      <c r="H64" s="83" t="inlineStr">
        <is>
          <t>43QNED86B</t>
        </is>
      </c>
      <c r="I64" s="84">
        <f>IF(J64="","",J64-K64)</f>
        <v/>
      </c>
      <c r="J64" s="84" t="n">
        <v>699.95</v>
      </c>
      <c r="K64" s="84" t="n">
        <v>0</v>
      </c>
      <c r="L64" s="85">
        <f>IFERROR(I64/I7,"")</f>
        <v/>
      </c>
      <c r="M64" s="83" t="inlineStr"/>
      <c r="N64" s="84">
        <f>IF(O64="","",O64-P64)</f>
        <v/>
      </c>
      <c r="O64" s="84" t="inlineStr"/>
      <c r="P64" s="84" t="inlineStr"/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/>
      <c r="D68" s="103">
        <f>IF(E68="","",E68-F68)</f>
        <v/>
      </c>
      <c r="E68" s="104" t="inlineStr"/>
      <c r="F68" s="104" t="inlineStr"/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/>
      <c r="D69" s="84">
        <f>IF(E69="","",E69-F69)</f>
        <v/>
      </c>
      <c r="E69" s="84" t="inlineStr"/>
      <c r="F69" s="84" t="inlineStr"/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/>
      <c r="D70" s="84">
        <f>IF(E70="","",E70-F70)</f>
        <v/>
      </c>
      <c r="E70" s="84" t="inlineStr"/>
      <c r="F70" s="84" t="inlineStr"/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/>
      <c r="D71" s="84">
        <f>IF(E71="","",E71-F71)</f>
        <v/>
      </c>
      <c r="E71" s="84" t="inlineStr"/>
      <c r="F71" s="84" t="inlineStr"/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/>
      <c r="D73" s="84">
        <f>IF(E73="","",E73-F73)</f>
        <v/>
      </c>
      <c r="E73" s="84" t="inlineStr"/>
      <c r="F73" s="84" t="inlineStr"/>
      <c r="G73" s="85">
        <f>IFERROR(D73/D4,"")</f>
        <v/>
      </c>
      <c r="H73" s="83" t="inlineStr"/>
      <c r="I73" s="84">
        <f>IF(J73="","",J73-K73)</f>
        <v/>
      </c>
      <c r="J73" s="84" t="inlineStr"/>
      <c r="K73" s="84" t="inlineStr"/>
      <c r="L73" s="85">
        <f>IFERROR(I73/I4,"")</f>
        <v/>
      </c>
      <c r="M73" s="83" t="inlineStr"/>
      <c r="N73" s="84">
        <f>IF(O73="","",O73-P73)</f>
        <v/>
      </c>
      <c r="O73" s="84" t="inlineStr"/>
      <c r="P73" s="84" t="inlineStr"/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/>
      <c r="D74" s="84">
        <f>IF(E74="","",E74-F74)</f>
        <v/>
      </c>
      <c r="E74" s="84" t="inlineStr"/>
      <c r="F74" s="84" t="inlineStr"/>
      <c r="G74" s="85">
        <f>IFERROR(D74/D5,"")</f>
        <v/>
      </c>
      <c r="H74" s="83" t="inlineStr">
        <is>
          <t>75QNED7EB</t>
        </is>
      </c>
      <c r="I74" s="84">
        <f>IF(J74="","",J74-K74)</f>
        <v/>
      </c>
      <c r="J74" s="84" t="n">
        <v>699.95</v>
      </c>
      <c r="K74" s="84" t="n">
        <v>0</v>
      </c>
      <c r="L74" s="85">
        <f>IFERROR(I74/I5,"")</f>
        <v/>
      </c>
      <c r="M74" s="83" t="inlineStr">
        <is>
          <t>75QNED7EB3A</t>
        </is>
      </c>
      <c r="N74" s="84">
        <f>IF(O74="","",O74-P74)</f>
        <v/>
      </c>
      <c r="O74" s="84" t="n">
        <v>834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65QNED7EB</t>
        </is>
      </c>
      <c r="I75" s="84">
        <f>IF(J75="","",J75-K75)</f>
        <v/>
      </c>
      <c r="J75" s="84" t="n">
        <v>499.95</v>
      </c>
      <c r="K75" s="84" t="n">
        <v>0</v>
      </c>
      <c r="L75" s="85">
        <f>IFERROR(I75/I6,"")</f>
        <v/>
      </c>
      <c r="M75" s="83" t="inlineStr">
        <is>
          <t>65QNED7EB3C</t>
        </is>
      </c>
      <c r="N75" s="84">
        <f>IF(O75="","",O75-P75)</f>
        <v/>
      </c>
      <c r="O75" s="84" t="n">
        <v>579</v>
      </c>
      <c r="P75" s="84" t="n">
        <v>0</v>
      </c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55QNED7EB</t>
        </is>
      </c>
      <c r="I76" s="103">
        <f>IF(J76="","",J76-K76)</f>
        <v/>
      </c>
      <c r="J76" s="84" t="n">
        <v>399.95</v>
      </c>
      <c r="K76" s="84" t="n">
        <v>0</v>
      </c>
      <c r="L76" s="85">
        <f>IFERROR(I76/I7,"")</f>
        <v/>
      </c>
      <c r="M76" s="83" t="inlineStr">
        <is>
          <t>55QNED7EB3C</t>
        </is>
      </c>
      <c r="N76" s="103">
        <f>IF(O76="","",O76-P76)</f>
        <v/>
      </c>
      <c r="O76" s="84" t="n">
        <v>453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50QNED7EB</t>
        </is>
      </c>
      <c r="I77" s="84">
        <f>IF(J77="","",J77-K77)</f>
        <v/>
      </c>
      <c r="J77" s="84" t="n">
        <v>349.95</v>
      </c>
      <c r="K77" s="84" t="n">
        <v>0</v>
      </c>
      <c r="L77" s="85">
        <f>IFERROR(I77/I7,"")</f>
        <v/>
      </c>
      <c r="M77" s="83" t="inlineStr">
        <is>
          <t>50QNED7EB3C</t>
        </is>
      </c>
      <c r="N77" s="84">
        <f>IF(O77="","",O77-P77)</f>
        <v/>
      </c>
      <c r="O77" s="84" t="n">
        <v>398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43QNED7EB</t>
        </is>
      </c>
      <c r="I78" s="84">
        <f>IF(J78="","",J78-K78)</f>
        <v/>
      </c>
      <c r="J78" s="84" t="n">
        <v>329.95</v>
      </c>
      <c r="K78" s="84" t="n">
        <v>0</v>
      </c>
      <c r="L78" s="85">
        <f>IFERROR(I78/I7,"")</f>
        <v/>
      </c>
      <c r="M78" s="83" t="inlineStr">
        <is>
          <t>43QNED7EB3C</t>
        </is>
      </c>
      <c r="N78" s="84">
        <f>IF(O78="","",O78-P78)</f>
        <v/>
      </c>
      <c r="O78" s="84" t="n">
        <v>360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>
        <is>
          <t>MRE85R95HATXZU</t>
        </is>
      </c>
      <c r="I80" s="89">
        <f>IF(J80="","",J80-K80)</f>
        <v/>
      </c>
      <c r="J80" s="89" t="n">
        <v>5252</v>
      </c>
      <c r="K80" s="89" t="n">
        <v>0</v>
      </c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6719</v>
      </c>
      <c r="P80" s="89" t="n">
        <v>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5499</v>
      </c>
      <c r="P81" s="89" t="n">
        <v>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>
        <is>
          <t>MRE65R95HATXZU</t>
        </is>
      </c>
      <c r="I82" s="95">
        <f>IF(J82="","",J82-K82)</f>
        <v/>
      </c>
      <c r="J82" s="89" t="n">
        <v>3325.6</v>
      </c>
      <c r="K82" s="89" t="n">
        <v>0</v>
      </c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4279</v>
      </c>
      <c r="P82" s="89" t="n">
        <v>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4499</v>
      </c>
      <c r="F85" s="89" t="n">
        <v>0</v>
      </c>
      <c r="G85" s="90" t="inlineStr"/>
      <c r="H85" s="125" t="inlineStr">
        <is>
          <t>MRE85R85H</t>
        </is>
      </c>
      <c r="I85" s="89">
        <f>IF(J85="","",J85-K85)</f>
        <v/>
      </c>
      <c r="J85" s="89" t="n">
        <v>3999.95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3919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2999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2499.95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2399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2499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1999.95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1919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1699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1499.95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1500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4799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4799.95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2999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2999.95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2842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2499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2499.95</v>
      </c>
      <c r="K93" s="89" t="n">
        <v>0</v>
      </c>
      <c r="L93" s="90" t="inlineStr"/>
      <c r="M93" s="125" t="inlineStr">
        <is>
          <t>QE75QN80HAUXXN</t>
        </is>
      </c>
      <c r="N93" s="89">
        <f>IF(O93="","",O93-P93)</f>
        <v/>
      </c>
      <c r="O93" s="89" t="n">
        <v>2399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1799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1799.95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1679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1499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1499.95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1389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1299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1299.95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1205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2499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1299.95</v>
      </c>
      <c r="K112" s="89" t="n">
        <v>0</v>
      </c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3059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1999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1999.95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1888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1399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1399.95</v>
      </c>
      <c r="K114" s="89" t="n">
        <v>0</v>
      </c>
      <c r="L114" s="90" t="inlineStr"/>
      <c r="M114" s="125" t="inlineStr">
        <is>
          <t>UE65M70HAUXXN</t>
        </is>
      </c>
      <c r="N114" s="89">
        <f>IF(O114="","",O114-P114)</f>
        <v/>
      </c>
      <c r="O114" s="89" t="n">
        <v>1329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>
        <is>
          <t>UE55M70H</t>
        </is>
      </c>
      <c r="D115" s="89">
        <f>IF(E115="","",E115-F115)</f>
        <v/>
      </c>
      <c r="E115" s="89" t="n">
        <v>1199</v>
      </c>
      <c r="F115" s="89" t="n">
        <v>0</v>
      </c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899.95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900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1099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1099.95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1098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999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999.95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999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/>
      <c r="D126" s="89">
        <f>IF(E126="","",E126-F126)</f>
        <v/>
      </c>
      <c r="E126" s="89" t="inlineStr"/>
      <c r="F126" s="89" t="inlineStr"/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>
        <is>
          <t>UE85U8090HUXXN</t>
        </is>
      </c>
      <c r="N126" s="96">
        <f>IF(O126="","",O126-P126)</f>
        <v/>
      </c>
      <c r="O126" s="89" t="n">
        <v>1537</v>
      </c>
      <c r="P126" s="89" t="n">
        <v>0</v>
      </c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/>
      <c r="D127" s="89">
        <f>IF(E127="","",E127-F127)</f>
        <v/>
      </c>
      <c r="E127" s="89" t="inlineStr"/>
      <c r="F127" s="89" t="inlineStr"/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1199.95</v>
      </c>
      <c r="K127" s="89" t="n">
        <v>0</v>
      </c>
      <c r="L127" s="90" t="inlineStr"/>
      <c r="M127" s="125" t="inlineStr">
        <is>
          <t>UE75U8090HUXXN</t>
        </is>
      </c>
      <c r="N127" s="96">
        <f>IF(O127="","",O127-P127)</f>
        <v/>
      </c>
      <c r="O127" s="89" t="n">
        <v>1153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/>
      <c r="D128" s="89">
        <f>IF(E128="","",E128-F128)</f>
        <v/>
      </c>
      <c r="E128" s="89" t="inlineStr"/>
      <c r="F128" s="89" t="inlineStr"/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799.95</v>
      </c>
      <c r="K128" s="89" t="n">
        <v>0</v>
      </c>
      <c r="L128" s="90" t="inlineStr"/>
      <c r="M128" s="125" t="inlineStr">
        <is>
          <t>UE65U8090HUXXN</t>
        </is>
      </c>
      <c r="N128" s="96">
        <f>IF(O128="","",O128-P128)</f>
        <v/>
      </c>
      <c r="O128" s="89" t="n">
        <v>799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/>
      <c r="D129" s="89">
        <f>IF(E129="","",E129-F129)</f>
        <v/>
      </c>
      <c r="E129" s="89" t="inlineStr"/>
      <c r="F129" s="89" t="inlineStr"/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699.95</v>
      </c>
      <c r="K129" s="89" t="n">
        <v>0</v>
      </c>
      <c r="L129" s="90" t="inlineStr"/>
      <c r="M129" s="125" t="inlineStr">
        <is>
          <t>UE55U8090HUXXN</t>
        </is>
      </c>
      <c r="N129" s="96">
        <f>IF(O129="","",O129-P129)</f>
        <v/>
      </c>
      <c r="O129" s="89" t="n">
        <v>659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/>
      <c r="D130" s="89">
        <f>IF(E130="","",E130-F130)</f>
        <v/>
      </c>
      <c r="E130" s="89" t="inlineStr"/>
      <c r="F130" s="89" t="inlineStr"/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599.95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579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>
        <is>
          <t>U8090H</t>
        </is>
      </c>
      <c r="D131" s="89">
        <f>IF(E131="","",E131-F131)</f>
        <v/>
      </c>
      <c r="E131" s="89" t="n">
        <v>499</v>
      </c>
      <c r="F131" s="89" t="n">
        <v>0</v>
      </c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>
        <is>
          <t>UE43U8090HUXXN</t>
        </is>
      </c>
      <c r="N131" s="96">
        <f>IF(O131="","",O131-P131)</f>
        <v/>
      </c>
      <c r="O131" s="96" t="n">
        <v>619</v>
      </c>
      <c r="P131" s="96" t="n">
        <v>0</v>
      </c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2026-07-15T01:43:21Z</dcterms:modified>
  <cp:lastModifiedBy>박대호/책임/TV유럽영업2팀</cp:lastModifiedBy>
</cp:coreProperties>
</file>