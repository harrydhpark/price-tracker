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TV 유럽영업\15. AX Task\2026 AX 실행과제\Price Tracker\data\"/>
    </mc:Choice>
  </mc:AlternateContent>
  <xr:revisionPtr revIDLastSave="0" documentId="13_ncr:1_{A5CA2991-2375-4E57-A024-AD27897EBA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wiss_2025" sheetId="1" r:id="rId1"/>
    <sheet name="Swiss_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8" i="2" l="1"/>
  <c r="I78" i="2"/>
  <c r="D78" i="2"/>
  <c r="N77" i="2"/>
  <c r="I77" i="2"/>
  <c r="D77" i="2"/>
  <c r="N76" i="2"/>
  <c r="I76" i="2"/>
  <c r="D76" i="2"/>
  <c r="Q76" i="1"/>
  <c r="Q75" i="1"/>
  <c r="Q74" i="1"/>
  <c r="Q73" i="1"/>
  <c r="Q72" i="1"/>
  <c r="Q71" i="1"/>
  <c r="Q51" i="1"/>
  <c r="Q50" i="1"/>
  <c r="Q49" i="1"/>
  <c r="Q48" i="1"/>
  <c r="Q47" i="1"/>
  <c r="Q46" i="1"/>
  <c r="Q44" i="1"/>
  <c r="Q43" i="1"/>
  <c r="Q42" i="1"/>
  <c r="Q41" i="1"/>
  <c r="Q40" i="1"/>
  <c r="Q19" i="1"/>
  <c r="Q18" i="1"/>
  <c r="Q17" i="1"/>
  <c r="Q16" i="1"/>
  <c r="Q14" i="1"/>
  <c r="Q13" i="1"/>
  <c r="Q12" i="1"/>
  <c r="Q11" i="1"/>
  <c r="Q10" i="1"/>
  <c r="Q9" i="1"/>
  <c r="Q7" i="1"/>
  <c r="Q6" i="1"/>
  <c r="Q5" i="1"/>
  <c r="Q4" i="1"/>
  <c r="L76" i="1"/>
  <c r="L75" i="1"/>
  <c r="L74" i="1"/>
  <c r="L73" i="1"/>
  <c r="L72" i="1"/>
  <c r="L71" i="1"/>
  <c r="L51" i="1"/>
  <c r="L50" i="1"/>
  <c r="L49" i="1"/>
  <c r="L48" i="1"/>
  <c r="L47" i="1"/>
  <c r="L46" i="1"/>
  <c r="L44" i="1"/>
  <c r="L43" i="1"/>
  <c r="L42" i="1"/>
  <c r="L41" i="1"/>
  <c r="L40" i="1"/>
  <c r="L19" i="1"/>
  <c r="L18" i="1"/>
  <c r="L17" i="1"/>
  <c r="L16" i="1"/>
  <c r="L14" i="1"/>
  <c r="L13" i="1"/>
  <c r="L12" i="1"/>
  <c r="L11" i="1"/>
  <c r="L10" i="1"/>
  <c r="L9" i="1"/>
  <c r="L7" i="1"/>
  <c r="L6" i="1"/>
  <c r="L5" i="1"/>
  <c r="L4" i="1"/>
  <c r="G76" i="1"/>
  <c r="G75" i="1"/>
  <c r="G74" i="1"/>
  <c r="G73" i="1"/>
  <c r="G72" i="1"/>
  <c r="G71" i="1"/>
  <c r="G51" i="1"/>
  <c r="G50" i="1"/>
  <c r="G49" i="1"/>
  <c r="G48" i="1"/>
  <c r="G47" i="1"/>
  <c r="G46" i="1"/>
  <c r="G44" i="1"/>
  <c r="G43" i="1"/>
  <c r="G42" i="1"/>
  <c r="G41" i="1"/>
  <c r="G40" i="1"/>
  <c r="G19" i="1"/>
  <c r="G18" i="1"/>
  <c r="G17" i="1"/>
  <c r="G16" i="1"/>
  <c r="G14" i="1"/>
  <c r="G13" i="1"/>
  <c r="G12" i="1"/>
  <c r="G11" i="1"/>
  <c r="G10" i="1"/>
  <c r="G9" i="1"/>
  <c r="G7" i="1"/>
  <c r="G6" i="1"/>
  <c r="G5" i="1"/>
  <c r="G4" i="1"/>
  <c r="Q107" i="2"/>
  <c r="L107" i="2"/>
  <c r="G107" i="2"/>
  <c r="Q106" i="2"/>
  <c r="L106" i="2"/>
  <c r="G106" i="2"/>
  <c r="Q105" i="2"/>
  <c r="N105" i="2"/>
  <c r="L105" i="2"/>
  <c r="I105" i="2"/>
  <c r="G105" i="2"/>
  <c r="D105" i="2"/>
  <c r="Q104" i="2"/>
  <c r="N104" i="2"/>
  <c r="L104" i="2"/>
  <c r="I104" i="2"/>
  <c r="G104" i="2"/>
  <c r="D104" i="2"/>
  <c r="Q103" i="2"/>
  <c r="N103" i="2"/>
  <c r="L103" i="2"/>
  <c r="I103" i="2"/>
  <c r="G103" i="2"/>
  <c r="D103" i="2"/>
  <c r="Q102" i="2"/>
  <c r="L102" i="2"/>
  <c r="G102" i="2"/>
  <c r="N100" i="2"/>
  <c r="I100" i="2"/>
  <c r="D100" i="2"/>
  <c r="N98" i="2"/>
  <c r="I98" i="2"/>
  <c r="D98" i="2"/>
  <c r="N97" i="2"/>
  <c r="I97" i="2"/>
  <c r="D97" i="2"/>
  <c r="N96" i="2"/>
  <c r="I96" i="2"/>
  <c r="D96" i="2"/>
  <c r="N95" i="2"/>
  <c r="I95" i="2"/>
  <c r="D95" i="2"/>
  <c r="N92" i="2"/>
  <c r="I92" i="2"/>
  <c r="D92" i="2"/>
  <c r="N90" i="2"/>
  <c r="I90" i="2"/>
  <c r="D90" i="2"/>
  <c r="N89" i="2"/>
  <c r="I89" i="2"/>
  <c r="D89" i="2"/>
  <c r="N86" i="2"/>
  <c r="I86" i="2"/>
  <c r="D86" i="2"/>
  <c r="N85" i="2"/>
  <c r="I85" i="2"/>
  <c r="D85" i="2"/>
  <c r="N83" i="2"/>
  <c r="I83" i="2"/>
  <c r="D83" i="2"/>
  <c r="N82" i="2"/>
  <c r="I82" i="2"/>
  <c r="D82" i="2"/>
  <c r="N81" i="2"/>
  <c r="I81" i="2"/>
  <c r="D81" i="2"/>
  <c r="N71" i="2"/>
  <c r="I71" i="2"/>
  <c r="Q69" i="2"/>
  <c r="L69" i="2"/>
  <c r="G69" i="2"/>
  <c r="Q68" i="2"/>
  <c r="N68" i="2"/>
  <c r="L68" i="2"/>
  <c r="I68" i="2"/>
  <c r="G68" i="2"/>
  <c r="D68" i="2"/>
  <c r="Q67" i="2"/>
  <c r="N67" i="2"/>
  <c r="L67" i="2"/>
  <c r="I67" i="2"/>
  <c r="G67" i="2"/>
  <c r="D67" i="2"/>
  <c r="Q66" i="2"/>
  <c r="L66" i="2"/>
  <c r="G66" i="2"/>
  <c r="Q65" i="2"/>
  <c r="N65" i="2"/>
  <c r="L65" i="2"/>
  <c r="I65" i="2"/>
  <c r="G65" i="2"/>
  <c r="D65" i="2"/>
  <c r="Q64" i="2"/>
  <c r="N64" i="2"/>
  <c r="L64" i="2"/>
  <c r="I64" i="2"/>
  <c r="G64" i="2"/>
  <c r="D64" i="2"/>
  <c r="Q62" i="2"/>
  <c r="N62" i="2"/>
  <c r="L62" i="2"/>
  <c r="I62" i="2"/>
  <c r="G62" i="2"/>
  <c r="D62" i="2"/>
  <c r="Q61" i="2"/>
  <c r="N61" i="2"/>
  <c r="L61" i="2"/>
  <c r="I61" i="2"/>
  <c r="G61" i="2"/>
  <c r="D61" i="2"/>
  <c r="Q60" i="2"/>
  <c r="L60" i="2"/>
  <c r="G60" i="2"/>
  <c r="Q59" i="2"/>
  <c r="N59" i="2"/>
  <c r="L59" i="2"/>
  <c r="I59" i="2"/>
  <c r="G59" i="2"/>
  <c r="D59" i="2"/>
  <c r="Q58" i="2"/>
  <c r="L58" i="2"/>
  <c r="G58" i="2"/>
  <c r="Q57" i="2"/>
  <c r="N57" i="2"/>
  <c r="L57" i="2"/>
  <c r="I57" i="2"/>
  <c r="G57" i="2"/>
  <c r="D57" i="2"/>
  <c r="Q55" i="2"/>
  <c r="N55" i="2"/>
  <c r="L55" i="2"/>
  <c r="I55" i="2"/>
  <c r="G55" i="2"/>
  <c r="D55" i="2"/>
  <c r="Q54" i="2"/>
  <c r="N54" i="2"/>
  <c r="L54" i="2"/>
  <c r="I54" i="2"/>
  <c r="G54" i="2"/>
  <c r="D54" i="2"/>
  <c r="Q53" i="2"/>
  <c r="L53" i="2"/>
  <c r="G53" i="2"/>
  <c r="Q52" i="2"/>
  <c r="L52" i="2"/>
  <c r="G52" i="2"/>
  <c r="Q51" i="2"/>
  <c r="N51" i="2"/>
  <c r="L51" i="2"/>
  <c r="I51" i="2"/>
  <c r="G51" i="2"/>
  <c r="D51" i="2"/>
  <c r="Q50" i="2"/>
  <c r="N50" i="2"/>
  <c r="L50" i="2"/>
  <c r="I50" i="2"/>
  <c r="G50" i="2"/>
  <c r="D50" i="2"/>
  <c r="Q48" i="2"/>
  <c r="N48" i="2"/>
  <c r="L48" i="2"/>
  <c r="I48" i="2"/>
  <c r="G48" i="2"/>
  <c r="D48" i="2"/>
  <c r="Q47" i="2"/>
  <c r="N47" i="2"/>
  <c r="L47" i="2"/>
  <c r="I47" i="2"/>
  <c r="G47" i="2"/>
  <c r="D47" i="2"/>
  <c r="Q46" i="2"/>
  <c r="N46" i="2"/>
  <c r="L46" i="2"/>
  <c r="I46" i="2"/>
  <c r="G46" i="2"/>
  <c r="D46" i="2"/>
  <c r="Q45" i="2"/>
  <c r="L45" i="2"/>
  <c r="G45" i="2"/>
  <c r="N43" i="2"/>
  <c r="I43" i="2"/>
  <c r="D43" i="2"/>
  <c r="N41" i="2"/>
  <c r="I41" i="2"/>
  <c r="D41" i="2"/>
  <c r="N40" i="2"/>
  <c r="I40" i="2"/>
  <c r="D40" i="2"/>
  <c r="N39" i="2"/>
  <c r="I39" i="2"/>
  <c r="D39" i="2"/>
  <c r="N37" i="2"/>
  <c r="I37" i="2"/>
  <c r="D37" i="2"/>
  <c r="N34" i="2"/>
  <c r="I34" i="2"/>
  <c r="D34" i="2"/>
  <c r="N33" i="2"/>
  <c r="I33" i="2"/>
  <c r="D33" i="2"/>
  <c r="N32" i="2"/>
  <c r="I32" i="2"/>
  <c r="D32" i="2"/>
  <c r="N29" i="2"/>
  <c r="I29" i="2"/>
  <c r="D29" i="2"/>
  <c r="N27" i="2"/>
  <c r="I27" i="2"/>
  <c r="D27" i="2"/>
  <c r="N25" i="2"/>
  <c r="I25" i="2"/>
  <c r="D25" i="2"/>
  <c r="N23" i="2"/>
  <c r="I23" i="2"/>
  <c r="D23" i="2"/>
  <c r="N22" i="2"/>
  <c r="I22" i="2"/>
  <c r="D22" i="2"/>
  <c r="Q20" i="2"/>
  <c r="N20" i="2"/>
  <c r="L20" i="2"/>
  <c r="I20" i="2"/>
  <c r="G20" i="2"/>
  <c r="D20" i="2"/>
  <c r="Q19" i="2"/>
  <c r="L19" i="2"/>
  <c r="G19" i="2"/>
  <c r="Q18" i="2"/>
  <c r="N18" i="2"/>
  <c r="L18" i="2"/>
  <c r="I18" i="2"/>
  <c r="G18" i="2"/>
  <c r="D18" i="2"/>
  <c r="Q17" i="2"/>
  <c r="L17" i="2"/>
  <c r="G17" i="2"/>
  <c r="Q16" i="2"/>
  <c r="N16" i="2"/>
  <c r="L16" i="2"/>
  <c r="I16" i="2"/>
  <c r="G16" i="2"/>
  <c r="D16" i="2"/>
  <c r="Q14" i="2"/>
  <c r="N14" i="2"/>
  <c r="L14" i="2"/>
  <c r="I14" i="2"/>
  <c r="G14" i="2"/>
  <c r="D14" i="2"/>
  <c r="Q13" i="2"/>
  <c r="N13" i="2"/>
  <c r="L13" i="2"/>
  <c r="I13" i="2"/>
  <c r="G13" i="2"/>
  <c r="D13" i="2"/>
  <c r="Q12" i="2"/>
  <c r="N12" i="2"/>
  <c r="L12" i="2"/>
  <c r="I12" i="2"/>
  <c r="G12" i="2"/>
  <c r="D12" i="2"/>
  <c r="Q11" i="2"/>
  <c r="N11" i="2"/>
  <c r="L11" i="2"/>
  <c r="I11" i="2"/>
  <c r="G11" i="2"/>
  <c r="D11" i="2"/>
  <c r="Q10" i="2"/>
  <c r="L10" i="2"/>
  <c r="G10" i="2"/>
  <c r="Q9" i="2"/>
  <c r="L9" i="2"/>
  <c r="G9" i="2"/>
  <c r="Q7" i="2"/>
  <c r="N7" i="2"/>
  <c r="L7" i="2"/>
  <c r="I7" i="2"/>
  <c r="G7" i="2"/>
  <c r="D7" i="2"/>
  <c r="Q6" i="2"/>
  <c r="N6" i="2"/>
  <c r="L6" i="2"/>
  <c r="I6" i="2"/>
  <c r="G6" i="2"/>
  <c r="D6" i="2"/>
  <c r="Q5" i="2"/>
  <c r="N5" i="2"/>
  <c r="L5" i="2"/>
  <c r="I5" i="2"/>
  <c r="G5" i="2"/>
  <c r="D5" i="2"/>
  <c r="Q4" i="2"/>
  <c r="N4" i="2"/>
  <c r="L4" i="2"/>
  <c r="I4" i="2"/>
  <c r="G4" i="2"/>
  <c r="D4" i="2"/>
  <c r="N83" i="1"/>
  <c r="I83" i="1"/>
  <c r="D83" i="1"/>
  <c r="N82" i="1"/>
  <c r="I82" i="1"/>
  <c r="D82" i="1"/>
  <c r="N81" i="1"/>
  <c r="I81" i="1"/>
  <c r="D81" i="1"/>
  <c r="N80" i="1"/>
  <c r="I80" i="1"/>
  <c r="D80" i="1"/>
  <c r="N79" i="1"/>
  <c r="I79" i="1"/>
  <c r="D79" i="1"/>
  <c r="N78" i="1"/>
  <c r="I78" i="1"/>
  <c r="D78" i="1"/>
  <c r="N76" i="1"/>
  <c r="I76" i="1"/>
  <c r="D76" i="1"/>
  <c r="N75" i="1"/>
  <c r="I75" i="1"/>
  <c r="D75" i="1"/>
  <c r="N74" i="1"/>
  <c r="I74" i="1"/>
  <c r="D74" i="1"/>
  <c r="N73" i="1"/>
  <c r="I73" i="1"/>
  <c r="D73" i="1"/>
  <c r="N72" i="1"/>
  <c r="I72" i="1"/>
  <c r="D72" i="1"/>
  <c r="N71" i="1"/>
  <c r="I71" i="1"/>
  <c r="D71" i="1"/>
  <c r="N69" i="1"/>
  <c r="I69" i="1"/>
  <c r="D69" i="1"/>
  <c r="N68" i="1"/>
  <c r="I68" i="1"/>
  <c r="D68" i="1"/>
  <c r="N67" i="1"/>
  <c r="I67" i="1"/>
  <c r="D67" i="1"/>
  <c r="N66" i="1"/>
  <c r="I66" i="1"/>
  <c r="D66" i="1"/>
  <c r="N65" i="1"/>
  <c r="I65" i="1"/>
  <c r="D65" i="1"/>
  <c r="N64" i="1"/>
  <c r="I64" i="1"/>
  <c r="D64" i="1"/>
  <c r="N62" i="1"/>
  <c r="I62" i="1"/>
  <c r="D62" i="1"/>
  <c r="N61" i="1"/>
  <c r="I61" i="1"/>
  <c r="D61" i="1"/>
  <c r="N60" i="1"/>
  <c r="I60" i="1"/>
  <c r="D60" i="1"/>
  <c r="N59" i="1"/>
  <c r="I59" i="1"/>
  <c r="D59" i="1"/>
  <c r="N58" i="1"/>
  <c r="I58" i="1"/>
  <c r="D58" i="1"/>
  <c r="N56" i="1"/>
  <c r="I56" i="1"/>
  <c r="D56" i="1"/>
  <c r="N55" i="1"/>
  <c r="I55" i="1"/>
  <c r="D55" i="1"/>
  <c r="N54" i="1"/>
  <c r="I54" i="1"/>
  <c r="D54" i="1"/>
  <c r="N53" i="1"/>
  <c r="I53" i="1"/>
  <c r="D53" i="1"/>
  <c r="N51" i="1"/>
  <c r="I51" i="1"/>
  <c r="D51" i="1"/>
  <c r="N50" i="1"/>
  <c r="I50" i="1"/>
  <c r="D50" i="1"/>
  <c r="N49" i="1"/>
  <c r="I49" i="1"/>
  <c r="D49" i="1"/>
  <c r="N48" i="1"/>
  <c r="I48" i="1"/>
  <c r="D48" i="1"/>
  <c r="N47" i="1"/>
  <c r="I47" i="1"/>
  <c r="D47" i="1"/>
  <c r="N46" i="1"/>
  <c r="I46" i="1"/>
  <c r="D46" i="1"/>
  <c r="N44" i="1"/>
  <c r="I44" i="1"/>
  <c r="D44" i="1"/>
  <c r="N43" i="1"/>
  <c r="I43" i="1"/>
  <c r="D43" i="1"/>
  <c r="N42" i="1"/>
  <c r="I42" i="1"/>
  <c r="D42" i="1"/>
  <c r="N41" i="1"/>
  <c r="I41" i="1"/>
  <c r="D41" i="1"/>
  <c r="N40" i="1"/>
  <c r="I40" i="1"/>
  <c r="D40" i="1"/>
  <c r="Q39" i="1"/>
  <c r="N39" i="1"/>
  <c r="L39" i="1"/>
  <c r="I39" i="1"/>
  <c r="D39" i="1"/>
  <c r="N37" i="1"/>
  <c r="I37" i="1"/>
  <c r="D37" i="1"/>
  <c r="N36" i="1"/>
  <c r="I36" i="1"/>
  <c r="D36" i="1"/>
  <c r="N35" i="1"/>
  <c r="I35" i="1"/>
  <c r="D35" i="1"/>
  <c r="N34" i="1"/>
  <c r="I34" i="1"/>
  <c r="D34" i="1"/>
  <c r="N32" i="1"/>
  <c r="I32" i="1"/>
  <c r="D32" i="1"/>
  <c r="N31" i="1"/>
  <c r="I31" i="1"/>
  <c r="D31" i="1"/>
  <c r="N30" i="1"/>
  <c r="I30" i="1"/>
  <c r="D30" i="1"/>
  <c r="N29" i="1"/>
  <c r="I29" i="1"/>
  <c r="D29" i="1"/>
  <c r="N28" i="1"/>
  <c r="I28" i="1"/>
  <c r="D28" i="1"/>
  <c r="N27" i="1"/>
  <c r="I27" i="1"/>
  <c r="D27" i="1"/>
  <c r="N25" i="1"/>
  <c r="I25" i="1"/>
  <c r="D25" i="1"/>
  <c r="N24" i="1"/>
  <c r="I24" i="1"/>
  <c r="D24" i="1"/>
  <c r="N23" i="1"/>
  <c r="I23" i="1"/>
  <c r="D23" i="1"/>
  <c r="N22" i="1"/>
  <c r="I22" i="1"/>
  <c r="D22" i="1"/>
  <c r="N20" i="1"/>
  <c r="I20" i="1"/>
  <c r="D20" i="1"/>
  <c r="N19" i="1"/>
  <c r="I19" i="1"/>
  <c r="D19" i="1"/>
  <c r="N18" i="1"/>
  <c r="I18" i="1"/>
  <c r="D18" i="1"/>
  <c r="N17" i="1"/>
  <c r="I17" i="1"/>
  <c r="D17" i="1"/>
  <c r="N16" i="1"/>
  <c r="I16" i="1"/>
  <c r="D16" i="1"/>
  <c r="N14" i="1"/>
  <c r="I14" i="1"/>
  <c r="D14" i="1"/>
  <c r="N13" i="1"/>
  <c r="I13" i="1"/>
  <c r="D13" i="1"/>
  <c r="N12" i="1"/>
  <c r="I12" i="1"/>
  <c r="D12" i="1"/>
  <c r="N11" i="1"/>
  <c r="I11" i="1"/>
  <c r="D11" i="1"/>
  <c r="N10" i="1"/>
  <c r="I10" i="1"/>
  <c r="D10" i="1"/>
  <c r="N9" i="1"/>
  <c r="I9" i="1"/>
  <c r="D9" i="1"/>
  <c r="N7" i="1"/>
  <c r="I7" i="1"/>
  <c r="D7" i="1"/>
  <c r="N6" i="1"/>
  <c r="I6" i="1"/>
  <c r="D6" i="1"/>
  <c r="N5" i="1"/>
  <c r="I5" i="1"/>
  <c r="D5" i="1"/>
  <c r="N4" i="1"/>
  <c r="I4" i="1"/>
  <c r="D4" i="1"/>
</calcChain>
</file>

<file path=xl/sharedStrings.xml><?xml version="1.0" encoding="utf-8"?>
<sst xmlns="http://schemas.openxmlformats.org/spreadsheetml/2006/main" count="609" uniqueCount="375">
  <si>
    <t>July(3rd)</t>
  </si>
  <si>
    <t>MSH</t>
  </si>
  <si>
    <t>Interdiscount</t>
  </si>
  <si>
    <t>Digitec</t>
  </si>
  <si>
    <t>Display</t>
  </si>
  <si>
    <t>Series</t>
  </si>
  <si>
    <t>Model</t>
  </si>
  <si>
    <t>Net Value</t>
  </si>
  <si>
    <t>판촉가</t>
  </si>
  <si>
    <t>Cashback</t>
  </si>
  <si>
    <t>ATA</t>
  </si>
  <si>
    <t>OLED</t>
  </si>
  <si>
    <t>83G5</t>
  </si>
  <si>
    <t>OLED83G57LW</t>
  </si>
  <si>
    <t>77G5</t>
  </si>
  <si>
    <t>OLED77G57LW</t>
  </si>
  <si>
    <t>65G5</t>
  </si>
  <si>
    <t>OLED65G59LS</t>
  </si>
  <si>
    <t>OLED65G57LW</t>
  </si>
  <si>
    <t>55G5</t>
  </si>
  <si>
    <t>OLED55G57LW</t>
  </si>
  <si>
    <t>83C5</t>
  </si>
  <si>
    <t>OLED83C57LA</t>
  </si>
  <si>
    <t>77C5</t>
  </si>
  <si>
    <t>OLED77C57LA</t>
  </si>
  <si>
    <t>OLED77C58LA</t>
  </si>
  <si>
    <t>65C5</t>
  </si>
  <si>
    <t>OLED65C57LA</t>
  </si>
  <si>
    <t>OLED65C58LA</t>
  </si>
  <si>
    <t>55C5</t>
  </si>
  <si>
    <t>OLED55C58LA</t>
  </si>
  <si>
    <t>OLED55C57LA</t>
  </si>
  <si>
    <t>48C5</t>
  </si>
  <si>
    <t>OLED48C57LA</t>
  </si>
  <si>
    <t>OLED48C58</t>
  </si>
  <si>
    <t>42C5</t>
  </si>
  <si>
    <t>OLED42C57LA</t>
  </si>
  <si>
    <t>83B5</t>
  </si>
  <si>
    <t>OLED83B59LA</t>
  </si>
  <si>
    <t>77B5</t>
  </si>
  <si>
    <t>OLED77B56LA</t>
  </si>
  <si>
    <t>65B5</t>
  </si>
  <si>
    <t>OLED65B59LA</t>
  </si>
  <si>
    <t>55B5</t>
  </si>
  <si>
    <t>OLED55B59LA</t>
  </si>
  <si>
    <t>48B5</t>
  </si>
  <si>
    <t>OLED48B59LA</t>
  </si>
  <si>
    <t>83S95F</t>
  </si>
  <si>
    <t>QE83S95FAE</t>
  </si>
  <si>
    <t>QE83S95F</t>
  </si>
  <si>
    <t>77S95F</t>
  </si>
  <si>
    <t>QE77S95FAT</t>
  </si>
  <si>
    <t>QE77S95F</t>
  </si>
  <si>
    <t>65S95F</t>
  </si>
  <si>
    <t>QE65S95FAT</t>
  </si>
  <si>
    <t>QE65S95F</t>
  </si>
  <si>
    <t>55S95F</t>
  </si>
  <si>
    <t>QE55S95FAT</t>
  </si>
  <si>
    <t>QE55S95F</t>
  </si>
  <si>
    <t>83S90F</t>
  </si>
  <si>
    <t>QE83S90FAE</t>
  </si>
  <si>
    <t>QE83S90FAEXZU</t>
  </si>
  <si>
    <t>77S90F</t>
  </si>
  <si>
    <t>QE77S90FAE</t>
  </si>
  <si>
    <t>QE77S90FAEXZU</t>
  </si>
  <si>
    <t>65S90F</t>
  </si>
  <si>
    <t>QE65S90FAT</t>
  </si>
  <si>
    <t>QE65S90F</t>
  </si>
  <si>
    <t>55S90F</t>
  </si>
  <si>
    <t>QE55S90FAE</t>
  </si>
  <si>
    <t>QE55S90FAEXZU</t>
  </si>
  <si>
    <t>48S90F</t>
  </si>
  <si>
    <t>QE48S90FAEXZU</t>
  </si>
  <si>
    <t>42S90F</t>
  </si>
  <si>
    <t>QE42S90FAE</t>
  </si>
  <si>
    <t>QE42S90F</t>
  </si>
  <si>
    <t>83S85F</t>
  </si>
  <si>
    <t>QE83S85FAE</t>
  </si>
  <si>
    <t>QE83S85FAEXZU</t>
  </si>
  <si>
    <t>QE83S85F</t>
  </si>
  <si>
    <t>77S85F</t>
  </si>
  <si>
    <t>QE77S85FAE</t>
  </si>
  <si>
    <t>65S85F</t>
  </si>
  <si>
    <t>QE65S85FAE</t>
  </si>
  <si>
    <t>55S85F</t>
  </si>
  <si>
    <t>QE55S85FAU</t>
  </si>
  <si>
    <t>QNED</t>
  </si>
  <si>
    <t>100QNED86A</t>
  </si>
  <si>
    <t>100QNED86A6</t>
  </si>
  <si>
    <t>86QNED86A</t>
  </si>
  <si>
    <t>86QNED86A6A</t>
  </si>
  <si>
    <t>75QNED86A</t>
  </si>
  <si>
    <t>65QNED86A</t>
  </si>
  <si>
    <t>65QNED86A6A</t>
  </si>
  <si>
    <t>55QNED86A</t>
  </si>
  <si>
    <t>55QNED86A6A</t>
  </si>
  <si>
    <t>50QNED86A</t>
  </si>
  <si>
    <t>50QNED86A6C</t>
  </si>
  <si>
    <t>86QNED80A</t>
  </si>
  <si>
    <t>86QNED80A6A</t>
  </si>
  <si>
    <t>75QNED80A</t>
  </si>
  <si>
    <t>75QNED80A6A</t>
  </si>
  <si>
    <t>65QNED80A</t>
  </si>
  <si>
    <t>65QNED80A6A</t>
  </si>
  <si>
    <t>55QNED80A</t>
  </si>
  <si>
    <t>55QNED80A6A</t>
  </si>
  <si>
    <t>50QNED80A</t>
  </si>
  <si>
    <t>50QNED80A6A</t>
  </si>
  <si>
    <t>43QNED80A</t>
  </si>
  <si>
    <t>43QNED80A6A</t>
  </si>
  <si>
    <t>QLED</t>
  </si>
  <si>
    <t>85QN70F</t>
  </si>
  <si>
    <t>QE85QN70F</t>
  </si>
  <si>
    <t>QE85QN70FAU</t>
  </si>
  <si>
    <t>75QN70F</t>
  </si>
  <si>
    <t>QE75QN70FAU</t>
  </si>
  <si>
    <t>QE75QN70FAUXXN</t>
  </si>
  <si>
    <t>65QN70F</t>
  </si>
  <si>
    <t>QE65QN70F</t>
  </si>
  <si>
    <t>QE65QN70FAU</t>
  </si>
  <si>
    <t>55QN70F</t>
  </si>
  <si>
    <t>QE55QN70FAUXXN</t>
  </si>
  <si>
    <t>QE55QN70FAU</t>
  </si>
  <si>
    <t>85Q8F</t>
  </si>
  <si>
    <t>QE85Q8FAAU</t>
  </si>
  <si>
    <t>QE85Q8F</t>
  </si>
  <si>
    <t>75Q8F</t>
  </si>
  <si>
    <t>QE75Q8FAAU</t>
  </si>
  <si>
    <t>QE75Q8FAAUXXN</t>
  </si>
  <si>
    <t>65Q8F</t>
  </si>
  <si>
    <t>QE65Q8FAAU</t>
  </si>
  <si>
    <t>QE65Q8F</t>
  </si>
  <si>
    <t>55Q8F</t>
  </si>
  <si>
    <t>QE55Q8FAAU</t>
  </si>
  <si>
    <t>QE55Q8F</t>
  </si>
  <si>
    <t>50Q8F</t>
  </si>
  <si>
    <t>QE50Q8FAAU</t>
  </si>
  <si>
    <t>QE50Q8F</t>
  </si>
  <si>
    <t>85Q7F</t>
  </si>
  <si>
    <t>QE85Q7FAAU</t>
  </si>
  <si>
    <t>75Q7F</t>
  </si>
  <si>
    <t>QE75Q7FAAU</t>
  </si>
  <si>
    <t>65Q7F</t>
  </si>
  <si>
    <t>QE65Q7FAAU</t>
  </si>
  <si>
    <t>55Q7F</t>
  </si>
  <si>
    <t>50Q7F</t>
  </si>
  <si>
    <t>QE50Q7FAAU</t>
  </si>
  <si>
    <t>QE50Q7F</t>
  </si>
  <si>
    <t>43Q7F</t>
  </si>
  <si>
    <t>UHD 4K</t>
  </si>
  <si>
    <t>86UA75</t>
  </si>
  <si>
    <t>75UA75</t>
  </si>
  <si>
    <t>75UA75006LA</t>
  </si>
  <si>
    <t>65UA75</t>
  </si>
  <si>
    <t>65UA75006LA</t>
  </si>
  <si>
    <t>55UA75</t>
  </si>
  <si>
    <t>55UA75006LA</t>
  </si>
  <si>
    <t>50UA75</t>
  </si>
  <si>
    <t>43UA75</t>
  </si>
  <si>
    <t>43UA75006LA</t>
  </si>
  <si>
    <t>85U8000F</t>
  </si>
  <si>
    <t>UE85U8000FUXXN</t>
  </si>
  <si>
    <t>UE85U8000F</t>
  </si>
  <si>
    <t>75U8000F</t>
  </si>
  <si>
    <t>UE75U8000FU</t>
  </si>
  <si>
    <t>UE75U8000FUXXN</t>
  </si>
  <si>
    <t>65U8000F</t>
  </si>
  <si>
    <t>UE65U8000FU</t>
  </si>
  <si>
    <t>UE65U8000F</t>
  </si>
  <si>
    <t>55U8000F</t>
  </si>
  <si>
    <t>UE55U8000FU</t>
  </si>
  <si>
    <t>UE55U8000F</t>
  </si>
  <si>
    <t>50U8000F</t>
  </si>
  <si>
    <t>UE50U8000FU</t>
  </si>
  <si>
    <t>UE50U8000F</t>
  </si>
  <si>
    <t>43U8000F</t>
  </si>
  <si>
    <t>UE43U8000FU</t>
  </si>
  <si>
    <t>UE43U8000FUXXN</t>
  </si>
  <si>
    <t>83G6</t>
  </si>
  <si>
    <t>OLED83G67LW</t>
  </si>
  <si>
    <t>77G6</t>
  </si>
  <si>
    <t>65G6</t>
  </si>
  <si>
    <t>OLED65G67LW</t>
  </si>
  <si>
    <t>55G6</t>
  </si>
  <si>
    <t>83C6</t>
  </si>
  <si>
    <t>OLED83C67LA</t>
  </si>
  <si>
    <t>OLED83C6</t>
  </si>
  <si>
    <t>77C6</t>
  </si>
  <si>
    <t>OLED77C67LA</t>
  </si>
  <si>
    <t>OLED77C6</t>
  </si>
  <si>
    <t>65C6</t>
  </si>
  <si>
    <t>OLED65C67LA</t>
  </si>
  <si>
    <t>OLED65C6</t>
  </si>
  <si>
    <t>55C6</t>
  </si>
  <si>
    <t>OLED55C67LA-OLED</t>
  </si>
  <si>
    <t>OLED55C6</t>
  </si>
  <si>
    <t>48C6</t>
  </si>
  <si>
    <t>OLED48C67LA</t>
  </si>
  <si>
    <t>OLED48C6</t>
  </si>
  <si>
    <t>42C6</t>
  </si>
  <si>
    <t>OLED42C6</t>
  </si>
  <si>
    <t>OLED42C6ELB</t>
  </si>
  <si>
    <t>83B6</t>
  </si>
  <si>
    <t>77B6</t>
  </si>
  <si>
    <t>65B6</t>
  </si>
  <si>
    <t>55B6</t>
  </si>
  <si>
    <t>48B6</t>
  </si>
  <si>
    <t>83S99H</t>
  </si>
  <si>
    <t>QE83S99HAEXZU</t>
  </si>
  <si>
    <t>77S99H</t>
  </si>
  <si>
    <t>77-OLED-S99H</t>
  </si>
  <si>
    <t>QE77S99H</t>
  </si>
  <si>
    <t>QE77S99HATXZU</t>
  </si>
  <si>
    <t>65S99H</t>
  </si>
  <si>
    <t>65-OLED-S99H</t>
  </si>
  <si>
    <t>QE65S99H</t>
  </si>
  <si>
    <t>QE65S99HATXZU</t>
  </si>
  <si>
    <t>55S99H</t>
  </si>
  <si>
    <t>55-OLED-S99H</t>
  </si>
  <si>
    <t>QE55S99H</t>
  </si>
  <si>
    <t>QE55S99HATXZU</t>
  </si>
  <si>
    <t>83S95H</t>
  </si>
  <si>
    <t>77S95H</t>
  </si>
  <si>
    <t>65S95H</t>
  </si>
  <si>
    <t>55S95H</t>
  </si>
  <si>
    <t>QE55S95HFTXZU</t>
  </si>
  <si>
    <t>83S90H</t>
  </si>
  <si>
    <t>83-OLED-S90H</t>
  </si>
  <si>
    <t>QE83S90H</t>
  </si>
  <si>
    <t>77S90H</t>
  </si>
  <si>
    <t>77-OLED-S90H</t>
  </si>
  <si>
    <t>QE77S90H</t>
  </si>
  <si>
    <t>QE77S90HATXZU</t>
  </si>
  <si>
    <t>65S90H</t>
  </si>
  <si>
    <t>65-OLED-S90H</t>
  </si>
  <si>
    <t>QE65S90H</t>
  </si>
  <si>
    <t>QE65S90HAEXZU</t>
  </si>
  <si>
    <t>55S90H</t>
  </si>
  <si>
    <t>55-OLED-S90H</t>
  </si>
  <si>
    <t>QE55S90H</t>
  </si>
  <si>
    <t>48S90H</t>
  </si>
  <si>
    <t>48-OLED-S90H</t>
  </si>
  <si>
    <t>QE48S90H</t>
  </si>
  <si>
    <t>42S90H</t>
  </si>
  <si>
    <t>42-OLED-S90H</t>
  </si>
  <si>
    <t>QE42S90H</t>
  </si>
  <si>
    <t>QE42S90HAEXXN</t>
  </si>
  <si>
    <t>83S85H</t>
  </si>
  <si>
    <t>QE83S85H</t>
  </si>
  <si>
    <t>77S85H</t>
  </si>
  <si>
    <t>QE77S85H</t>
  </si>
  <si>
    <t>65S85H</t>
  </si>
  <si>
    <t>QE65S85H</t>
  </si>
  <si>
    <t>55S85H</t>
  </si>
  <si>
    <t>QE55S85H</t>
  </si>
  <si>
    <t>48S85H</t>
  </si>
  <si>
    <t>QE48S85H</t>
  </si>
  <si>
    <t>86QNED90</t>
  </si>
  <si>
    <t>75QNED90</t>
  </si>
  <si>
    <t>65QNED90</t>
  </si>
  <si>
    <t>55QNED90</t>
  </si>
  <si>
    <t>86QNED85</t>
  </si>
  <si>
    <t>86QNED86B</t>
  </si>
  <si>
    <t>75QNED85</t>
  </si>
  <si>
    <t>75QNED86B6B</t>
  </si>
  <si>
    <t>65QNED86B</t>
  </si>
  <si>
    <t>65QNED85</t>
  </si>
  <si>
    <t>55QNED85</t>
  </si>
  <si>
    <t>55QNED86B6B</t>
  </si>
  <si>
    <t>55QNED86B</t>
  </si>
  <si>
    <t>50QNED85</t>
  </si>
  <si>
    <t>50QNED86B6B</t>
  </si>
  <si>
    <t>50QNED86B</t>
  </si>
  <si>
    <t>43QNED85</t>
  </si>
  <si>
    <t>43QNED86B6B</t>
  </si>
  <si>
    <t>43QNED86B</t>
  </si>
  <si>
    <t>86QNED80</t>
  </si>
  <si>
    <t>75QNED80</t>
  </si>
  <si>
    <t>65QNED80</t>
  </si>
  <si>
    <t>55QNED80</t>
  </si>
  <si>
    <t>50QNED80</t>
  </si>
  <si>
    <t>43QNED80</t>
  </si>
  <si>
    <t>86QNED70</t>
  </si>
  <si>
    <t>75QNED70</t>
  </si>
  <si>
    <t>75QNED7EB</t>
  </si>
  <si>
    <t>65QNED70</t>
  </si>
  <si>
    <t>65QNED7EB</t>
  </si>
  <si>
    <t>65QNED7EB3C</t>
  </si>
  <si>
    <t>55QNED70</t>
  </si>
  <si>
    <t>55QNED7EB</t>
  </si>
  <si>
    <t>50QNED70</t>
  </si>
  <si>
    <t>50QNED7EB</t>
  </si>
  <si>
    <t>43QNED70</t>
  </si>
  <si>
    <t>43QNED7EB</t>
  </si>
  <si>
    <t>85R95H</t>
  </si>
  <si>
    <t>85-MICRO-RGB-R85H</t>
  </si>
  <si>
    <t>MRE85R95HATXZU</t>
  </si>
  <si>
    <t>75R95H</t>
  </si>
  <si>
    <t>75-MICRO-RGB-R85H</t>
  </si>
  <si>
    <t>MRE75R85H</t>
  </si>
  <si>
    <t>65R95H</t>
  </si>
  <si>
    <t>65-MICRO-RGB-R85H</t>
  </si>
  <si>
    <t>MRE65R85H</t>
  </si>
  <si>
    <t>55R95H</t>
  </si>
  <si>
    <t>55-MICRO-RGB-R85H</t>
  </si>
  <si>
    <t>MRE55R85H</t>
  </si>
  <si>
    <t>MRE55R85HAUXXN</t>
  </si>
  <si>
    <t>100QN80H</t>
  </si>
  <si>
    <t>100-NEO-QLED-QN80H</t>
  </si>
  <si>
    <t>QE100QN80H</t>
  </si>
  <si>
    <t>85QN80H</t>
  </si>
  <si>
    <t>85-NEO-QLED-QN80H</t>
  </si>
  <si>
    <t>QE85QN80H</t>
  </si>
  <si>
    <t>QE85QN80HAUXXN</t>
  </si>
  <si>
    <t>75QN80H</t>
  </si>
  <si>
    <t>75-NEO-QLED-QN80H</t>
  </si>
  <si>
    <t>QE75QN80H</t>
  </si>
  <si>
    <t>QE75QN80HAUXXN</t>
  </si>
  <si>
    <t>65QN80H</t>
  </si>
  <si>
    <t>65-NEO-QLED-QN80H</t>
  </si>
  <si>
    <t>QE65QN80H</t>
  </si>
  <si>
    <t>55QN80H</t>
  </si>
  <si>
    <t>55-NEO-QLED-QN80H</t>
  </si>
  <si>
    <t>QE55QN80H</t>
  </si>
  <si>
    <t>50QN80H</t>
  </si>
  <si>
    <t>50-NEO-QLED-QN80H</t>
  </si>
  <si>
    <t>QE50QN80H</t>
  </si>
  <si>
    <t>85QN70H</t>
  </si>
  <si>
    <t>75QN70H</t>
  </si>
  <si>
    <t>65QN70H</t>
  </si>
  <si>
    <t>55QN70H</t>
  </si>
  <si>
    <t>50QN70H</t>
  </si>
  <si>
    <t>43QN70H</t>
  </si>
  <si>
    <t>85M70H</t>
  </si>
  <si>
    <t>UE85M70H</t>
  </si>
  <si>
    <t>75M70H</t>
  </si>
  <si>
    <t>UE75M70H</t>
  </si>
  <si>
    <t>UE75M70HAUXXN</t>
  </si>
  <si>
    <t>65M70H</t>
  </si>
  <si>
    <t>UE65M70H</t>
  </si>
  <si>
    <t>55M70H</t>
  </si>
  <si>
    <t>UE55M70H</t>
  </si>
  <si>
    <t>50M70H</t>
  </si>
  <si>
    <t>UE50M70H</t>
  </si>
  <si>
    <t>UE50M70HAUXXN</t>
  </si>
  <si>
    <t>43M70H</t>
  </si>
  <si>
    <t>UE43M70H</t>
  </si>
  <si>
    <t>UE43M70HAUXXN</t>
  </si>
  <si>
    <t>86NU85</t>
  </si>
  <si>
    <t>75NU85</t>
  </si>
  <si>
    <t>65NU85</t>
  </si>
  <si>
    <t>55NU85</t>
  </si>
  <si>
    <t>50NU85</t>
  </si>
  <si>
    <t>43NU85</t>
  </si>
  <si>
    <t>85U8000H</t>
  </si>
  <si>
    <t>85-CRYSTAL-UHD-U8090H</t>
  </si>
  <si>
    <t>75U8000H</t>
  </si>
  <si>
    <t>75-CRYSTAL-UHD-U8090H</t>
  </si>
  <si>
    <t>UE75U8090H</t>
  </si>
  <si>
    <t>65U8000H</t>
  </si>
  <si>
    <t>65-CRYSTAL-UHD-U8090H</t>
  </si>
  <si>
    <t>UE65U8090H</t>
  </si>
  <si>
    <t>55U8000H</t>
  </si>
  <si>
    <t>55-CRYSTAL-UHD-U8090H</t>
  </si>
  <si>
    <t>UE55U8090H</t>
  </si>
  <si>
    <t>50U8000H</t>
  </si>
  <si>
    <t>50-CRYSTAL-UHD-U8090H</t>
  </si>
  <si>
    <t>UE50U8090H</t>
  </si>
  <si>
    <t>43U8000H</t>
  </si>
  <si>
    <t>43-CRYSTAL-UHD-U8090H</t>
  </si>
  <si>
    <t>UE43U8090H</t>
  </si>
  <si>
    <t>85R85H</t>
    <phoneticPr fontId="6" type="noConversion"/>
  </si>
  <si>
    <t>75R85H</t>
    <phoneticPr fontId="6" type="noConversion"/>
  </si>
  <si>
    <t>65R85H</t>
    <phoneticPr fontId="6" type="noConversion"/>
  </si>
  <si>
    <t>55R85H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</si>
</sst>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0"/>
      <name val="Calibri"/>
    </font>
    <font>
      <sz val="10"/>
      <color rgb="FF002060"/>
      <name val="Calibri"/>
    </font>
    <font>
      <b/>
      <sz val="10"/>
      <color rgb="FFFFFFFF"/>
      <name val="Calibri"/>
    </font>
    <font>
      <sz val="10"/>
      <color rgb="FF2C2C2C"/>
      <name val="Calibri"/>
    </font>
    <font>
      <b/>
      <sz val="15"/>
      <color theme="0"/>
      <name val="Calibri"/>
      <family val="2"/>
    </font>
    <font>
      <sz val="8"/>
      <name val="맑은 고딕"/>
      <family val="3"/>
      <charset val="129"/>
      <scheme val="minor"/>
    </font>
    <font>
      <b/>
      <sz val="11"/>
      <name val="Calibri"/>
    </font>
    <font>
      <b/>
      <sz val="11"/>
      <color rgb="FF002060"/>
      <name val="Calibri"/>
    </font>
    <font>
      <sz val="11"/>
      <color rgb="FF002060"/>
      <name val="Calibri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  <font>
      <sz val="11"/>
      <color rgb="FFFF0000"/>
      <name val="맑은 고딕"/>
      <family val="2"/>
      <scheme val="minor"/>
    </font>
    <font>
      <b/>
      <sz val="11"/>
      <color rgb="FF002060"/>
      <name val="Calibri"/>
      <family val="2"/>
    </font>
    <font>
      <b/>
      <sz val="11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8F9FA"/>
      </patternFill>
    </fill>
    <fill>
      <patternFill patternType="solid">
        <fgColor theme="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right" vertical="center"/>
    </xf>
    <xf numFmtId="9" fontId="4" fillId="7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0" fontId="4" fillId="7" borderId="1" xfId="0" applyFont="1" applyFill="1" applyBorder="1"/>
    <xf numFmtId="0" fontId="4" fillId="7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/>
    </xf>
    <xf numFmtId="3" fontId="2" fillId="8" borderId="1" xfId="0" applyNumberFormat="1" applyFont="1" applyFill="1" applyBorder="1" applyAlignment="1">
      <alignment horizontal="right" vertical="center"/>
    </xf>
    <xf numFmtId="9" fontId="2" fillId="8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/>
    </xf>
    <xf numFmtId="3" fontId="4" fillId="9" borderId="1" xfId="0" applyNumberFormat="1" applyFont="1" applyFill="1" applyBorder="1" applyAlignment="1">
      <alignment horizontal="right" vertical="center"/>
    </xf>
    <xf numFmtId="9" fontId="4" fillId="9" borderId="1" xfId="0" applyNumberFormat="1" applyFont="1" applyFill="1" applyBorder="1" applyAlignment="1">
      <alignment horizontal="right" vertical="center"/>
    </xf>
    <xf numFmtId="0" fontId="0" fillId="10" borderId="0" xfId="0" applyFill="1"/>
    <xf numFmtId="3" fontId="2" fillId="11" borderId="1" xfId="0" applyNumberFormat="1" applyFont="1" applyFill="1" applyBorder="1" applyAlignment="1">
      <alignment horizontal="right" vertical="center"/>
    </xf>
    <xf numFmtId="9" fontId="2" fillId="11" borderId="1" xfId="0" applyNumberFormat="1" applyFont="1" applyFill="1" applyBorder="1" applyAlignment="1">
      <alignment horizontal="right" vertical="center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7" fillId="0" borderId="0" xfId="0" applyFont="1"/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3" fontId="11" fillId="9" borderId="1" xfId="0" applyNumberFormat="1" applyFont="1" applyFill="1" applyBorder="1" applyAlignment="1">
      <alignment horizontal="right" vertical="center"/>
    </xf>
    <xf numFmtId="9" fontId="11" fillId="9" borderId="1" xfId="0" applyNumberFormat="1" applyFont="1" applyFill="1" applyBorder="1" applyAlignment="1">
      <alignment horizontal="right" vertical="center"/>
    </xf>
    <xf numFmtId="0" fontId="12" fillId="10" borderId="0" xfId="0" applyFont="1" applyFill="1"/>
    <xf numFmtId="0" fontId="13" fillId="9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3" fontId="4" fillId="12" borderId="1" xfId="0" applyNumberFormat="1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horizontal="right" vertical="center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right" vertical="center"/>
    </xf>
    <xf numFmtId="3" fontId="2" fillId="13" borderId="1" xfId="0" applyNumberFormat="1" applyFont="1" applyFill="1" applyBorder="1" applyAlignment="1">
      <alignment horizontal="right" vertical="center"/>
    </xf>
    <xf numFmtId="9" fontId="2" fillId="13" borderId="1" xfId="0" applyNumberFormat="1" applyFont="1" applyFill="1" applyBorder="1" applyAlignment="1">
      <alignment horizontal="right" vertical="center"/>
    </xf>
    <xf numFmtId="0" fontId="7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407ED8-9E71-4D58-82D6-E71E36E0A8C0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f2d8b550-604a-435d-856c-1fc01aad704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showGridLines="0" topLeftCell="A76" zoomScale="80" zoomScaleNormal="80" workbookViewId="0">
      <selection activeCell="D87" sqref="D87"/>
    </sheetView>
  </sheetViews>
  <sheetFormatPr defaultRowHeight="17.399999999999999" x14ac:dyDescent="0.4"/>
  <cols>
    <col min="2" max="2" width="16" customWidth="1"/>
    <col min="3" max="3" width="18" customWidth="1"/>
    <col min="4" max="7" width="12" customWidth="1"/>
    <col min="8" max="8" width="18" customWidth="1"/>
    <col min="9" max="12" width="12" customWidth="1"/>
    <col min="13" max="13" width="18" customWidth="1"/>
    <col min="14" max="17" width="12" customWidth="1"/>
  </cols>
  <sheetData>
    <row r="1" spans="1:17" ht="19.8" customHeight="1" x14ac:dyDescent="0.4">
      <c r="C1" s="33" t="s">
        <v>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x14ac:dyDescent="0.4">
      <c r="C2" s="32" t="s">
        <v>1</v>
      </c>
      <c r="D2" s="31"/>
      <c r="E2" s="31"/>
      <c r="F2" s="31"/>
      <c r="G2" s="31"/>
      <c r="H2" s="30" t="s">
        <v>2</v>
      </c>
      <c r="I2" s="31"/>
      <c r="J2" s="31"/>
      <c r="K2" s="31"/>
      <c r="L2" s="31"/>
      <c r="M2" s="34" t="s">
        <v>3</v>
      </c>
      <c r="N2" s="31"/>
      <c r="O2" s="31"/>
      <c r="P2" s="31"/>
      <c r="Q2" s="31"/>
    </row>
    <row r="3" spans="1:17" ht="25.05" customHeight="1" x14ac:dyDescent="0.4">
      <c r="A3" s="4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10</v>
      </c>
    </row>
    <row r="4" spans="1:17" ht="19.95" customHeight="1" x14ac:dyDescent="0.4">
      <c r="A4" s="42" t="s">
        <v>11</v>
      </c>
      <c r="B4" s="42" t="s">
        <v>12</v>
      </c>
      <c r="C4" s="43" t="s">
        <v>13</v>
      </c>
      <c r="D4" s="44">
        <f>E4-F4</f>
        <v>3999</v>
      </c>
      <c r="E4" s="44">
        <v>3999</v>
      </c>
      <c r="F4" s="44">
        <v>0</v>
      </c>
      <c r="G4" s="45">
        <f>IFERROR(D4/D22,"")</f>
        <v>0.76918638199653777</v>
      </c>
      <c r="H4" s="43"/>
      <c r="I4" s="44">
        <f>J4-K4</f>
        <v>0</v>
      </c>
      <c r="J4" s="44"/>
      <c r="K4" s="44"/>
      <c r="L4" s="45">
        <f>IFERROR(I4/I22,"")</f>
        <v>0</v>
      </c>
      <c r="M4" s="43"/>
      <c r="N4" s="44">
        <f>O4-P4</f>
        <v>0</v>
      </c>
      <c r="O4" s="44"/>
      <c r="P4" s="44"/>
      <c r="Q4" s="45" t="str">
        <f>IFERROR(N4/N22,"")</f>
        <v/>
      </c>
    </row>
    <row r="5" spans="1:17" ht="19.95" customHeight="1" x14ac:dyDescent="0.4">
      <c r="A5" s="42" t="s">
        <v>11</v>
      </c>
      <c r="B5" s="42" t="s">
        <v>14</v>
      </c>
      <c r="C5" s="43" t="s">
        <v>15</v>
      </c>
      <c r="D5" s="44">
        <f>E5-F5</f>
        <v>2699.95</v>
      </c>
      <c r="E5" s="44">
        <v>2699.95</v>
      </c>
      <c r="F5" s="44">
        <v>0</v>
      </c>
      <c r="G5" s="45">
        <f>IFERROR(D5/D23,"")</f>
        <v>0.65074716799228727</v>
      </c>
      <c r="H5" s="43" t="s">
        <v>15</v>
      </c>
      <c r="I5" s="44">
        <f>J5-K5</f>
        <v>2699.95</v>
      </c>
      <c r="J5" s="44">
        <v>2699.95</v>
      </c>
      <c r="K5" s="44">
        <v>0</v>
      </c>
      <c r="L5" s="45">
        <f>IFERROR(I5/I23,"")</f>
        <v>0.77142530607580106</v>
      </c>
      <c r="M5" s="43"/>
      <c r="N5" s="44">
        <f>O5-P5</f>
        <v>0</v>
      </c>
      <c r="O5" s="44"/>
      <c r="P5" s="44"/>
      <c r="Q5" s="45" t="str">
        <f>IFERROR(N5/N23,"")</f>
        <v/>
      </c>
    </row>
    <row r="6" spans="1:17" ht="19.95" customHeight="1" x14ac:dyDescent="0.4">
      <c r="A6" s="42" t="s">
        <v>11</v>
      </c>
      <c r="B6" s="42" t="s">
        <v>16</v>
      </c>
      <c r="C6" s="43" t="s">
        <v>17</v>
      </c>
      <c r="D6" s="44">
        <f>E6-F6</f>
        <v>1869.95</v>
      </c>
      <c r="E6" s="44">
        <v>1869.95</v>
      </c>
      <c r="F6" s="44">
        <v>0</v>
      </c>
      <c r="G6" s="45">
        <f>IFERROR(D6/D24,"")</f>
        <v>0.61329944244014434</v>
      </c>
      <c r="H6" s="43" t="s">
        <v>18</v>
      </c>
      <c r="I6" s="44">
        <f>J6-K6</f>
        <v>1799.95</v>
      </c>
      <c r="J6" s="44">
        <v>1799.95</v>
      </c>
      <c r="K6" s="44">
        <v>0</v>
      </c>
      <c r="L6" s="45">
        <f>IFERROR(I6/I24,"")</f>
        <v>0.59999333322222037</v>
      </c>
      <c r="M6" s="43" t="s">
        <v>17</v>
      </c>
      <c r="N6" s="44">
        <f>O6-P6</f>
        <v>1799</v>
      </c>
      <c r="O6" s="44">
        <v>1799</v>
      </c>
      <c r="P6" s="44">
        <v>0</v>
      </c>
      <c r="Q6" s="45" t="str">
        <f>IFERROR(N6/N24,"")</f>
        <v/>
      </c>
    </row>
    <row r="7" spans="1:17" ht="19.95" customHeight="1" x14ac:dyDescent="0.4">
      <c r="A7" s="42" t="s">
        <v>11</v>
      </c>
      <c r="B7" s="42" t="s">
        <v>19</v>
      </c>
      <c r="C7" s="43" t="s">
        <v>20</v>
      </c>
      <c r="D7" s="44">
        <f>E7-F7</f>
        <v>1499.95</v>
      </c>
      <c r="E7" s="44">
        <v>1499.95</v>
      </c>
      <c r="F7" s="44">
        <v>0</v>
      </c>
      <c r="G7" s="45">
        <f>IFERROR(D7/D25,"")</f>
        <v>0.60022008803521409</v>
      </c>
      <c r="H7" s="43" t="s">
        <v>20</v>
      </c>
      <c r="I7" s="44">
        <f>J7-K7</f>
        <v>1449.95</v>
      </c>
      <c r="J7" s="44">
        <v>1449.95</v>
      </c>
      <c r="K7" s="44">
        <v>0</v>
      </c>
      <c r="L7" s="45">
        <f>IFERROR(I7/I25,"")</f>
        <v>0.72499312482812073</v>
      </c>
      <c r="M7" s="43"/>
      <c r="N7" s="44">
        <f>O7-P7</f>
        <v>0</v>
      </c>
      <c r="O7" s="44"/>
      <c r="P7" s="44"/>
      <c r="Q7" s="45">
        <f>IFERROR(N7/N25,"")</f>
        <v>0</v>
      </c>
    </row>
    <row r="8" spans="1:17" x14ac:dyDescent="0.4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19.95" customHeight="1" x14ac:dyDescent="0.4">
      <c r="A9" s="42" t="s">
        <v>11</v>
      </c>
      <c r="B9" s="42" t="s">
        <v>21</v>
      </c>
      <c r="C9" s="43" t="s">
        <v>22</v>
      </c>
      <c r="D9" s="44">
        <f t="shared" ref="D9:D14" si="0">E9-F9</f>
        <v>2239</v>
      </c>
      <c r="E9" s="44">
        <v>2239</v>
      </c>
      <c r="F9" s="44">
        <v>0</v>
      </c>
      <c r="G9" s="45">
        <f>IFERROR(D9/D27,"")</f>
        <v>1.0177504034182596</v>
      </c>
      <c r="H9" s="43" t="s">
        <v>22</v>
      </c>
      <c r="I9" s="44">
        <f t="shared" ref="I9:I14" si="1">J9-K9</f>
        <v>2499.9499999999998</v>
      </c>
      <c r="J9" s="44">
        <v>2499.9499999999998</v>
      </c>
      <c r="K9" s="44">
        <v>0</v>
      </c>
      <c r="L9" s="45">
        <f>IFERROR(I9/I27,"")</f>
        <v>1.2500062501562539</v>
      </c>
      <c r="M9" s="43" t="s">
        <v>22</v>
      </c>
      <c r="N9" s="44">
        <f t="shared" ref="N9:N14" si="2">O9-P9</f>
        <v>2199</v>
      </c>
      <c r="O9" s="44">
        <v>2199</v>
      </c>
      <c r="P9" s="44">
        <v>0</v>
      </c>
      <c r="Q9" s="45">
        <f>IFERROR(N9/N27,"")</f>
        <v>0.95650282731622449</v>
      </c>
    </row>
    <row r="10" spans="1:17" ht="19.95" customHeight="1" x14ac:dyDescent="0.4">
      <c r="A10" s="42" t="s">
        <v>11</v>
      </c>
      <c r="B10" s="42" t="s">
        <v>23</v>
      </c>
      <c r="C10" s="43" t="s">
        <v>24</v>
      </c>
      <c r="D10" s="44">
        <f t="shared" si="0"/>
        <v>1779</v>
      </c>
      <c r="E10" s="44">
        <v>1779</v>
      </c>
      <c r="F10" s="44">
        <v>0</v>
      </c>
      <c r="G10" s="45">
        <f>IFERROR(D10/D28,"")</f>
        <v>1.0113700966458214</v>
      </c>
      <c r="H10" s="43" t="s">
        <v>25</v>
      </c>
      <c r="I10" s="44">
        <f t="shared" si="1"/>
        <v>1879.95</v>
      </c>
      <c r="J10" s="44">
        <v>1879.95</v>
      </c>
      <c r="K10" s="44">
        <v>0</v>
      </c>
      <c r="L10" s="45">
        <f>IFERROR(I10/I28,"")</f>
        <v>1.0444456790466401</v>
      </c>
      <c r="M10" s="43" t="s">
        <v>24</v>
      </c>
      <c r="N10" s="44">
        <f t="shared" si="2"/>
        <v>1799</v>
      </c>
      <c r="O10" s="44">
        <v>1799</v>
      </c>
      <c r="P10" s="44">
        <v>0</v>
      </c>
      <c r="Q10" s="45">
        <f>IFERROR(N10/N28,"")</f>
        <v>0.97295835586803681</v>
      </c>
    </row>
    <row r="11" spans="1:17" ht="19.95" customHeight="1" x14ac:dyDescent="0.4">
      <c r="A11" s="42" t="s">
        <v>11</v>
      </c>
      <c r="B11" s="42" t="s">
        <v>26</v>
      </c>
      <c r="C11" s="43" t="s">
        <v>27</v>
      </c>
      <c r="D11" s="44">
        <f t="shared" si="0"/>
        <v>1239</v>
      </c>
      <c r="E11" s="44">
        <v>1239</v>
      </c>
      <c r="F11" s="44">
        <v>0</v>
      </c>
      <c r="G11" s="45">
        <f>IFERROR(D11/D29,"")</f>
        <v>0.95311358129158807</v>
      </c>
      <c r="H11" s="43" t="s">
        <v>28</v>
      </c>
      <c r="I11" s="44">
        <f t="shared" si="1"/>
        <v>1239.95</v>
      </c>
      <c r="J11" s="44">
        <v>1239.95</v>
      </c>
      <c r="K11" s="44">
        <v>0</v>
      </c>
      <c r="L11" s="45">
        <f>IFERROR(I11/I29,"")</f>
        <v>0.95384437862994731</v>
      </c>
      <c r="M11" s="43" t="s">
        <v>27</v>
      </c>
      <c r="N11" s="44">
        <f t="shared" si="2"/>
        <v>1249</v>
      </c>
      <c r="O11" s="44">
        <v>1249</v>
      </c>
      <c r="P11" s="44">
        <v>0</v>
      </c>
      <c r="Q11" s="45">
        <f>IFERROR(N11/N29,"")</f>
        <v>0.83657066309444073</v>
      </c>
    </row>
    <row r="12" spans="1:17" ht="19.95" customHeight="1" x14ac:dyDescent="0.4">
      <c r="A12" s="42" t="s">
        <v>11</v>
      </c>
      <c r="B12" s="42" t="s">
        <v>29</v>
      </c>
      <c r="C12" s="43"/>
      <c r="D12" s="44">
        <f t="shared" si="0"/>
        <v>0</v>
      </c>
      <c r="E12" s="44"/>
      <c r="F12" s="44"/>
      <c r="G12" s="45">
        <f>IFERROR(D12/D30,"")</f>
        <v>0</v>
      </c>
      <c r="H12" s="43" t="s">
        <v>30</v>
      </c>
      <c r="I12" s="44">
        <f t="shared" si="1"/>
        <v>979.95</v>
      </c>
      <c r="J12" s="44">
        <v>979.95</v>
      </c>
      <c r="K12" s="44">
        <v>0</v>
      </c>
      <c r="L12" s="45">
        <f>IFERROR(I12/I30,"")</f>
        <v>0.97999899994999751</v>
      </c>
      <c r="M12" s="43" t="s">
        <v>31</v>
      </c>
      <c r="N12" s="44">
        <f t="shared" si="2"/>
        <v>979</v>
      </c>
      <c r="O12" s="44">
        <v>979</v>
      </c>
      <c r="P12" s="44">
        <v>0</v>
      </c>
      <c r="Q12" s="45">
        <f>IFERROR(N12/N30,"")</f>
        <v>0.82199832073887491</v>
      </c>
    </row>
    <row r="13" spans="1:17" ht="19.95" customHeight="1" x14ac:dyDescent="0.4">
      <c r="A13" s="42" t="s">
        <v>11</v>
      </c>
      <c r="B13" s="42" t="s">
        <v>32</v>
      </c>
      <c r="C13" s="43" t="s">
        <v>33</v>
      </c>
      <c r="D13" s="44">
        <f t="shared" si="0"/>
        <v>819</v>
      </c>
      <c r="E13" s="44">
        <v>819</v>
      </c>
      <c r="F13" s="44">
        <v>0</v>
      </c>
      <c r="G13" s="45" t="str">
        <f>IFERROR(D13/D31,"")</f>
        <v/>
      </c>
      <c r="H13" s="43" t="s">
        <v>34</v>
      </c>
      <c r="I13" s="44">
        <f t="shared" si="1"/>
        <v>849.95</v>
      </c>
      <c r="J13" s="44">
        <v>849.95</v>
      </c>
      <c r="K13" s="44">
        <v>0</v>
      </c>
      <c r="L13" s="45">
        <f>IFERROR(I13/I31,"")</f>
        <v>1</v>
      </c>
      <c r="M13" s="43" t="s">
        <v>33</v>
      </c>
      <c r="N13" s="44">
        <f t="shared" si="2"/>
        <v>839</v>
      </c>
      <c r="O13" s="44">
        <v>839</v>
      </c>
      <c r="P13" s="44">
        <v>0</v>
      </c>
      <c r="Q13" s="45" t="str">
        <f>IFERROR(N13/N31,"")</f>
        <v/>
      </c>
    </row>
    <row r="14" spans="1:17" ht="19.95" customHeight="1" x14ac:dyDescent="0.4">
      <c r="A14" s="42" t="s">
        <v>11</v>
      </c>
      <c r="B14" s="42" t="s">
        <v>35</v>
      </c>
      <c r="C14" s="43" t="s">
        <v>36</v>
      </c>
      <c r="D14" s="44">
        <f t="shared" si="0"/>
        <v>709</v>
      </c>
      <c r="E14" s="44">
        <v>709</v>
      </c>
      <c r="F14" s="44">
        <v>0</v>
      </c>
      <c r="G14" s="45">
        <f>IFERROR(D14/D32,"")</f>
        <v>0.9712994040687718</v>
      </c>
      <c r="H14" s="43" t="s">
        <v>36</v>
      </c>
      <c r="I14" s="44">
        <f t="shared" si="1"/>
        <v>739.95</v>
      </c>
      <c r="J14" s="44">
        <v>739.95</v>
      </c>
      <c r="K14" s="44">
        <v>0</v>
      </c>
      <c r="L14" s="45">
        <f>IFERROR(I14/I32,"")</f>
        <v>1.0136995684635934</v>
      </c>
      <c r="M14" s="43" t="s">
        <v>36</v>
      </c>
      <c r="N14" s="44">
        <f t="shared" si="2"/>
        <v>729</v>
      </c>
      <c r="O14" s="44">
        <v>729</v>
      </c>
      <c r="P14" s="44">
        <v>0</v>
      </c>
      <c r="Q14" s="45">
        <f>IFERROR(N14/N32,"")</f>
        <v>0.8218714768883878</v>
      </c>
    </row>
    <row r="15" spans="1:17" x14ac:dyDescent="0.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19.95" customHeight="1" x14ac:dyDescent="0.4">
      <c r="A16" s="42" t="s">
        <v>11</v>
      </c>
      <c r="B16" s="42" t="s">
        <v>37</v>
      </c>
      <c r="C16" s="43" t="s">
        <v>38</v>
      </c>
      <c r="D16" s="44">
        <f>E16-F16</f>
        <v>1849.95</v>
      </c>
      <c r="E16" s="44">
        <v>1849.95</v>
      </c>
      <c r="F16" s="44">
        <v>0</v>
      </c>
      <c r="G16" s="45">
        <f>IFERROR(D16/D34,"")</f>
        <v>0.58747221340107969</v>
      </c>
      <c r="H16" s="43"/>
      <c r="I16" s="44">
        <f>J16-K16</f>
        <v>0</v>
      </c>
      <c r="J16" s="44"/>
      <c r="K16" s="44"/>
      <c r="L16" s="45">
        <f>IFERROR(I16/I34,"")</f>
        <v>0</v>
      </c>
      <c r="M16" s="43" t="s">
        <v>38</v>
      </c>
      <c r="N16" s="44">
        <f>O16-P16</f>
        <v>1818</v>
      </c>
      <c r="O16" s="44">
        <v>1818</v>
      </c>
      <c r="P16" s="44">
        <v>0</v>
      </c>
      <c r="Q16" s="45">
        <f>IFERROR(N16/N34,"")</f>
        <v>1.0105614230127848</v>
      </c>
    </row>
    <row r="17" spans="1:17" ht="19.95" customHeight="1" x14ac:dyDescent="0.4">
      <c r="A17" s="42" t="s">
        <v>11</v>
      </c>
      <c r="B17" s="42" t="s">
        <v>39</v>
      </c>
      <c r="C17" s="43"/>
      <c r="D17" s="44">
        <f>E17-F17</f>
        <v>0</v>
      </c>
      <c r="E17" s="44"/>
      <c r="F17" s="44"/>
      <c r="G17" s="45">
        <f>IFERROR(D17/D35,"")</f>
        <v>0</v>
      </c>
      <c r="H17" s="43"/>
      <c r="I17" s="44">
        <f>J17-K17</f>
        <v>0</v>
      </c>
      <c r="J17" s="44"/>
      <c r="K17" s="44"/>
      <c r="L17" s="45" t="str">
        <f>IFERROR(I17/I35,"")</f>
        <v/>
      </c>
      <c r="M17" s="43" t="s">
        <v>40</v>
      </c>
      <c r="N17" s="44">
        <f>O17-P17</f>
        <v>1507</v>
      </c>
      <c r="O17" s="44">
        <v>1507</v>
      </c>
      <c r="P17" s="44">
        <v>0</v>
      </c>
      <c r="Q17" s="45" t="str">
        <f>IFERROR(N17/N35,"")</f>
        <v/>
      </c>
    </row>
    <row r="18" spans="1:17" ht="19.95" customHeight="1" x14ac:dyDescent="0.4">
      <c r="A18" s="42" t="s">
        <v>11</v>
      </c>
      <c r="B18" s="42" t="s">
        <v>41</v>
      </c>
      <c r="C18" s="43" t="s">
        <v>42</v>
      </c>
      <c r="D18" s="44">
        <f>E18-F18</f>
        <v>1099</v>
      </c>
      <c r="E18" s="44">
        <v>1099</v>
      </c>
      <c r="F18" s="44">
        <v>0</v>
      </c>
      <c r="G18" s="45">
        <f>IFERROR(D18/D36,"")</f>
        <v>0.81410422608244748</v>
      </c>
      <c r="H18" s="43"/>
      <c r="I18" s="44">
        <f>J18-K18</f>
        <v>0</v>
      </c>
      <c r="J18" s="44"/>
      <c r="K18" s="44"/>
      <c r="L18" s="45" t="str">
        <f>IFERROR(I18/I36,"")</f>
        <v/>
      </c>
      <c r="M18" s="43" t="s">
        <v>42</v>
      </c>
      <c r="N18" s="44">
        <f>O18-P18</f>
        <v>1040</v>
      </c>
      <c r="O18" s="44">
        <v>1040</v>
      </c>
      <c r="P18" s="44">
        <v>0</v>
      </c>
      <c r="Q18" s="45" t="str">
        <f>IFERROR(N18/N36,"")</f>
        <v/>
      </c>
    </row>
    <row r="19" spans="1:17" ht="19.95" customHeight="1" x14ac:dyDescent="0.4">
      <c r="A19" s="42" t="s">
        <v>11</v>
      </c>
      <c r="B19" s="42" t="s">
        <v>43</v>
      </c>
      <c r="C19" s="43" t="s">
        <v>44</v>
      </c>
      <c r="D19" s="44">
        <f>E19-F19</f>
        <v>789</v>
      </c>
      <c r="E19" s="44">
        <v>789</v>
      </c>
      <c r="F19" s="44">
        <v>0</v>
      </c>
      <c r="G19" s="45">
        <f>IFERROR(D19/D37,"")</f>
        <v>0.876715373076282</v>
      </c>
      <c r="H19" s="43"/>
      <c r="I19" s="44">
        <f>J19-K19</f>
        <v>0</v>
      </c>
      <c r="J19" s="44"/>
      <c r="K19" s="44"/>
      <c r="L19" s="45" t="str">
        <f>IFERROR(I19/I37,"")</f>
        <v/>
      </c>
      <c r="M19" s="43" t="s">
        <v>44</v>
      </c>
      <c r="N19" s="44">
        <f>O19-P19</f>
        <v>799</v>
      </c>
      <c r="O19" s="44">
        <v>799</v>
      </c>
      <c r="P19" s="44">
        <v>0</v>
      </c>
      <c r="Q19" s="45" t="str">
        <f>IFERROR(N19/N37,"")</f>
        <v/>
      </c>
    </row>
    <row r="20" spans="1:17" ht="19.95" customHeight="1" x14ac:dyDescent="0.4">
      <c r="A20" s="42" t="s">
        <v>11</v>
      </c>
      <c r="B20" s="42" t="s">
        <v>45</v>
      </c>
      <c r="C20" s="43" t="s">
        <v>46</v>
      </c>
      <c r="D20" s="44">
        <f>E20-F20</f>
        <v>649</v>
      </c>
      <c r="E20" s="44">
        <v>649</v>
      </c>
      <c r="F20" s="44">
        <v>0</v>
      </c>
      <c r="G20" s="45"/>
      <c r="H20" s="43"/>
      <c r="I20" s="44">
        <f>J20-K20</f>
        <v>0</v>
      </c>
      <c r="J20" s="44"/>
      <c r="K20" s="44"/>
      <c r="L20" s="45"/>
      <c r="M20" s="43" t="s">
        <v>46</v>
      </c>
      <c r="N20" s="44">
        <f>O20-P20</f>
        <v>699</v>
      </c>
      <c r="O20" s="44">
        <v>699</v>
      </c>
      <c r="P20" s="44">
        <v>0</v>
      </c>
      <c r="Q20" s="45"/>
    </row>
    <row r="21" spans="1:17" x14ac:dyDescent="0.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ht="19.95" customHeight="1" x14ac:dyDescent="0.4">
      <c r="A22" s="21" t="s">
        <v>11</v>
      </c>
      <c r="B22" s="21" t="s">
        <v>47</v>
      </c>
      <c r="C22" s="22" t="s">
        <v>48</v>
      </c>
      <c r="D22" s="9">
        <f>E22-F22</f>
        <v>5199</v>
      </c>
      <c r="E22" s="9">
        <v>5199</v>
      </c>
      <c r="F22" s="9">
        <v>0</v>
      </c>
      <c r="G22" s="10"/>
      <c r="H22" s="22" t="s">
        <v>49</v>
      </c>
      <c r="I22" s="9">
        <f>J22-K22</f>
        <v>4499.95</v>
      </c>
      <c r="J22" s="9">
        <v>4499.95</v>
      </c>
      <c r="K22" s="9">
        <v>0</v>
      </c>
      <c r="L22" s="10"/>
      <c r="M22" s="22"/>
      <c r="N22" s="9">
        <f>O22-P22</f>
        <v>0</v>
      </c>
      <c r="O22" s="9"/>
      <c r="P22" s="9"/>
      <c r="Q22" s="10"/>
    </row>
    <row r="23" spans="1:17" ht="19.95" customHeight="1" x14ac:dyDescent="0.4">
      <c r="A23" s="21" t="s">
        <v>11</v>
      </c>
      <c r="B23" s="21" t="s">
        <v>50</v>
      </c>
      <c r="C23" s="22" t="s">
        <v>51</v>
      </c>
      <c r="D23" s="9">
        <f>E23-F23</f>
        <v>4149</v>
      </c>
      <c r="E23" s="9">
        <v>4149</v>
      </c>
      <c r="F23" s="9">
        <v>0</v>
      </c>
      <c r="G23" s="10"/>
      <c r="H23" s="22" t="s">
        <v>52</v>
      </c>
      <c r="I23" s="9">
        <f>J23-K23</f>
        <v>3499.95</v>
      </c>
      <c r="J23" s="9">
        <v>3499.95</v>
      </c>
      <c r="K23" s="9">
        <v>0</v>
      </c>
      <c r="L23" s="10"/>
      <c r="M23" s="22"/>
      <c r="N23" s="9">
        <f>O23-P23</f>
        <v>0</v>
      </c>
      <c r="O23" s="9"/>
      <c r="P23" s="9"/>
      <c r="Q23" s="10"/>
    </row>
    <row r="24" spans="1:17" ht="19.95" customHeight="1" x14ac:dyDescent="0.4">
      <c r="A24" s="21" t="s">
        <v>11</v>
      </c>
      <c r="B24" s="21" t="s">
        <v>53</v>
      </c>
      <c r="C24" s="22" t="s">
        <v>54</v>
      </c>
      <c r="D24" s="9">
        <f>E24-F24</f>
        <v>3049</v>
      </c>
      <c r="E24" s="9">
        <v>3049</v>
      </c>
      <c r="F24" s="9">
        <v>0</v>
      </c>
      <c r="G24" s="10"/>
      <c r="H24" s="22" t="s">
        <v>55</v>
      </c>
      <c r="I24" s="9">
        <f>J24-K24</f>
        <v>2999.95</v>
      </c>
      <c r="J24" s="9">
        <v>2999.95</v>
      </c>
      <c r="K24" s="9">
        <v>0</v>
      </c>
      <c r="L24" s="10"/>
      <c r="M24" s="22"/>
      <c r="N24" s="9">
        <f>O24-P24</f>
        <v>0</v>
      </c>
      <c r="O24" s="9"/>
      <c r="P24" s="9"/>
      <c r="Q24" s="10"/>
    </row>
    <row r="25" spans="1:17" ht="19.95" customHeight="1" x14ac:dyDescent="0.4">
      <c r="A25" s="21" t="s">
        <v>11</v>
      </c>
      <c r="B25" s="21" t="s">
        <v>56</v>
      </c>
      <c r="C25" s="22" t="s">
        <v>57</v>
      </c>
      <c r="D25" s="9">
        <f>E25-F25</f>
        <v>2499</v>
      </c>
      <c r="E25" s="9">
        <v>2499</v>
      </c>
      <c r="F25" s="9">
        <v>0</v>
      </c>
      <c r="G25" s="10"/>
      <c r="H25" s="22" t="s">
        <v>58</v>
      </c>
      <c r="I25" s="9">
        <f>J25-K25</f>
        <v>1999.95</v>
      </c>
      <c r="J25" s="9">
        <v>1999.95</v>
      </c>
      <c r="K25" s="9">
        <v>0</v>
      </c>
      <c r="L25" s="10"/>
      <c r="M25" s="22" t="s">
        <v>58</v>
      </c>
      <c r="N25" s="9">
        <f>O25-P25</f>
        <v>1740</v>
      </c>
      <c r="O25" s="9">
        <v>1740</v>
      </c>
      <c r="P25" s="9">
        <v>0</v>
      </c>
      <c r="Q25" s="10"/>
    </row>
    <row r="26" spans="1:17" x14ac:dyDescent="0.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ht="19.95" customHeight="1" x14ac:dyDescent="0.4">
      <c r="A27" s="21" t="s">
        <v>11</v>
      </c>
      <c r="B27" s="21" t="s">
        <v>59</v>
      </c>
      <c r="C27" s="22" t="s">
        <v>60</v>
      </c>
      <c r="D27" s="9">
        <f t="shared" ref="D27:D32" si="3">E27-F27</f>
        <v>2199.9499999999998</v>
      </c>
      <c r="E27" s="9">
        <v>2199.9499999999998</v>
      </c>
      <c r="F27" s="9">
        <v>0</v>
      </c>
      <c r="G27" s="10"/>
      <c r="H27" s="22" t="s">
        <v>61</v>
      </c>
      <c r="I27" s="9">
        <f t="shared" ref="I27:I32" si="4">J27-K27</f>
        <v>1999.95</v>
      </c>
      <c r="J27" s="9">
        <v>1999.95</v>
      </c>
      <c r="K27" s="9">
        <v>0</v>
      </c>
      <c r="L27" s="10"/>
      <c r="M27" s="22" t="s">
        <v>60</v>
      </c>
      <c r="N27" s="9">
        <f t="shared" ref="N27:N32" si="5">O27-P27</f>
        <v>2299</v>
      </c>
      <c r="O27" s="9">
        <v>2299</v>
      </c>
      <c r="P27" s="9">
        <v>0</v>
      </c>
      <c r="Q27" s="10"/>
    </row>
    <row r="28" spans="1:17" ht="19.95" customHeight="1" x14ac:dyDescent="0.4">
      <c r="A28" s="21" t="s">
        <v>11</v>
      </c>
      <c r="B28" s="21" t="s">
        <v>62</v>
      </c>
      <c r="C28" s="22" t="s">
        <v>63</v>
      </c>
      <c r="D28" s="9">
        <f t="shared" si="3"/>
        <v>1759</v>
      </c>
      <c r="E28" s="9">
        <v>1759</v>
      </c>
      <c r="F28" s="9">
        <v>0</v>
      </c>
      <c r="G28" s="10"/>
      <c r="H28" s="22" t="s">
        <v>64</v>
      </c>
      <c r="I28" s="9">
        <f t="shared" si="4"/>
        <v>1799.95</v>
      </c>
      <c r="J28" s="9">
        <v>1799.95</v>
      </c>
      <c r="K28" s="9">
        <v>0</v>
      </c>
      <c r="L28" s="10"/>
      <c r="M28" s="22" t="s">
        <v>63</v>
      </c>
      <c r="N28" s="9">
        <f t="shared" si="5"/>
        <v>1849</v>
      </c>
      <c r="O28" s="9">
        <v>1849</v>
      </c>
      <c r="P28" s="9">
        <v>0</v>
      </c>
      <c r="Q28" s="10"/>
    </row>
    <row r="29" spans="1:17" ht="19.95" customHeight="1" x14ac:dyDescent="0.4">
      <c r="A29" s="21" t="s">
        <v>11</v>
      </c>
      <c r="B29" s="21" t="s">
        <v>65</v>
      </c>
      <c r="C29" s="22" t="s">
        <v>66</v>
      </c>
      <c r="D29" s="9">
        <f t="shared" si="3"/>
        <v>1299.95</v>
      </c>
      <c r="E29" s="9">
        <v>1299.95</v>
      </c>
      <c r="F29" s="9">
        <v>0</v>
      </c>
      <c r="G29" s="10"/>
      <c r="H29" s="22" t="s">
        <v>67</v>
      </c>
      <c r="I29" s="9">
        <f t="shared" si="4"/>
        <v>1299.95</v>
      </c>
      <c r="J29" s="9">
        <v>1299.95</v>
      </c>
      <c r="K29" s="9">
        <v>0</v>
      </c>
      <c r="L29" s="10"/>
      <c r="M29" s="22" t="s">
        <v>66</v>
      </c>
      <c r="N29" s="9">
        <f t="shared" si="5"/>
        <v>1493</v>
      </c>
      <c r="O29" s="9">
        <v>1493</v>
      </c>
      <c r="P29" s="9">
        <v>0</v>
      </c>
      <c r="Q29" s="10"/>
    </row>
    <row r="30" spans="1:17" ht="19.95" customHeight="1" x14ac:dyDescent="0.4">
      <c r="A30" s="21" t="s">
        <v>11</v>
      </c>
      <c r="B30" s="21" t="s">
        <v>68</v>
      </c>
      <c r="C30" s="22" t="s">
        <v>69</v>
      </c>
      <c r="D30" s="9">
        <f t="shared" si="3"/>
        <v>999</v>
      </c>
      <c r="E30" s="9">
        <v>999</v>
      </c>
      <c r="F30" s="9">
        <v>0</v>
      </c>
      <c r="G30" s="10"/>
      <c r="H30" s="22" t="s">
        <v>70</v>
      </c>
      <c r="I30" s="9">
        <f t="shared" si="4"/>
        <v>999.95</v>
      </c>
      <c r="J30" s="9">
        <v>999.95</v>
      </c>
      <c r="K30" s="9">
        <v>0</v>
      </c>
      <c r="L30" s="10"/>
      <c r="M30" s="22" t="s">
        <v>69</v>
      </c>
      <c r="N30" s="9">
        <f t="shared" si="5"/>
        <v>1191</v>
      </c>
      <c r="O30" s="9">
        <v>1191</v>
      </c>
      <c r="P30" s="9">
        <v>0</v>
      </c>
      <c r="Q30" s="10"/>
    </row>
    <row r="31" spans="1:17" ht="19.95" customHeight="1" x14ac:dyDescent="0.4">
      <c r="A31" s="21" t="s">
        <v>11</v>
      </c>
      <c r="B31" s="21" t="s">
        <v>71</v>
      </c>
      <c r="C31" s="22"/>
      <c r="D31" s="9">
        <f t="shared" si="3"/>
        <v>0</v>
      </c>
      <c r="E31" s="9"/>
      <c r="F31" s="9"/>
      <c r="G31" s="10"/>
      <c r="H31" s="22" t="s">
        <v>72</v>
      </c>
      <c r="I31" s="9">
        <f t="shared" si="4"/>
        <v>849.95</v>
      </c>
      <c r="J31" s="9">
        <v>849.95</v>
      </c>
      <c r="K31" s="9">
        <v>0</v>
      </c>
      <c r="L31" s="10"/>
      <c r="M31" s="22"/>
      <c r="N31" s="9">
        <f t="shared" si="5"/>
        <v>0</v>
      </c>
      <c r="O31" s="9"/>
      <c r="P31" s="9"/>
      <c r="Q31" s="10"/>
    </row>
    <row r="32" spans="1:17" ht="19.95" customHeight="1" x14ac:dyDescent="0.4">
      <c r="A32" s="21" t="s">
        <v>11</v>
      </c>
      <c r="B32" s="21" t="s">
        <v>73</v>
      </c>
      <c r="C32" s="22" t="s">
        <v>74</v>
      </c>
      <c r="D32" s="9">
        <f t="shared" si="3"/>
        <v>729.95</v>
      </c>
      <c r="E32" s="9">
        <v>729.95</v>
      </c>
      <c r="F32" s="9">
        <v>0</v>
      </c>
      <c r="G32" s="10"/>
      <c r="H32" s="22" t="s">
        <v>75</v>
      </c>
      <c r="I32" s="9">
        <f t="shared" si="4"/>
        <v>729.95</v>
      </c>
      <c r="J32" s="9">
        <v>729.95</v>
      </c>
      <c r="K32" s="9">
        <v>0</v>
      </c>
      <c r="L32" s="10"/>
      <c r="M32" s="22" t="s">
        <v>74</v>
      </c>
      <c r="N32" s="9">
        <f t="shared" si="5"/>
        <v>887</v>
      </c>
      <c r="O32" s="9">
        <v>887</v>
      </c>
      <c r="P32" s="9">
        <v>0</v>
      </c>
      <c r="Q32" s="10"/>
    </row>
    <row r="33" spans="1:17" x14ac:dyDescent="0.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19.95" customHeight="1" x14ac:dyDescent="0.4">
      <c r="A34" s="21" t="s">
        <v>11</v>
      </c>
      <c r="B34" s="21" t="s">
        <v>76</v>
      </c>
      <c r="C34" s="22" t="s">
        <v>77</v>
      </c>
      <c r="D34" s="9">
        <f>E34-F34</f>
        <v>3149</v>
      </c>
      <c r="E34" s="9">
        <v>3149</v>
      </c>
      <c r="F34" s="9">
        <v>0</v>
      </c>
      <c r="G34" s="10"/>
      <c r="H34" s="22" t="s">
        <v>78</v>
      </c>
      <c r="I34" s="9">
        <f>J34-K34</f>
        <v>1899.95</v>
      </c>
      <c r="J34" s="9">
        <v>1899.95</v>
      </c>
      <c r="K34" s="9">
        <v>0</v>
      </c>
      <c r="L34" s="10"/>
      <c r="M34" s="22" t="s">
        <v>79</v>
      </c>
      <c r="N34" s="9">
        <f>O34-P34</f>
        <v>1799</v>
      </c>
      <c r="O34" s="9">
        <v>1799</v>
      </c>
      <c r="P34" s="9">
        <v>0</v>
      </c>
      <c r="Q34" s="10"/>
    </row>
    <row r="35" spans="1:17" ht="19.95" customHeight="1" x14ac:dyDescent="0.4">
      <c r="A35" s="21" t="s">
        <v>11</v>
      </c>
      <c r="B35" s="21" t="s">
        <v>80</v>
      </c>
      <c r="C35" s="22" t="s">
        <v>81</v>
      </c>
      <c r="D35" s="9">
        <f>E35-F35</f>
        <v>3807</v>
      </c>
      <c r="E35" s="9">
        <v>3807</v>
      </c>
      <c r="F35" s="9">
        <v>0</v>
      </c>
      <c r="G35" s="10"/>
      <c r="H35" s="22"/>
      <c r="I35" s="9">
        <f>J35-K35</f>
        <v>0</v>
      </c>
      <c r="J35" s="9"/>
      <c r="K35" s="9"/>
      <c r="L35" s="10"/>
      <c r="M35" s="22"/>
      <c r="N35" s="9">
        <f>O35-P35</f>
        <v>0</v>
      </c>
      <c r="O35" s="9"/>
      <c r="P35" s="9"/>
      <c r="Q35" s="10"/>
    </row>
    <row r="36" spans="1:17" ht="19.95" customHeight="1" x14ac:dyDescent="0.4">
      <c r="A36" s="21" t="s">
        <v>11</v>
      </c>
      <c r="B36" s="21" t="s">
        <v>82</v>
      </c>
      <c r="C36" s="22" t="s">
        <v>83</v>
      </c>
      <c r="D36" s="9">
        <f>E36-F36</f>
        <v>1349.95</v>
      </c>
      <c r="E36" s="9">
        <v>1349.95</v>
      </c>
      <c r="F36" s="9">
        <v>0</v>
      </c>
      <c r="G36" s="10"/>
      <c r="H36" s="22"/>
      <c r="I36" s="9">
        <f>J36-K36</f>
        <v>0</v>
      </c>
      <c r="J36" s="9"/>
      <c r="K36" s="9"/>
      <c r="L36" s="10"/>
      <c r="M36" s="22"/>
      <c r="N36" s="9">
        <f>O36-P36</f>
        <v>0</v>
      </c>
      <c r="O36" s="9"/>
      <c r="P36" s="9"/>
      <c r="Q36" s="10"/>
    </row>
    <row r="37" spans="1:17" ht="19.95" customHeight="1" x14ac:dyDescent="0.4">
      <c r="A37" s="21" t="s">
        <v>11</v>
      </c>
      <c r="B37" s="21" t="s">
        <v>84</v>
      </c>
      <c r="C37" s="22" t="s">
        <v>85</v>
      </c>
      <c r="D37" s="9">
        <f>E37-F37</f>
        <v>899.95</v>
      </c>
      <c r="E37" s="9">
        <v>899.95</v>
      </c>
      <c r="F37" s="9">
        <v>0</v>
      </c>
      <c r="G37" s="10"/>
      <c r="H37" s="22"/>
      <c r="I37" s="9">
        <f>J37-K37</f>
        <v>0</v>
      </c>
      <c r="J37" s="9"/>
      <c r="K37" s="9"/>
      <c r="L37" s="10"/>
      <c r="M37" s="22"/>
      <c r="N37" s="9">
        <f>O37-P37</f>
        <v>0</v>
      </c>
      <c r="O37" s="9"/>
      <c r="P37" s="9"/>
      <c r="Q37" s="10"/>
    </row>
    <row r="38" spans="1:17" x14ac:dyDescent="0.4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ht="19.95" customHeight="1" x14ac:dyDescent="0.4">
      <c r="A39" s="42" t="s">
        <v>86</v>
      </c>
      <c r="B39" s="42" t="s">
        <v>87</v>
      </c>
      <c r="C39" s="43" t="s">
        <v>88</v>
      </c>
      <c r="D39" s="44">
        <f t="shared" ref="D39:D44" si="6">E39-F39</f>
        <v>2949</v>
      </c>
      <c r="E39" s="44">
        <v>2949</v>
      </c>
      <c r="F39" s="44">
        <v>0</v>
      </c>
      <c r="G39" s="45"/>
      <c r="H39" s="43"/>
      <c r="I39" s="44">
        <f t="shared" ref="I39:I44" si="7">J39-K39</f>
        <v>0</v>
      </c>
      <c r="J39" s="44"/>
      <c r="K39" s="44"/>
      <c r="L39" s="45" t="str">
        <f>IFERROR(J39/J4,"")</f>
        <v/>
      </c>
      <c r="M39" s="43" t="s">
        <v>88</v>
      </c>
      <c r="N39" s="44">
        <f t="shared" ref="N39:N44" si="8">O39-P39</f>
        <v>2299</v>
      </c>
      <c r="O39" s="44">
        <v>2299</v>
      </c>
      <c r="P39" s="44">
        <v>0</v>
      </c>
      <c r="Q39" s="45" t="str">
        <f>IFERROR(O39/O4,"")</f>
        <v/>
      </c>
    </row>
    <row r="40" spans="1:17" ht="19.95" customHeight="1" x14ac:dyDescent="0.4">
      <c r="A40" s="42" t="s">
        <v>86</v>
      </c>
      <c r="B40" s="42" t="s">
        <v>89</v>
      </c>
      <c r="C40" s="43"/>
      <c r="D40" s="44">
        <f t="shared" si="6"/>
        <v>0</v>
      </c>
      <c r="E40" s="44"/>
      <c r="F40" s="44"/>
      <c r="G40" s="45" t="str">
        <f>IFERROR(D40/D46,"")</f>
        <v/>
      </c>
      <c r="H40" s="43" t="s">
        <v>90</v>
      </c>
      <c r="I40" s="44">
        <f t="shared" si="7"/>
        <v>1319.95</v>
      </c>
      <c r="J40" s="44">
        <v>1319.95</v>
      </c>
      <c r="K40" s="44">
        <v>0</v>
      </c>
      <c r="L40" s="45">
        <f>IFERROR(I40/I46,"")</f>
        <v>1.2000090913223329</v>
      </c>
      <c r="M40" s="43" t="s">
        <v>90</v>
      </c>
      <c r="N40" s="44">
        <f t="shared" si="8"/>
        <v>1199</v>
      </c>
      <c r="O40" s="44">
        <v>1199</v>
      </c>
      <c r="P40" s="44">
        <v>0</v>
      </c>
      <c r="Q40" s="45" t="str">
        <f>IFERROR(N40/N46,"")</f>
        <v/>
      </c>
    </row>
    <row r="41" spans="1:17" ht="19.95" customHeight="1" x14ac:dyDescent="0.4">
      <c r="A41" s="42" t="s">
        <v>86</v>
      </c>
      <c r="B41" s="42" t="s">
        <v>91</v>
      </c>
      <c r="C41" s="43"/>
      <c r="D41" s="44">
        <f t="shared" si="6"/>
        <v>0</v>
      </c>
      <c r="E41" s="44"/>
      <c r="F41" s="44"/>
      <c r="G41" s="45" t="str">
        <f>IFERROR(D41/D47,"")</f>
        <v/>
      </c>
      <c r="H41" s="43"/>
      <c r="I41" s="44">
        <f t="shared" si="7"/>
        <v>0</v>
      </c>
      <c r="J41" s="44"/>
      <c r="K41" s="44"/>
      <c r="L41" s="45" t="str">
        <f>IFERROR(I41/I47,"")</f>
        <v/>
      </c>
      <c r="M41" s="43"/>
      <c r="N41" s="44">
        <f t="shared" si="8"/>
        <v>0</v>
      </c>
      <c r="O41" s="44"/>
      <c r="P41" s="44"/>
      <c r="Q41" s="45">
        <f>IFERROR(N41/N47,"")</f>
        <v>0</v>
      </c>
    </row>
    <row r="42" spans="1:17" ht="19.95" customHeight="1" x14ac:dyDescent="0.4">
      <c r="A42" s="42" t="s">
        <v>86</v>
      </c>
      <c r="B42" s="42" t="s">
        <v>92</v>
      </c>
      <c r="C42" s="43" t="s">
        <v>93</v>
      </c>
      <c r="D42" s="44">
        <f t="shared" si="6"/>
        <v>739.95</v>
      </c>
      <c r="E42" s="44">
        <v>739.95</v>
      </c>
      <c r="F42" s="44">
        <v>0</v>
      </c>
      <c r="G42" s="45">
        <f>IFERROR(D42/D48,"")</f>
        <v>1.2333527793982832</v>
      </c>
      <c r="H42" s="43" t="s">
        <v>93</v>
      </c>
      <c r="I42" s="44">
        <f t="shared" si="7"/>
        <v>699.95</v>
      </c>
      <c r="J42" s="44">
        <v>699.95</v>
      </c>
      <c r="K42" s="44">
        <v>0</v>
      </c>
      <c r="L42" s="45">
        <f>IFERROR(I42/I48,"")</f>
        <v>1.0769289945380414</v>
      </c>
      <c r="M42" s="43" t="s">
        <v>93</v>
      </c>
      <c r="N42" s="44">
        <f t="shared" si="8"/>
        <v>699</v>
      </c>
      <c r="O42" s="44">
        <v>699</v>
      </c>
      <c r="P42" s="44">
        <v>0</v>
      </c>
      <c r="Q42" s="45">
        <f>IFERROR(N42/N48,"")</f>
        <v>1.0495495495495495</v>
      </c>
    </row>
    <row r="43" spans="1:17" ht="19.95" customHeight="1" x14ac:dyDescent="0.4">
      <c r="A43" s="42" t="s">
        <v>86</v>
      </c>
      <c r="B43" s="42" t="s">
        <v>94</v>
      </c>
      <c r="C43" s="43" t="s">
        <v>95</v>
      </c>
      <c r="D43" s="44">
        <f t="shared" si="6"/>
        <v>599.95000000000005</v>
      </c>
      <c r="E43" s="44">
        <v>599.95000000000005</v>
      </c>
      <c r="F43" s="44">
        <v>0</v>
      </c>
      <c r="G43" s="45">
        <f>IFERROR(D43/D49,"")</f>
        <v>1.2000200020002001</v>
      </c>
      <c r="H43" s="43" t="s">
        <v>94</v>
      </c>
      <c r="I43" s="44">
        <f t="shared" si="7"/>
        <v>599.95000000000005</v>
      </c>
      <c r="J43" s="44">
        <v>599.95000000000005</v>
      </c>
      <c r="K43" s="44">
        <v>0</v>
      </c>
      <c r="L43" s="45">
        <f>IFERROR(I43/I49,"")</f>
        <v>1.2500260443796229</v>
      </c>
      <c r="M43" s="43"/>
      <c r="N43" s="44">
        <f t="shared" si="8"/>
        <v>0</v>
      </c>
      <c r="O43" s="44"/>
      <c r="P43" s="44"/>
      <c r="Q43" s="45" t="str">
        <f>IFERROR(N43/N49,"")</f>
        <v/>
      </c>
    </row>
    <row r="44" spans="1:17" ht="19.95" customHeight="1" x14ac:dyDescent="0.4">
      <c r="A44" s="42" t="s">
        <v>86</v>
      </c>
      <c r="B44" s="42" t="s">
        <v>96</v>
      </c>
      <c r="C44" s="43" t="s">
        <v>97</v>
      </c>
      <c r="D44" s="44">
        <f t="shared" si="6"/>
        <v>499.95</v>
      </c>
      <c r="E44" s="44">
        <v>499.95</v>
      </c>
      <c r="F44" s="44">
        <v>0</v>
      </c>
      <c r="G44" s="45">
        <f>IFERROR(D44/D50,"")</f>
        <v>1.2195389681668496</v>
      </c>
      <c r="H44" s="43" t="s">
        <v>97</v>
      </c>
      <c r="I44" s="44">
        <f t="shared" si="7"/>
        <v>549.95000000000005</v>
      </c>
      <c r="J44" s="44">
        <v>549.95000000000005</v>
      </c>
      <c r="K44" s="44">
        <v>0</v>
      </c>
      <c r="L44" s="45">
        <f>IFERROR(I44/I50,"")</f>
        <v>1.2222469163240361</v>
      </c>
      <c r="M44" s="43" t="s">
        <v>97</v>
      </c>
      <c r="N44" s="44">
        <f t="shared" si="8"/>
        <v>549</v>
      </c>
      <c r="O44" s="44">
        <v>549</v>
      </c>
      <c r="P44" s="44">
        <v>0</v>
      </c>
      <c r="Q44" s="45" t="str">
        <f>IFERROR(N44/N50,"")</f>
        <v/>
      </c>
    </row>
    <row r="45" spans="1:17" x14ac:dyDescent="0.4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ht="19.95" customHeight="1" x14ac:dyDescent="0.4">
      <c r="A46" s="42" t="s">
        <v>86</v>
      </c>
      <c r="B46" s="42" t="s">
        <v>98</v>
      </c>
      <c r="C46" s="43"/>
      <c r="D46" s="44">
        <f t="shared" ref="D46:D51" si="9">E46-F46</f>
        <v>0</v>
      </c>
      <c r="E46" s="44"/>
      <c r="F46" s="44"/>
      <c r="G46" s="45">
        <f>IFERROR(D46/D64,"")</f>
        <v>0</v>
      </c>
      <c r="H46" s="43" t="s">
        <v>99</v>
      </c>
      <c r="I46" s="44">
        <f t="shared" ref="I46:I51" si="10">J46-K46</f>
        <v>1099.95</v>
      </c>
      <c r="J46" s="44">
        <v>1099.95</v>
      </c>
      <c r="K46" s="44">
        <v>0</v>
      </c>
      <c r="L46" s="45" t="str">
        <f>IFERROR(I46/I64,"")</f>
        <v/>
      </c>
      <c r="M46" s="43"/>
      <c r="N46" s="44">
        <f t="shared" ref="N46:N51" si="11">O46-P46</f>
        <v>0</v>
      </c>
      <c r="O46" s="44"/>
      <c r="P46" s="44"/>
      <c r="Q46" s="45">
        <f>IFERROR(N46/N64,"")</f>
        <v>0</v>
      </c>
    </row>
    <row r="47" spans="1:17" ht="19.95" customHeight="1" x14ac:dyDescent="0.4">
      <c r="A47" s="42" t="s">
        <v>86</v>
      </c>
      <c r="B47" s="42" t="s">
        <v>100</v>
      </c>
      <c r="C47" s="43"/>
      <c r="D47" s="44">
        <f t="shared" si="9"/>
        <v>0</v>
      </c>
      <c r="E47" s="44"/>
      <c r="F47" s="44"/>
      <c r="G47" s="45" t="str">
        <f>IFERROR(D47/D65,"")</f>
        <v/>
      </c>
      <c r="H47" s="43"/>
      <c r="I47" s="44">
        <f t="shared" si="10"/>
        <v>0</v>
      </c>
      <c r="J47" s="44"/>
      <c r="K47" s="44"/>
      <c r="L47" s="45" t="str">
        <f>IFERROR(I47/I65,"")</f>
        <v/>
      </c>
      <c r="M47" s="43" t="s">
        <v>101</v>
      </c>
      <c r="N47" s="44">
        <f t="shared" si="11"/>
        <v>899</v>
      </c>
      <c r="O47" s="44">
        <v>899</v>
      </c>
      <c r="P47" s="44">
        <v>0</v>
      </c>
      <c r="Q47" s="45">
        <f>IFERROR(N47/N65,"")</f>
        <v>1</v>
      </c>
    </row>
    <row r="48" spans="1:17" ht="19.95" customHeight="1" x14ac:dyDescent="0.4">
      <c r="A48" s="42" t="s">
        <v>86</v>
      </c>
      <c r="B48" s="42" t="s">
        <v>102</v>
      </c>
      <c r="C48" s="43" t="s">
        <v>103</v>
      </c>
      <c r="D48" s="44">
        <f t="shared" si="9"/>
        <v>599.95000000000005</v>
      </c>
      <c r="E48" s="44">
        <v>599.95000000000005</v>
      </c>
      <c r="F48" s="44">
        <v>0</v>
      </c>
      <c r="G48" s="45" t="str">
        <f>IFERROR(D48/D66,"")</f>
        <v/>
      </c>
      <c r="H48" s="43" t="s">
        <v>102</v>
      </c>
      <c r="I48" s="44">
        <f t="shared" si="10"/>
        <v>649.95000000000005</v>
      </c>
      <c r="J48" s="44">
        <v>649.95000000000005</v>
      </c>
      <c r="K48" s="44">
        <v>0</v>
      </c>
      <c r="L48" s="45" t="str">
        <f>IFERROR(I48/I66,"")</f>
        <v/>
      </c>
      <c r="M48" s="43" t="s">
        <v>103</v>
      </c>
      <c r="N48" s="44">
        <f t="shared" si="11"/>
        <v>666</v>
      </c>
      <c r="O48" s="44">
        <v>666</v>
      </c>
      <c r="P48" s="44">
        <v>0</v>
      </c>
      <c r="Q48" s="45">
        <f>IFERROR(N48/N66,"")</f>
        <v>0.96242774566473988</v>
      </c>
    </row>
    <row r="49" spans="1:17" ht="19.95" customHeight="1" x14ac:dyDescent="0.4">
      <c r="A49" s="42" t="s">
        <v>86</v>
      </c>
      <c r="B49" s="42" t="s">
        <v>104</v>
      </c>
      <c r="C49" s="43" t="s">
        <v>105</v>
      </c>
      <c r="D49" s="44">
        <f t="shared" si="9"/>
        <v>499.95</v>
      </c>
      <c r="E49" s="44">
        <v>499.95</v>
      </c>
      <c r="F49" s="44">
        <v>0</v>
      </c>
      <c r="G49" s="45" t="str">
        <f>IFERROR(D49/D67,"")</f>
        <v/>
      </c>
      <c r="H49" s="43" t="s">
        <v>105</v>
      </c>
      <c r="I49" s="44">
        <f t="shared" si="10"/>
        <v>479.95</v>
      </c>
      <c r="J49" s="44">
        <v>479.95</v>
      </c>
      <c r="K49" s="44">
        <v>0</v>
      </c>
      <c r="L49" s="45" t="str">
        <f>IFERROR(I49/I67,"")</f>
        <v/>
      </c>
      <c r="M49" s="43"/>
      <c r="N49" s="44">
        <f t="shared" si="11"/>
        <v>0</v>
      </c>
      <c r="O49" s="44"/>
      <c r="P49" s="44"/>
      <c r="Q49" s="45" t="str">
        <f>IFERROR(N49/N67,"")</f>
        <v/>
      </c>
    </row>
    <row r="50" spans="1:17" ht="19.95" customHeight="1" x14ac:dyDescent="0.4">
      <c r="A50" s="42" t="s">
        <v>86</v>
      </c>
      <c r="B50" s="42" t="s">
        <v>106</v>
      </c>
      <c r="C50" s="43" t="s">
        <v>107</v>
      </c>
      <c r="D50" s="44">
        <f t="shared" si="9"/>
        <v>409.95</v>
      </c>
      <c r="E50" s="44">
        <v>409.95</v>
      </c>
      <c r="F50" s="44">
        <v>0</v>
      </c>
      <c r="G50" s="45">
        <f>IFERROR(D50/D68,"")</f>
        <v>0.83671803245229104</v>
      </c>
      <c r="H50" s="43" t="s">
        <v>107</v>
      </c>
      <c r="I50" s="44">
        <f t="shared" si="10"/>
        <v>449.95</v>
      </c>
      <c r="J50" s="44">
        <v>449.95</v>
      </c>
      <c r="K50" s="44">
        <v>0</v>
      </c>
      <c r="L50" s="45">
        <f>IFERROR(I50/I68,"")</f>
        <v>0.89998999899989995</v>
      </c>
      <c r="M50" s="43"/>
      <c r="N50" s="44">
        <f t="shared" si="11"/>
        <v>0</v>
      </c>
      <c r="O50" s="44"/>
      <c r="P50" s="44"/>
      <c r="Q50" s="45">
        <f>IFERROR(N50/N68,"")</f>
        <v>0</v>
      </c>
    </row>
    <row r="51" spans="1:17" ht="19.95" customHeight="1" x14ac:dyDescent="0.4">
      <c r="A51" s="42" t="s">
        <v>86</v>
      </c>
      <c r="B51" s="42" t="s">
        <v>108</v>
      </c>
      <c r="C51" s="43" t="s">
        <v>109</v>
      </c>
      <c r="D51" s="44">
        <f t="shared" si="9"/>
        <v>379.95</v>
      </c>
      <c r="E51" s="44">
        <v>379.95</v>
      </c>
      <c r="F51" s="44">
        <v>0</v>
      </c>
      <c r="G51" s="45" t="str">
        <f>IFERROR(D51/D69,"")</f>
        <v/>
      </c>
      <c r="H51" s="43"/>
      <c r="I51" s="44">
        <f t="shared" si="10"/>
        <v>0</v>
      </c>
      <c r="J51" s="44"/>
      <c r="K51" s="44"/>
      <c r="L51" s="45" t="str">
        <f>IFERROR(I51/I69,"")</f>
        <v/>
      </c>
      <c r="M51" s="43"/>
      <c r="N51" s="44">
        <f t="shared" si="11"/>
        <v>0</v>
      </c>
      <c r="O51" s="44"/>
      <c r="P51" s="44"/>
      <c r="Q51" s="45" t="str">
        <f>IFERROR(N51/N69,"")</f>
        <v/>
      </c>
    </row>
    <row r="52" spans="1:17" x14ac:dyDescent="0.4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ht="19.95" customHeight="1" x14ac:dyDescent="0.4">
      <c r="A53" s="21" t="s">
        <v>110</v>
      </c>
      <c r="B53" s="21" t="s">
        <v>111</v>
      </c>
      <c r="C53" s="22"/>
      <c r="D53" s="9">
        <f>E53-F53</f>
        <v>0</v>
      </c>
      <c r="E53" s="9"/>
      <c r="F53" s="9"/>
      <c r="G53" s="10"/>
      <c r="H53" s="22" t="s">
        <v>112</v>
      </c>
      <c r="I53" s="9">
        <f>J53-K53</f>
        <v>1499.95</v>
      </c>
      <c r="J53" s="9">
        <v>1499.95</v>
      </c>
      <c r="K53" s="9">
        <v>0</v>
      </c>
      <c r="L53" s="10"/>
      <c r="M53" s="22" t="s">
        <v>113</v>
      </c>
      <c r="N53" s="9">
        <f>O53-P53</f>
        <v>1499</v>
      </c>
      <c r="O53" s="9">
        <v>1499</v>
      </c>
      <c r="P53" s="9">
        <v>0</v>
      </c>
      <c r="Q53" s="10"/>
    </row>
    <row r="54" spans="1:17" ht="19.95" customHeight="1" x14ac:dyDescent="0.4">
      <c r="A54" s="21" t="s">
        <v>110</v>
      </c>
      <c r="B54" s="21" t="s">
        <v>114</v>
      </c>
      <c r="C54" s="22" t="s">
        <v>115</v>
      </c>
      <c r="D54" s="9">
        <f>E54-F54</f>
        <v>1878</v>
      </c>
      <c r="E54" s="9">
        <v>1878</v>
      </c>
      <c r="F54" s="9">
        <v>0</v>
      </c>
      <c r="G54" s="10"/>
      <c r="H54" s="22" t="s">
        <v>116</v>
      </c>
      <c r="I54" s="9">
        <f>J54-K54</f>
        <v>999.95</v>
      </c>
      <c r="J54" s="9">
        <v>999.95</v>
      </c>
      <c r="K54" s="9">
        <v>0</v>
      </c>
      <c r="L54" s="10"/>
      <c r="M54" s="22" t="s">
        <v>115</v>
      </c>
      <c r="N54" s="9">
        <f>O54-P54</f>
        <v>1049</v>
      </c>
      <c r="O54" s="9">
        <v>1049</v>
      </c>
      <c r="P54" s="9">
        <v>0</v>
      </c>
      <c r="Q54" s="10"/>
    </row>
    <row r="55" spans="1:17" ht="19.95" customHeight="1" x14ac:dyDescent="0.4">
      <c r="A55" s="21" t="s">
        <v>110</v>
      </c>
      <c r="B55" s="21" t="s">
        <v>117</v>
      </c>
      <c r="C55" s="22"/>
      <c r="D55" s="9">
        <f>E55-F55</f>
        <v>0</v>
      </c>
      <c r="E55" s="9"/>
      <c r="F55" s="9"/>
      <c r="G55" s="10"/>
      <c r="H55" s="22" t="s">
        <v>118</v>
      </c>
      <c r="I55" s="9">
        <f>J55-K55</f>
        <v>799.95</v>
      </c>
      <c r="J55" s="9">
        <v>799.95</v>
      </c>
      <c r="K55" s="9">
        <v>0</v>
      </c>
      <c r="L55" s="10"/>
      <c r="M55" s="22" t="s">
        <v>119</v>
      </c>
      <c r="N55" s="9">
        <f>O55-P55</f>
        <v>799</v>
      </c>
      <c r="O55" s="9">
        <v>799</v>
      </c>
      <c r="P55" s="9">
        <v>0</v>
      </c>
      <c r="Q55" s="10"/>
    </row>
    <row r="56" spans="1:17" ht="19.95" customHeight="1" x14ac:dyDescent="0.4">
      <c r="A56" s="21" t="s">
        <v>110</v>
      </c>
      <c r="B56" s="21" t="s">
        <v>120</v>
      </c>
      <c r="C56" s="22"/>
      <c r="D56" s="9">
        <f>E56-F56</f>
        <v>0</v>
      </c>
      <c r="E56" s="9"/>
      <c r="F56" s="9"/>
      <c r="G56" s="10"/>
      <c r="H56" s="22" t="s">
        <v>121</v>
      </c>
      <c r="I56" s="9">
        <f>J56-K56</f>
        <v>599.95000000000005</v>
      </c>
      <c r="J56" s="9">
        <v>599.95000000000005</v>
      </c>
      <c r="K56" s="9">
        <v>0</v>
      </c>
      <c r="L56" s="10"/>
      <c r="M56" s="22" t="s">
        <v>122</v>
      </c>
      <c r="N56" s="9">
        <f>O56-P56</f>
        <v>599</v>
      </c>
      <c r="O56" s="9">
        <v>599</v>
      </c>
      <c r="P56" s="9">
        <v>0</v>
      </c>
      <c r="Q56" s="10"/>
    </row>
    <row r="57" spans="1:17" x14ac:dyDescent="0.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ht="19.95" customHeight="1" x14ac:dyDescent="0.4">
      <c r="A58" s="21" t="s">
        <v>110</v>
      </c>
      <c r="B58" s="21" t="s">
        <v>123</v>
      </c>
      <c r="C58" s="22" t="s">
        <v>124</v>
      </c>
      <c r="D58" s="9">
        <f>E58-F58</f>
        <v>1567</v>
      </c>
      <c r="E58" s="9">
        <v>1567</v>
      </c>
      <c r="F58" s="9">
        <v>0</v>
      </c>
      <c r="G58" s="10"/>
      <c r="H58" s="22" t="s">
        <v>125</v>
      </c>
      <c r="I58" s="9">
        <f>J58-K58</f>
        <v>1299.95</v>
      </c>
      <c r="J58" s="9">
        <v>1299.95</v>
      </c>
      <c r="K58" s="9">
        <v>0</v>
      </c>
      <c r="L58" s="10"/>
      <c r="M58" s="22" t="s">
        <v>124</v>
      </c>
      <c r="N58" s="9">
        <f>O58-P58</f>
        <v>1129</v>
      </c>
      <c r="O58" s="9">
        <v>1129</v>
      </c>
      <c r="P58" s="9">
        <v>0</v>
      </c>
      <c r="Q58" s="10"/>
    </row>
    <row r="59" spans="1:17" ht="19.95" customHeight="1" x14ac:dyDescent="0.4">
      <c r="A59" s="21" t="s">
        <v>110</v>
      </c>
      <c r="B59" s="21" t="s">
        <v>126</v>
      </c>
      <c r="C59" s="22" t="s">
        <v>127</v>
      </c>
      <c r="D59" s="9">
        <f>E59-F59</f>
        <v>999.95</v>
      </c>
      <c r="E59" s="9">
        <v>999.95</v>
      </c>
      <c r="F59" s="9">
        <v>0</v>
      </c>
      <c r="G59" s="10"/>
      <c r="H59" s="22" t="s">
        <v>128</v>
      </c>
      <c r="I59" s="9">
        <f>J59-K59</f>
        <v>949.95</v>
      </c>
      <c r="J59" s="9">
        <v>949.95</v>
      </c>
      <c r="K59" s="9">
        <v>0</v>
      </c>
      <c r="L59" s="10"/>
      <c r="M59" s="22" t="s">
        <v>127</v>
      </c>
      <c r="N59" s="9">
        <f>O59-P59</f>
        <v>779</v>
      </c>
      <c r="O59" s="9">
        <v>779</v>
      </c>
      <c r="P59" s="9">
        <v>0</v>
      </c>
      <c r="Q59" s="10"/>
    </row>
    <row r="60" spans="1:17" ht="19.95" customHeight="1" x14ac:dyDescent="0.4">
      <c r="A60" s="21" t="s">
        <v>110</v>
      </c>
      <c r="B60" s="21" t="s">
        <v>129</v>
      </c>
      <c r="C60" s="22" t="s">
        <v>130</v>
      </c>
      <c r="D60" s="9">
        <f>E60-F60</f>
        <v>679</v>
      </c>
      <c r="E60" s="9">
        <v>679</v>
      </c>
      <c r="F60" s="9">
        <v>0</v>
      </c>
      <c r="G60" s="10"/>
      <c r="H60" s="22" t="s">
        <v>131</v>
      </c>
      <c r="I60" s="9">
        <f>J60-K60</f>
        <v>679.95</v>
      </c>
      <c r="J60" s="9">
        <v>679.95</v>
      </c>
      <c r="K60" s="9">
        <v>0</v>
      </c>
      <c r="L60" s="10"/>
      <c r="M60" s="22" t="s">
        <v>130</v>
      </c>
      <c r="N60" s="9">
        <f>O60-P60</f>
        <v>699</v>
      </c>
      <c r="O60" s="9">
        <v>699</v>
      </c>
      <c r="P60" s="9">
        <v>0</v>
      </c>
      <c r="Q60" s="10"/>
    </row>
    <row r="61" spans="1:17" ht="19.95" customHeight="1" x14ac:dyDescent="0.4">
      <c r="A61" s="21" t="s">
        <v>110</v>
      </c>
      <c r="B61" s="21" t="s">
        <v>132</v>
      </c>
      <c r="C61" s="22" t="s">
        <v>133</v>
      </c>
      <c r="D61" s="9">
        <f>E61-F61</f>
        <v>459</v>
      </c>
      <c r="E61" s="9">
        <v>459</v>
      </c>
      <c r="F61" s="9">
        <v>0</v>
      </c>
      <c r="G61" s="10"/>
      <c r="H61" s="22" t="s">
        <v>134</v>
      </c>
      <c r="I61" s="9">
        <f>J61-K61</f>
        <v>499.95</v>
      </c>
      <c r="J61" s="9">
        <v>499.95</v>
      </c>
      <c r="K61" s="9">
        <v>0</v>
      </c>
      <c r="L61" s="10"/>
      <c r="M61" s="22" t="s">
        <v>133</v>
      </c>
      <c r="N61" s="9">
        <f>O61-P61</f>
        <v>459</v>
      </c>
      <c r="O61" s="9">
        <v>459</v>
      </c>
      <c r="P61" s="9">
        <v>0</v>
      </c>
      <c r="Q61" s="10"/>
    </row>
    <row r="62" spans="1:17" ht="19.95" customHeight="1" x14ac:dyDescent="0.4">
      <c r="A62" s="21" t="s">
        <v>110</v>
      </c>
      <c r="B62" s="21" t="s">
        <v>135</v>
      </c>
      <c r="C62" s="22" t="s">
        <v>136</v>
      </c>
      <c r="D62" s="9">
        <f>E62-F62</f>
        <v>449</v>
      </c>
      <c r="E62" s="9">
        <v>449</v>
      </c>
      <c r="F62" s="9">
        <v>0</v>
      </c>
      <c r="G62" s="10"/>
      <c r="H62" s="22" t="s">
        <v>137</v>
      </c>
      <c r="I62" s="9">
        <f>J62-K62</f>
        <v>449.95</v>
      </c>
      <c r="J62" s="9">
        <v>449.95</v>
      </c>
      <c r="K62" s="9">
        <v>0</v>
      </c>
      <c r="L62" s="10"/>
      <c r="M62" s="22" t="s">
        <v>136</v>
      </c>
      <c r="N62" s="9">
        <f>O62-P62</f>
        <v>389</v>
      </c>
      <c r="O62" s="9">
        <v>389</v>
      </c>
      <c r="P62" s="9">
        <v>0</v>
      </c>
      <c r="Q62" s="10"/>
    </row>
    <row r="63" spans="1:17" x14ac:dyDescent="0.4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ht="19.95" customHeight="1" x14ac:dyDescent="0.4">
      <c r="A64" s="21" t="s">
        <v>110</v>
      </c>
      <c r="B64" s="21" t="s">
        <v>138</v>
      </c>
      <c r="C64" s="22" t="s">
        <v>139</v>
      </c>
      <c r="D64" s="9">
        <f t="shared" ref="D64:D69" si="12">E64-F64</f>
        <v>2407</v>
      </c>
      <c r="E64" s="9">
        <v>2407</v>
      </c>
      <c r="F64" s="9">
        <v>0</v>
      </c>
      <c r="G64" s="10"/>
      <c r="H64" s="22"/>
      <c r="I64" s="9">
        <f t="shared" ref="I64:I69" si="13">J64-K64</f>
        <v>0</v>
      </c>
      <c r="J64" s="9"/>
      <c r="K64" s="9"/>
      <c r="L64" s="10"/>
      <c r="M64" s="22" t="s">
        <v>139</v>
      </c>
      <c r="N64" s="9">
        <f t="shared" ref="N64:N69" si="14">O64-P64</f>
        <v>1299</v>
      </c>
      <c r="O64" s="9">
        <v>1299</v>
      </c>
      <c r="P64" s="9">
        <v>0</v>
      </c>
      <c r="Q64" s="10"/>
    </row>
    <row r="65" spans="1:17" ht="19.95" customHeight="1" x14ac:dyDescent="0.4">
      <c r="A65" s="21" t="s">
        <v>110</v>
      </c>
      <c r="B65" s="21" t="s">
        <v>140</v>
      </c>
      <c r="C65" s="22"/>
      <c r="D65" s="9">
        <f t="shared" si="12"/>
        <v>0</v>
      </c>
      <c r="E65" s="9"/>
      <c r="F65" s="9"/>
      <c r="G65" s="10"/>
      <c r="H65" s="22"/>
      <c r="I65" s="9">
        <f t="shared" si="13"/>
        <v>0</v>
      </c>
      <c r="J65" s="9"/>
      <c r="K65" s="9"/>
      <c r="L65" s="10"/>
      <c r="M65" s="22" t="s">
        <v>141</v>
      </c>
      <c r="N65" s="9">
        <f t="shared" si="14"/>
        <v>899</v>
      </c>
      <c r="O65" s="9">
        <v>899</v>
      </c>
      <c r="P65" s="9">
        <v>0</v>
      </c>
      <c r="Q65" s="10"/>
    </row>
    <row r="66" spans="1:17" ht="19.95" customHeight="1" x14ac:dyDescent="0.4">
      <c r="A66" s="21" t="s">
        <v>110</v>
      </c>
      <c r="B66" s="21" t="s">
        <v>142</v>
      </c>
      <c r="C66" s="22"/>
      <c r="D66" s="9">
        <f t="shared" si="12"/>
        <v>0</v>
      </c>
      <c r="E66" s="9"/>
      <c r="F66" s="9"/>
      <c r="G66" s="10"/>
      <c r="H66" s="22"/>
      <c r="I66" s="9">
        <f t="shared" si="13"/>
        <v>0</v>
      </c>
      <c r="J66" s="9"/>
      <c r="K66" s="9"/>
      <c r="L66" s="10"/>
      <c r="M66" s="22" t="s">
        <v>143</v>
      </c>
      <c r="N66" s="9">
        <f t="shared" si="14"/>
        <v>692</v>
      </c>
      <c r="O66" s="9">
        <v>692</v>
      </c>
      <c r="P66" s="9">
        <v>0</v>
      </c>
      <c r="Q66" s="10"/>
    </row>
    <row r="67" spans="1:17" ht="19.95" customHeight="1" x14ac:dyDescent="0.4">
      <c r="A67" s="21" t="s">
        <v>110</v>
      </c>
      <c r="B67" s="21" t="s">
        <v>144</v>
      </c>
      <c r="C67" s="22"/>
      <c r="D67" s="9">
        <f t="shared" si="12"/>
        <v>0</v>
      </c>
      <c r="E67" s="9"/>
      <c r="F67" s="9"/>
      <c r="G67" s="10"/>
      <c r="H67" s="22"/>
      <c r="I67" s="9">
        <f t="shared" si="13"/>
        <v>0</v>
      </c>
      <c r="J67" s="9"/>
      <c r="K67" s="9"/>
      <c r="L67" s="10"/>
      <c r="M67" s="22"/>
      <c r="N67" s="9">
        <f t="shared" si="14"/>
        <v>0</v>
      </c>
      <c r="O67" s="9"/>
      <c r="P67" s="9"/>
      <c r="Q67" s="10"/>
    </row>
    <row r="68" spans="1:17" ht="19.95" customHeight="1" x14ac:dyDescent="0.4">
      <c r="A68" s="21" t="s">
        <v>110</v>
      </c>
      <c r="B68" s="21" t="s">
        <v>145</v>
      </c>
      <c r="C68" s="22" t="s">
        <v>146</v>
      </c>
      <c r="D68" s="9">
        <f t="shared" si="12"/>
        <v>489.95</v>
      </c>
      <c r="E68" s="9">
        <v>489.95</v>
      </c>
      <c r="F68" s="9">
        <v>0</v>
      </c>
      <c r="G68" s="10"/>
      <c r="H68" s="22" t="s">
        <v>147</v>
      </c>
      <c r="I68" s="9">
        <f t="shared" si="13"/>
        <v>499.95</v>
      </c>
      <c r="J68" s="9">
        <v>499.95</v>
      </c>
      <c r="K68" s="9">
        <v>0</v>
      </c>
      <c r="L68" s="10"/>
      <c r="M68" s="22" t="s">
        <v>146</v>
      </c>
      <c r="N68" s="9">
        <f t="shared" si="14"/>
        <v>584</v>
      </c>
      <c r="O68" s="9">
        <v>584</v>
      </c>
      <c r="P68" s="9">
        <v>0</v>
      </c>
      <c r="Q68" s="10"/>
    </row>
    <row r="69" spans="1:17" ht="19.95" customHeight="1" x14ac:dyDescent="0.4">
      <c r="A69" s="21" t="s">
        <v>110</v>
      </c>
      <c r="B69" s="21" t="s">
        <v>148</v>
      </c>
      <c r="C69" s="22"/>
      <c r="D69" s="9">
        <f t="shared" si="12"/>
        <v>0</v>
      </c>
      <c r="E69" s="9"/>
      <c r="F69" s="9"/>
      <c r="G69" s="10"/>
      <c r="H69" s="22"/>
      <c r="I69" s="9">
        <f t="shared" si="13"/>
        <v>0</v>
      </c>
      <c r="J69" s="9"/>
      <c r="K69" s="9"/>
      <c r="L69" s="10"/>
      <c r="M69" s="22"/>
      <c r="N69" s="9">
        <f t="shared" si="14"/>
        <v>0</v>
      </c>
      <c r="O69" s="9"/>
      <c r="P69" s="9"/>
      <c r="Q69" s="10"/>
    </row>
    <row r="70" spans="1:17" x14ac:dyDescent="0.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ht="19.95" customHeight="1" x14ac:dyDescent="0.4">
      <c r="A71" s="42" t="s">
        <v>149</v>
      </c>
      <c r="B71" s="42" t="s">
        <v>150</v>
      </c>
      <c r="C71" s="43"/>
      <c r="D71" s="44">
        <f t="shared" ref="D71:D76" si="15">E71-F71</f>
        <v>0</v>
      </c>
      <c r="E71" s="44"/>
      <c r="F71" s="44"/>
      <c r="G71" s="45" t="str">
        <f>IFERROR(D71/D78,"")</f>
        <v/>
      </c>
      <c r="H71" s="43"/>
      <c r="I71" s="44">
        <f t="shared" ref="I71:I76" si="16">J71-K71</f>
        <v>0</v>
      </c>
      <c r="J71" s="44"/>
      <c r="K71" s="44"/>
      <c r="L71" s="45">
        <f>IFERROR(I71/I78,"")</f>
        <v>0</v>
      </c>
      <c r="M71" s="43"/>
      <c r="N71" s="44">
        <f t="shared" ref="N71:N76" si="17">O71-P71</f>
        <v>0</v>
      </c>
      <c r="O71" s="44"/>
      <c r="P71" s="44"/>
      <c r="Q71" s="45">
        <f>IFERROR(N71/N78,"")</f>
        <v>0</v>
      </c>
    </row>
    <row r="72" spans="1:17" ht="19.95" customHeight="1" x14ac:dyDescent="0.4">
      <c r="A72" s="42" t="s">
        <v>149</v>
      </c>
      <c r="B72" s="42" t="s">
        <v>151</v>
      </c>
      <c r="C72" s="43"/>
      <c r="D72" s="44">
        <f t="shared" si="15"/>
        <v>0</v>
      </c>
      <c r="E72" s="44"/>
      <c r="F72" s="44"/>
      <c r="G72" s="45">
        <f>IFERROR(D72/D79,"")</f>
        <v>0</v>
      </c>
      <c r="H72" s="43"/>
      <c r="I72" s="44">
        <f t="shared" si="16"/>
        <v>0</v>
      </c>
      <c r="J72" s="44"/>
      <c r="K72" s="44"/>
      <c r="L72" s="45">
        <f>IFERROR(I72/I79,"")</f>
        <v>0</v>
      </c>
      <c r="M72" s="43" t="s">
        <v>152</v>
      </c>
      <c r="N72" s="44">
        <f t="shared" si="17"/>
        <v>599</v>
      </c>
      <c r="O72" s="44">
        <v>599</v>
      </c>
      <c r="P72" s="44">
        <v>0</v>
      </c>
      <c r="Q72" s="45" t="str">
        <f>IFERROR(N72/N79,"")</f>
        <v/>
      </c>
    </row>
    <row r="73" spans="1:17" ht="19.95" customHeight="1" x14ac:dyDescent="0.4">
      <c r="A73" s="42" t="s">
        <v>149</v>
      </c>
      <c r="B73" s="42" t="s">
        <v>153</v>
      </c>
      <c r="C73" s="43"/>
      <c r="D73" s="44">
        <f t="shared" si="15"/>
        <v>0</v>
      </c>
      <c r="E73" s="44"/>
      <c r="F73" s="44"/>
      <c r="G73" s="45">
        <f>IFERROR(D73/D80,"")</f>
        <v>0</v>
      </c>
      <c r="H73" s="43"/>
      <c r="I73" s="44">
        <f t="shared" si="16"/>
        <v>0</v>
      </c>
      <c r="J73" s="44"/>
      <c r="K73" s="44"/>
      <c r="L73" s="45">
        <f>IFERROR(I73/I80,"")</f>
        <v>0</v>
      </c>
      <c r="M73" s="43" t="s">
        <v>154</v>
      </c>
      <c r="N73" s="44">
        <f t="shared" si="17"/>
        <v>510</v>
      </c>
      <c r="O73" s="44">
        <v>510</v>
      </c>
      <c r="P73" s="44">
        <v>0</v>
      </c>
      <c r="Q73" s="45">
        <f>IFERROR(N73/N80,"")</f>
        <v>0.84297520661157022</v>
      </c>
    </row>
    <row r="74" spans="1:17" ht="19.95" customHeight="1" x14ac:dyDescent="0.4">
      <c r="A74" s="42" t="s">
        <v>149</v>
      </c>
      <c r="B74" s="42" t="s">
        <v>155</v>
      </c>
      <c r="C74" s="43" t="s">
        <v>156</v>
      </c>
      <c r="D74" s="44">
        <f t="shared" si="15"/>
        <v>399.95</v>
      </c>
      <c r="E74" s="44">
        <v>399.95</v>
      </c>
      <c r="F74" s="44">
        <v>0</v>
      </c>
      <c r="G74" s="45">
        <f>IFERROR(D74/D81,"")</f>
        <v>0.86955103815632129</v>
      </c>
      <c r="H74" s="43" t="s">
        <v>156</v>
      </c>
      <c r="I74" s="44">
        <f t="shared" si="16"/>
        <v>449.95</v>
      </c>
      <c r="J74" s="44">
        <v>449.95</v>
      </c>
      <c r="K74" s="44">
        <v>0</v>
      </c>
      <c r="L74" s="45">
        <f>IFERROR(I74/I81,"")</f>
        <v>0.58438859666212084</v>
      </c>
      <c r="M74" s="43" t="s">
        <v>156</v>
      </c>
      <c r="N74" s="44">
        <f t="shared" si="17"/>
        <v>415</v>
      </c>
      <c r="O74" s="44">
        <v>415</v>
      </c>
      <c r="P74" s="44">
        <v>0</v>
      </c>
      <c r="Q74" s="45" t="str">
        <f>IFERROR(N74/N81,"")</f>
        <v/>
      </c>
    </row>
    <row r="75" spans="1:17" ht="19.95" customHeight="1" x14ac:dyDescent="0.4">
      <c r="A75" s="42" t="s">
        <v>149</v>
      </c>
      <c r="B75" s="42" t="s">
        <v>157</v>
      </c>
      <c r="C75" s="43"/>
      <c r="D75" s="44">
        <f t="shared" si="15"/>
        <v>0</v>
      </c>
      <c r="E75" s="44"/>
      <c r="F75" s="44"/>
      <c r="G75" s="45">
        <f>IFERROR(D75/D82,"")</f>
        <v>0</v>
      </c>
      <c r="H75" s="43"/>
      <c r="I75" s="44">
        <f t="shared" si="16"/>
        <v>0</v>
      </c>
      <c r="J75" s="44"/>
      <c r="K75" s="44"/>
      <c r="L75" s="45">
        <f>IFERROR(I75/I82,"")</f>
        <v>0</v>
      </c>
      <c r="M75" s="43"/>
      <c r="N75" s="44">
        <f t="shared" si="17"/>
        <v>0</v>
      </c>
      <c r="O75" s="44"/>
      <c r="P75" s="44"/>
      <c r="Q75" s="45">
        <f>IFERROR(N75/N82,"")</f>
        <v>0</v>
      </c>
    </row>
    <row r="76" spans="1:17" ht="19.95" customHeight="1" x14ac:dyDescent="0.4">
      <c r="A76" s="42" t="s">
        <v>149</v>
      </c>
      <c r="B76" s="42" t="s">
        <v>158</v>
      </c>
      <c r="C76" s="43"/>
      <c r="D76" s="44">
        <f t="shared" si="15"/>
        <v>0</v>
      </c>
      <c r="E76" s="44"/>
      <c r="F76" s="44"/>
      <c r="G76" s="45">
        <f>IFERROR(D76/D83,"")</f>
        <v>0</v>
      </c>
      <c r="H76" s="43"/>
      <c r="I76" s="44">
        <f t="shared" si="16"/>
        <v>0</v>
      </c>
      <c r="J76" s="44"/>
      <c r="K76" s="44"/>
      <c r="L76" s="45">
        <f>IFERROR(I76/I83,"")</f>
        <v>0</v>
      </c>
      <c r="M76" s="43" t="s">
        <v>159</v>
      </c>
      <c r="N76" s="44">
        <f t="shared" si="17"/>
        <v>318</v>
      </c>
      <c r="O76" s="44">
        <v>318</v>
      </c>
      <c r="P76" s="44">
        <v>0</v>
      </c>
      <c r="Q76" s="45" t="str">
        <f>IFERROR(N76/N83,"")</f>
        <v/>
      </c>
    </row>
    <row r="77" spans="1:17" x14ac:dyDescent="0.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ht="19.95" customHeight="1" x14ac:dyDescent="0.4">
      <c r="A78" s="21" t="s">
        <v>149</v>
      </c>
      <c r="B78" s="21" t="s">
        <v>160</v>
      </c>
      <c r="C78" s="22"/>
      <c r="D78" s="9">
        <f t="shared" ref="D78:D83" si="18">E78-F78</f>
        <v>0</v>
      </c>
      <c r="E78" s="9"/>
      <c r="F78" s="9"/>
      <c r="G78" s="10"/>
      <c r="H78" s="22" t="s">
        <v>161</v>
      </c>
      <c r="I78" s="9">
        <f t="shared" ref="I78:I83" si="19">J78-K78</f>
        <v>999.95</v>
      </c>
      <c r="J78" s="9">
        <v>999.95</v>
      </c>
      <c r="K78" s="9">
        <v>0</v>
      </c>
      <c r="L78" s="10"/>
      <c r="M78" s="22" t="s">
        <v>162</v>
      </c>
      <c r="N78" s="9">
        <f t="shared" ref="N78:N83" si="20">O78-P78</f>
        <v>999</v>
      </c>
      <c r="O78" s="9">
        <v>999</v>
      </c>
      <c r="P78" s="9">
        <v>0</v>
      </c>
      <c r="Q78" s="10"/>
    </row>
    <row r="79" spans="1:17" ht="19.95" customHeight="1" x14ac:dyDescent="0.4">
      <c r="A79" s="21" t="s">
        <v>149</v>
      </c>
      <c r="B79" s="21" t="s">
        <v>163</v>
      </c>
      <c r="C79" s="22" t="s">
        <v>164</v>
      </c>
      <c r="D79" s="9">
        <f t="shared" si="18"/>
        <v>799.95</v>
      </c>
      <c r="E79" s="9">
        <v>799.95</v>
      </c>
      <c r="F79" s="9">
        <v>0</v>
      </c>
      <c r="G79" s="10"/>
      <c r="H79" s="22" t="s">
        <v>165</v>
      </c>
      <c r="I79" s="9">
        <f t="shared" si="19"/>
        <v>699.95</v>
      </c>
      <c r="J79" s="9">
        <v>699.95</v>
      </c>
      <c r="K79" s="9">
        <v>0</v>
      </c>
      <c r="L79" s="10"/>
      <c r="M79" s="22"/>
      <c r="N79" s="9">
        <f t="shared" si="20"/>
        <v>0</v>
      </c>
      <c r="O79" s="9"/>
      <c r="P79" s="9"/>
      <c r="Q79" s="10"/>
    </row>
    <row r="80" spans="1:17" ht="19.95" customHeight="1" x14ac:dyDescent="0.4">
      <c r="A80" s="21" t="s">
        <v>149</v>
      </c>
      <c r="B80" s="21" t="s">
        <v>166</v>
      </c>
      <c r="C80" s="22" t="s">
        <v>167</v>
      </c>
      <c r="D80" s="9">
        <f t="shared" si="18"/>
        <v>565</v>
      </c>
      <c r="E80" s="9">
        <v>565</v>
      </c>
      <c r="F80" s="9">
        <v>0</v>
      </c>
      <c r="G80" s="10"/>
      <c r="H80" s="22" t="s">
        <v>168</v>
      </c>
      <c r="I80" s="9">
        <f t="shared" si="19"/>
        <v>569.95000000000005</v>
      </c>
      <c r="J80" s="9">
        <v>569.95000000000005</v>
      </c>
      <c r="K80" s="9">
        <v>0</v>
      </c>
      <c r="L80" s="10"/>
      <c r="M80" s="22" t="s">
        <v>168</v>
      </c>
      <c r="N80" s="9">
        <f t="shared" si="20"/>
        <v>605</v>
      </c>
      <c r="O80" s="9">
        <v>605</v>
      </c>
      <c r="P80" s="9">
        <v>0</v>
      </c>
      <c r="Q80" s="10"/>
    </row>
    <row r="81" spans="1:17" ht="19.95" customHeight="1" x14ac:dyDescent="0.4">
      <c r="A81" s="21" t="s">
        <v>149</v>
      </c>
      <c r="B81" s="21" t="s">
        <v>169</v>
      </c>
      <c r="C81" s="22" t="s">
        <v>170</v>
      </c>
      <c r="D81" s="9">
        <f t="shared" si="18"/>
        <v>459.95</v>
      </c>
      <c r="E81" s="9">
        <v>459.95</v>
      </c>
      <c r="F81" s="9">
        <v>0</v>
      </c>
      <c r="G81" s="10"/>
      <c r="H81" s="22" t="s">
        <v>171</v>
      </c>
      <c r="I81" s="9">
        <f t="shared" si="19"/>
        <v>769.95</v>
      </c>
      <c r="J81" s="9">
        <v>769.95</v>
      </c>
      <c r="K81" s="9">
        <v>0</v>
      </c>
      <c r="L81" s="10"/>
      <c r="M81" s="22"/>
      <c r="N81" s="9">
        <f t="shared" si="20"/>
        <v>0</v>
      </c>
      <c r="O81" s="9"/>
      <c r="P81" s="9"/>
      <c r="Q81" s="10"/>
    </row>
    <row r="82" spans="1:17" ht="19.95" customHeight="1" x14ac:dyDescent="0.4">
      <c r="A82" s="21" t="s">
        <v>149</v>
      </c>
      <c r="B82" s="21" t="s">
        <v>172</v>
      </c>
      <c r="C82" s="22" t="s">
        <v>173</v>
      </c>
      <c r="D82" s="9">
        <f t="shared" si="18"/>
        <v>407.95</v>
      </c>
      <c r="E82" s="9">
        <v>407.95</v>
      </c>
      <c r="F82" s="9">
        <v>0</v>
      </c>
      <c r="G82" s="10"/>
      <c r="H82" s="22" t="s">
        <v>174</v>
      </c>
      <c r="I82" s="9">
        <f t="shared" si="19"/>
        <v>399.95</v>
      </c>
      <c r="J82" s="9">
        <v>399.95</v>
      </c>
      <c r="K82" s="9">
        <v>0</v>
      </c>
      <c r="L82" s="10"/>
      <c r="M82" s="22" t="s">
        <v>174</v>
      </c>
      <c r="N82" s="9">
        <f t="shared" si="20"/>
        <v>467</v>
      </c>
      <c r="O82" s="9">
        <v>467</v>
      </c>
      <c r="P82" s="9">
        <v>0</v>
      </c>
      <c r="Q82" s="10"/>
    </row>
    <row r="83" spans="1:17" ht="19.95" customHeight="1" x14ac:dyDescent="0.4">
      <c r="A83" s="21" t="s">
        <v>149</v>
      </c>
      <c r="B83" s="21" t="s">
        <v>175</v>
      </c>
      <c r="C83" s="22" t="s">
        <v>176</v>
      </c>
      <c r="D83" s="9">
        <f t="shared" si="18"/>
        <v>399.95</v>
      </c>
      <c r="E83" s="9">
        <v>399.95</v>
      </c>
      <c r="F83" s="9">
        <v>0</v>
      </c>
      <c r="G83" s="10"/>
      <c r="H83" s="22" t="s">
        <v>177</v>
      </c>
      <c r="I83" s="9">
        <f t="shared" si="19"/>
        <v>349.95</v>
      </c>
      <c r="J83" s="9">
        <v>349.95</v>
      </c>
      <c r="K83" s="9">
        <v>0</v>
      </c>
      <c r="L83" s="10"/>
      <c r="M83" s="22"/>
      <c r="N83" s="9">
        <f t="shared" si="20"/>
        <v>0</v>
      </c>
      <c r="O83" s="9"/>
      <c r="P83" s="9"/>
      <c r="Q83" s="10"/>
    </row>
    <row r="84" spans="1:17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4">
      <c r="A86" s="23" t="s">
        <v>4</v>
      </c>
    </row>
  </sheetData>
  <mergeCells count="4">
    <mergeCell ref="H2:L2"/>
    <mergeCell ref="C2:G2"/>
    <mergeCell ref="C1:Q1"/>
    <mergeCell ref="M2:Q2"/>
  </mergeCells>
  <phoneticPr fontId="6" type="noConversion"/>
  <pageMargins left="0.75" right="0.75" top="1" bottom="1" header="0.5" footer="0.5"/>
  <headerFooter>
    <oddHeader>&amp;C&amp;"Calibri"&amp;12&amp;K000000 LGE Internal Use Only&amp;1#_x000D_&amp;"맑은 고딕"&amp;11&amp;K000000&amp;"Calibri"&amp;1 &amp;K000000 LGE Internal Use Only#_x000D_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4"/>
  <sheetViews>
    <sheetView showGridLines="0" tabSelected="1" zoomScale="80" zoomScaleNormal="80" workbookViewId="0">
      <selection activeCell="F11" sqref="F11"/>
    </sheetView>
  </sheetViews>
  <sheetFormatPr defaultRowHeight="17.399999999999999" x14ac:dyDescent="0.4"/>
  <cols>
    <col min="2" max="2" width="16" customWidth="1"/>
    <col min="3" max="3" width="21.8984375" bestFit="1" customWidth="1"/>
    <col min="4" max="7" width="12" customWidth="1"/>
    <col min="8" max="8" width="18" customWidth="1"/>
    <col min="9" max="12" width="12" customWidth="1"/>
    <col min="13" max="13" width="18" customWidth="1"/>
    <col min="14" max="17" width="12" customWidth="1"/>
  </cols>
  <sheetData>
    <row r="1" spans="1:17" ht="19.8" customHeight="1" x14ac:dyDescent="0.4">
      <c r="C1" s="33" t="s">
        <v>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x14ac:dyDescent="0.4">
      <c r="C2" s="32" t="s">
        <v>1</v>
      </c>
      <c r="D2" s="31"/>
      <c r="E2" s="31"/>
      <c r="F2" s="31"/>
      <c r="G2" s="31"/>
      <c r="H2" s="30" t="s">
        <v>2</v>
      </c>
      <c r="I2" s="31"/>
      <c r="J2" s="31"/>
      <c r="K2" s="31"/>
      <c r="L2" s="31"/>
      <c r="M2" s="34" t="s">
        <v>3</v>
      </c>
      <c r="N2" s="31"/>
      <c r="O2" s="31"/>
      <c r="P2" s="31"/>
      <c r="Q2" s="31"/>
    </row>
    <row r="3" spans="1:17" ht="25.05" customHeight="1" x14ac:dyDescent="0.4">
      <c r="A3" s="4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10</v>
      </c>
    </row>
    <row r="4" spans="1:17" ht="19.95" customHeight="1" x14ac:dyDescent="0.4">
      <c r="A4" s="42" t="s">
        <v>11</v>
      </c>
      <c r="B4" s="42" t="s">
        <v>178</v>
      </c>
      <c r="C4" s="43"/>
      <c r="D4" s="44">
        <f>E4-F4</f>
        <v>0</v>
      </c>
      <c r="E4" s="44"/>
      <c r="F4" s="44"/>
      <c r="G4" s="45" t="str">
        <f>IFERROR(E4/E4,"")</f>
        <v/>
      </c>
      <c r="H4" s="43"/>
      <c r="I4" s="44">
        <f>J4-K4</f>
        <v>0</v>
      </c>
      <c r="J4" s="44"/>
      <c r="K4" s="44"/>
      <c r="L4" s="45" t="str">
        <f>IFERROR(J4/J4,"")</f>
        <v/>
      </c>
      <c r="M4" s="43" t="s">
        <v>179</v>
      </c>
      <c r="N4" s="44">
        <f>O4-P4</f>
        <v>5999</v>
      </c>
      <c r="O4" s="44">
        <v>5999</v>
      </c>
      <c r="P4" s="44">
        <v>0</v>
      </c>
      <c r="Q4" s="45">
        <f>IFERROR(O4/O4,"")</f>
        <v>1</v>
      </c>
    </row>
    <row r="5" spans="1:17" ht="19.95" customHeight="1" x14ac:dyDescent="0.4">
      <c r="A5" s="42" t="s">
        <v>11</v>
      </c>
      <c r="B5" s="42" t="s">
        <v>180</v>
      </c>
      <c r="C5" s="43"/>
      <c r="D5" s="44">
        <f>E5-F5</f>
        <v>0</v>
      </c>
      <c r="E5" s="44"/>
      <c r="F5" s="44"/>
      <c r="G5" s="45" t="str">
        <f>IFERROR(E5/E5,"")</f>
        <v/>
      </c>
      <c r="H5" s="43"/>
      <c r="I5" s="44">
        <f>J5-K5</f>
        <v>0</v>
      </c>
      <c r="J5" s="44"/>
      <c r="K5" s="44"/>
      <c r="L5" s="45" t="str">
        <f>IFERROR(J5/J5,"")</f>
        <v/>
      </c>
      <c r="M5" s="43"/>
      <c r="N5" s="44">
        <f>O5-P5</f>
        <v>0</v>
      </c>
      <c r="O5" s="44"/>
      <c r="P5" s="44"/>
      <c r="Q5" s="45" t="str">
        <f>IFERROR(O5/O5,"")</f>
        <v/>
      </c>
    </row>
    <row r="6" spans="1:17" ht="19.95" customHeight="1" x14ac:dyDescent="0.4">
      <c r="A6" s="42" t="s">
        <v>11</v>
      </c>
      <c r="B6" s="42" t="s">
        <v>181</v>
      </c>
      <c r="C6" s="43"/>
      <c r="D6" s="44">
        <f>E6-F6</f>
        <v>0</v>
      </c>
      <c r="E6" s="44"/>
      <c r="F6" s="44"/>
      <c r="G6" s="45" t="str">
        <f>IFERROR(E6/E6,"")</f>
        <v/>
      </c>
      <c r="H6" s="43"/>
      <c r="I6" s="44">
        <f>J6-K6</f>
        <v>0</v>
      </c>
      <c r="J6" s="44"/>
      <c r="K6" s="44"/>
      <c r="L6" s="45" t="str">
        <f>IFERROR(J6/J6,"")</f>
        <v/>
      </c>
      <c r="M6" s="43" t="s">
        <v>182</v>
      </c>
      <c r="N6" s="44">
        <f>O6-P6</f>
        <v>3499</v>
      </c>
      <c r="O6" s="44">
        <v>3499</v>
      </c>
      <c r="P6" s="44">
        <v>0</v>
      </c>
      <c r="Q6" s="45">
        <f>IFERROR(O6/O6,"")</f>
        <v>1</v>
      </c>
    </row>
    <row r="7" spans="1:17" ht="19.95" customHeight="1" x14ac:dyDescent="0.4">
      <c r="A7" s="42" t="s">
        <v>11</v>
      </c>
      <c r="B7" s="42" t="s">
        <v>183</v>
      </c>
      <c r="C7" s="43"/>
      <c r="D7" s="44">
        <f>E7-F7</f>
        <v>0</v>
      </c>
      <c r="E7" s="44"/>
      <c r="F7" s="44"/>
      <c r="G7" s="45" t="str">
        <f>IFERROR(E7/E7,"")</f>
        <v/>
      </c>
      <c r="H7" s="43"/>
      <c r="I7" s="44">
        <f>J7-K7</f>
        <v>0</v>
      </c>
      <c r="J7" s="44"/>
      <c r="K7" s="44"/>
      <c r="L7" s="45" t="str">
        <f>IFERROR(J7/J7,"")</f>
        <v/>
      </c>
      <c r="M7" s="43"/>
      <c r="N7" s="44">
        <f>O7-P7</f>
        <v>0</v>
      </c>
      <c r="O7" s="44"/>
      <c r="P7" s="44"/>
      <c r="Q7" s="45" t="str">
        <f>IFERROR(O7/O7,"")</f>
        <v/>
      </c>
    </row>
    <row r="8" spans="1:17" s="15" customFormat="1" ht="19.95" customHeight="1" x14ac:dyDescent="0.4">
      <c r="A8" s="24"/>
      <c r="B8" s="24"/>
      <c r="C8" s="12"/>
      <c r="D8" s="13"/>
      <c r="E8" s="13"/>
      <c r="F8" s="13"/>
      <c r="G8" s="14"/>
      <c r="H8" s="12"/>
      <c r="I8" s="13"/>
      <c r="J8" s="13"/>
      <c r="K8" s="13"/>
      <c r="L8" s="14"/>
      <c r="M8" s="12"/>
      <c r="N8" s="13"/>
      <c r="O8" s="13"/>
      <c r="P8" s="13"/>
      <c r="Q8" s="14"/>
    </row>
    <row r="9" spans="1:17" s="15" customFormat="1" ht="19.95" customHeight="1" x14ac:dyDescent="0.4">
      <c r="A9" s="42" t="s">
        <v>11</v>
      </c>
      <c r="B9" s="42" t="s">
        <v>184</v>
      </c>
      <c r="C9" s="43" t="s">
        <v>185</v>
      </c>
      <c r="D9" s="46"/>
      <c r="E9" s="47">
        <v>4999</v>
      </c>
      <c r="F9" s="47">
        <v>0</v>
      </c>
      <c r="G9" s="45" t="str">
        <f>IFERROR(E9/E4,"")</f>
        <v/>
      </c>
      <c r="H9" s="43" t="s">
        <v>186</v>
      </c>
      <c r="I9" s="46"/>
      <c r="J9" s="44">
        <v>4499.95</v>
      </c>
      <c r="K9" s="44">
        <v>0</v>
      </c>
      <c r="L9" s="45" t="str">
        <f>IFERROR(J9/J4,"")</f>
        <v/>
      </c>
      <c r="M9" s="43"/>
      <c r="N9" s="46"/>
      <c r="O9" s="47"/>
      <c r="P9" s="47"/>
      <c r="Q9" s="45">
        <f>IFERROR(O9/O4,"")</f>
        <v>0</v>
      </c>
    </row>
    <row r="10" spans="1:17" ht="19.95" customHeight="1" x14ac:dyDescent="0.4">
      <c r="A10" s="42" t="s">
        <v>11</v>
      </c>
      <c r="B10" s="42" t="s">
        <v>187</v>
      </c>
      <c r="C10" s="43" t="s">
        <v>188</v>
      </c>
      <c r="D10" s="46"/>
      <c r="E10" s="47">
        <v>3499</v>
      </c>
      <c r="F10" s="47">
        <v>0</v>
      </c>
      <c r="G10" s="45" t="str">
        <f>IFERROR(E10/E5,"")</f>
        <v/>
      </c>
      <c r="H10" s="43" t="s">
        <v>189</v>
      </c>
      <c r="I10" s="46"/>
      <c r="J10" s="44">
        <v>3499.95</v>
      </c>
      <c r="K10" s="44">
        <v>0</v>
      </c>
      <c r="L10" s="45" t="str">
        <f>IFERROR(J10/J5,"")</f>
        <v/>
      </c>
      <c r="M10" s="43"/>
      <c r="N10" s="46"/>
      <c r="O10" s="47"/>
      <c r="P10" s="47"/>
      <c r="Q10" s="45" t="str">
        <f>IFERROR(O10/O5,"")</f>
        <v/>
      </c>
    </row>
    <row r="11" spans="1:17" ht="19.95" customHeight="1" x14ac:dyDescent="0.4">
      <c r="A11" s="42" t="s">
        <v>11</v>
      </c>
      <c r="B11" s="42" t="s">
        <v>190</v>
      </c>
      <c r="C11" s="43" t="s">
        <v>191</v>
      </c>
      <c r="D11" s="44">
        <f>E11-F11</f>
        <v>2599</v>
      </c>
      <c r="E11" s="44">
        <v>2599</v>
      </c>
      <c r="F11" s="44">
        <v>0</v>
      </c>
      <c r="G11" s="45" t="str">
        <f>IFERROR(E11/E6,"")</f>
        <v/>
      </c>
      <c r="H11" s="43" t="s">
        <v>192</v>
      </c>
      <c r="I11" s="44">
        <f>J11-K11</f>
        <v>2599.9499999999998</v>
      </c>
      <c r="J11" s="44">
        <v>2599.9499999999998</v>
      </c>
      <c r="K11" s="44">
        <v>0</v>
      </c>
      <c r="L11" s="45" t="str">
        <f>IFERROR(J11/J6,"")</f>
        <v/>
      </c>
      <c r="M11" s="43"/>
      <c r="N11" s="44">
        <f>O11-P11</f>
        <v>0</v>
      </c>
      <c r="O11" s="44"/>
      <c r="P11" s="44"/>
      <c r="Q11" s="45">
        <f>IFERROR(O11/O6,"")</f>
        <v>0</v>
      </c>
    </row>
    <row r="12" spans="1:17" ht="19.95" customHeight="1" x14ac:dyDescent="0.4">
      <c r="A12" s="42" t="s">
        <v>11</v>
      </c>
      <c r="B12" s="42" t="s">
        <v>193</v>
      </c>
      <c r="C12" s="43" t="s">
        <v>194</v>
      </c>
      <c r="D12" s="44">
        <f>E12-F12</f>
        <v>1799</v>
      </c>
      <c r="E12" s="44">
        <v>1799</v>
      </c>
      <c r="F12" s="44">
        <v>0</v>
      </c>
      <c r="G12" s="45" t="str">
        <f>IFERROR(E12/E7,"")</f>
        <v/>
      </c>
      <c r="H12" s="43" t="s">
        <v>195</v>
      </c>
      <c r="I12" s="44">
        <f>J12-K12</f>
        <v>1799.95</v>
      </c>
      <c r="J12" s="44">
        <v>1799.95</v>
      </c>
      <c r="K12" s="44">
        <v>0</v>
      </c>
      <c r="L12" s="45" t="str">
        <f>IFERROR(J12/J7,"")</f>
        <v/>
      </c>
      <c r="M12" s="43"/>
      <c r="N12" s="44">
        <f>O12-P12</f>
        <v>0</v>
      </c>
      <c r="O12" s="44"/>
      <c r="P12" s="44"/>
      <c r="Q12" s="45" t="str">
        <f>IFERROR(O12/O7,"")</f>
        <v/>
      </c>
    </row>
    <row r="13" spans="1:17" ht="19.95" customHeight="1" x14ac:dyDescent="0.4">
      <c r="A13" s="42" t="s">
        <v>11</v>
      </c>
      <c r="B13" s="42" t="s">
        <v>196</v>
      </c>
      <c r="C13" s="43" t="s">
        <v>197</v>
      </c>
      <c r="D13" s="44">
        <f>E13-F13</f>
        <v>1599</v>
      </c>
      <c r="E13" s="44">
        <v>1599</v>
      </c>
      <c r="F13" s="44">
        <v>0</v>
      </c>
      <c r="G13" s="45" t="str">
        <f>IFERROR(E13/E7,"")</f>
        <v/>
      </c>
      <c r="H13" s="43" t="s">
        <v>198</v>
      </c>
      <c r="I13" s="44">
        <f>J13-K13</f>
        <v>1599.95</v>
      </c>
      <c r="J13" s="44">
        <v>1599.95</v>
      </c>
      <c r="K13" s="44">
        <v>0</v>
      </c>
      <c r="L13" s="45" t="str">
        <f>IFERROR(J13/J7,"")</f>
        <v/>
      </c>
      <c r="M13" s="43"/>
      <c r="N13" s="44">
        <f>O13-P13</f>
        <v>0</v>
      </c>
      <c r="O13" s="44"/>
      <c r="P13" s="44"/>
      <c r="Q13" s="45" t="str">
        <f>IFERROR(O13/O7,"")</f>
        <v/>
      </c>
    </row>
    <row r="14" spans="1:17" ht="19.95" customHeight="1" x14ac:dyDescent="0.4">
      <c r="A14" s="42" t="s">
        <v>11</v>
      </c>
      <c r="B14" s="42" t="s">
        <v>199</v>
      </c>
      <c r="C14" s="43"/>
      <c r="D14" s="44">
        <f>E14-F14</f>
        <v>0</v>
      </c>
      <c r="E14" s="44"/>
      <c r="F14" s="44"/>
      <c r="G14" s="45" t="str">
        <f>IFERROR(E14/E7,"")</f>
        <v/>
      </c>
      <c r="H14" s="43" t="s">
        <v>200</v>
      </c>
      <c r="I14" s="44">
        <f>J14-K14</f>
        <v>1499.95</v>
      </c>
      <c r="J14" s="44">
        <v>1499.95</v>
      </c>
      <c r="K14" s="44">
        <v>0</v>
      </c>
      <c r="L14" s="45" t="str">
        <f>IFERROR(J14/J7,"")</f>
        <v/>
      </c>
      <c r="M14" s="43" t="s">
        <v>201</v>
      </c>
      <c r="N14" s="44">
        <f>O14-P14</f>
        <v>1255</v>
      </c>
      <c r="O14" s="44">
        <v>1255</v>
      </c>
      <c r="P14" s="44">
        <v>0</v>
      </c>
      <c r="Q14" s="45" t="str">
        <f>IFERROR(O14/O7,"")</f>
        <v/>
      </c>
    </row>
    <row r="15" spans="1:17" s="15" customFormat="1" ht="19.95" customHeight="1" x14ac:dyDescent="0.4">
      <c r="A15" s="24"/>
      <c r="B15" s="24"/>
      <c r="C15" s="12"/>
      <c r="D15" s="13"/>
      <c r="E15" s="13"/>
      <c r="F15" s="13"/>
      <c r="G15" s="14"/>
      <c r="H15" s="12"/>
      <c r="I15" s="13"/>
      <c r="J15" s="13"/>
      <c r="K15" s="13"/>
      <c r="L15" s="14"/>
      <c r="M15" s="12"/>
      <c r="N15" s="13"/>
      <c r="O15" s="13"/>
      <c r="P15" s="13"/>
      <c r="Q15" s="14"/>
    </row>
    <row r="16" spans="1:17" ht="19.95" customHeight="1" x14ac:dyDescent="0.4">
      <c r="A16" s="42" t="s">
        <v>11</v>
      </c>
      <c r="B16" s="42" t="s">
        <v>202</v>
      </c>
      <c r="C16" s="43"/>
      <c r="D16" s="44">
        <f>E16-F16</f>
        <v>0</v>
      </c>
      <c r="E16" s="44"/>
      <c r="F16" s="44"/>
      <c r="G16" s="45" t="str">
        <f>IFERROR(E16/E4,"")</f>
        <v/>
      </c>
      <c r="H16" s="43"/>
      <c r="I16" s="44">
        <f>J16-K16</f>
        <v>0</v>
      </c>
      <c r="J16" s="44"/>
      <c r="K16" s="44"/>
      <c r="L16" s="45" t="str">
        <f>IFERROR(J16/J4,"")</f>
        <v/>
      </c>
      <c r="M16" s="43"/>
      <c r="N16" s="44">
        <f>O16-P16</f>
        <v>0</v>
      </c>
      <c r="O16" s="44"/>
      <c r="P16" s="44"/>
      <c r="Q16" s="45">
        <f>IFERROR(O16/O4,"")</f>
        <v>0</v>
      </c>
    </row>
    <row r="17" spans="1:17" s="15" customFormat="1" ht="19.95" customHeight="1" x14ac:dyDescent="0.4">
      <c r="A17" s="42" t="s">
        <v>11</v>
      </c>
      <c r="B17" s="42" t="s">
        <v>203</v>
      </c>
      <c r="C17" s="43"/>
      <c r="D17" s="44"/>
      <c r="E17" s="44"/>
      <c r="F17" s="44"/>
      <c r="G17" s="45" t="str">
        <f>IFERROR(E17/E5,"")</f>
        <v/>
      </c>
      <c r="H17" s="43"/>
      <c r="I17" s="44"/>
      <c r="J17" s="44"/>
      <c r="K17" s="44"/>
      <c r="L17" s="45" t="str">
        <f>IFERROR(J17/J5,"")</f>
        <v/>
      </c>
      <c r="M17" s="43"/>
      <c r="N17" s="44"/>
      <c r="O17" s="44"/>
      <c r="P17" s="44"/>
      <c r="Q17" s="45" t="str">
        <f>IFERROR(O17/O5,"")</f>
        <v/>
      </c>
    </row>
    <row r="18" spans="1:17" ht="19.95" customHeight="1" x14ac:dyDescent="0.4">
      <c r="A18" s="42" t="s">
        <v>11</v>
      </c>
      <c r="B18" s="42" t="s">
        <v>204</v>
      </c>
      <c r="C18" s="43"/>
      <c r="D18" s="44">
        <f>E18-F18</f>
        <v>0</v>
      </c>
      <c r="E18" s="44"/>
      <c r="F18" s="44"/>
      <c r="G18" s="45" t="str">
        <f>IFERROR(E18/E6,"")</f>
        <v/>
      </c>
      <c r="H18" s="43"/>
      <c r="I18" s="44">
        <f>J18-K18</f>
        <v>0</v>
      </c>
      <c r="J18" s="44"/>
      <c r="K18" s="44"/>
      <c r="L18" s="45" t="str">
        <f>IFERROR(J18/J6,"")</f>
        <v/>
      </c>
      <c r="M18" s="43"/>
      <c r="N18" s="44">
        <f>O18-P18</f>
        <v>0</v>
      </c>
      <c r="O18" s="44"/>
      <c r="P18" s="44"/>
      <c r="Q18" s="45">
        <f>IFERROR(O18/O6,"")</f>
        <v>0</v>
      </c>
    </row>
    <row r="19" spans="1:17" ht="19.95" customHeight="1" x14ac:dyDescent="0.4">
      <c r="A19" s="42" t="s">
        <v>11</v>
      </c>
      <c r="B19" s="42" t="s">
        <v>205</v>
      </c>
      <c r="C19" s="43"/>
      <c r="D19" s="46"/>
      <c r="E19" s="47"/>
      <c r="F19" s="47"/>
      <c r="G19" s="45" t="str">
        <f>IFERROR(E19/E7,"")</f>
        <v/>
      </c>
      <c r="H19" s="43"/>
      <c r="I19" s="46"/>
      <c r="J19" s="47"/>
      <c r="K19" s="47"/>
      <c r="L19" s="45" t="str">
        <f>IFERROR(J19/J7,"")</f>
        <v/>
      </c>
      <c r="M19" s="43"/>
      <c r="N19" s="46"/>
      <c r="O19" s="47"/>
      <c r="P19" s="47"/>
      <c r="Q19" s="45" t="str">
        <f>IFERROR(O19/O7,"")</f>
        <v/>
      </c>
    </row>
    <row r="20" spans="1:17" ht="19.95" customHeight="1" x14ac:dyDescent="0.4">
      <c r="A20" s="42" t="s">
        <v>11</v>
      </c>
      <c r="B20" s="42" t="s">
        <v>206</v>
      </c>
      <c r="C20" s="43"/>
      <c r="D20" s="44">
        <f>E20-F20</f>
        <v>0</v>
      </c>
      <c r="E20" s="44"/>
      <c r="F20" s="44"/>
      <c r="G20" s="45" t="str">
        <f>IFERROR(E20/E7,"")</f>
        <v/>
      </c>
      <c r="H20" s="43"/>
      <c r="I20" s="44">
        <f>J20-K20</f>
        <v>0</v>
      </c>
      <c r="J20" s="44"/>
      <c r="K20" s="44"/>
      <c r="L20" s="45" t="str">
        <f>IFERROR(J20/J7,"")</f>
        <v/>
      </c>
      <c r="M20" s="43"/>
      <c r="N20" s="44">
        <f>O20-P20</f>
        <v>0</v>
      </c>
      <c r="O20" s="44"/>
      <c r="P20" s="44"/>
      <c r="Q20" s="45" t="str">
        <f>IFERROR(O20/O7,"")</f>
        <v/>
      </c>
    </row>
    <row r="21" spans="1:17" s="39" customFormat="1" ht="19.95" customHeight="1" x14ac:dyDescent="0.4">
      <c r="A21" s="35"/>
      <c r="B21" s="35"/>
      <c r="C21" s="36"/>
      <c r="D21" s="37"/>
      <c r="E21" s="37"/>
      <c r="F21" s="37"/>
      <c r="G21" s="38"/>
      <c r="H21" s="36"/>
      <c r="I21" s="37"/>
      <c r="J21" s="37"/>
      <c r="K21" s="37"/>
      <c r="L21" s="38"/>
      <c r="M21" s="36"/>
      <c r="N21" s="37"/>
      <c r="O21" s="37"/>
      <c r="P21" s="37"/>
      <c r="Q21" s="38"/>
    </row>
    <row r="22" spans="1:17" ht="19.95" customHeight="1" x14ac:dyDescent="0.4">
      <c r="A22" s="25" t="s">
        <v>11</v>
      </c>
      <c r="B22" s="25" t="s">
        <v>207</v>
      </c>
      <c r="C22" s="26"/>
      <c r="D22" s="13">
        <f>E22-F22</f>
        <v>0</v>
      </c>
      <c r="E22" s="13"/>
      <c r="F22" s="13"/>
      <c r="G22" s="14"/>
      <c r="H22" s="26" t="s">
        <v>208</v>
      </c>
      <c r="I22" s="13">
        <f>J22-K22</f>
        <v>5267</v>
      </c>
      <c r="J22" s="13">
        <v>5267</v>
      </c>
      <c r="K22" s="13">
        <v>0</v>
      </c>
      <c r="L22" s="14"/>
      <c r="M22" s="26"/>
      <c r="N22" s="13">
        <f>O22-P22</f>
        <v>0</v>
      </c>
      <c r="O22" s="13"/>
      <c r="P22" s="13"/>
      <c r="Q22" s="14"/>
    </row>
    <row r="23" spans="1:17" ht="19.95" customHeight="1" x14ac:dyDescent="0.4">
      <c r="A23" s="25" t="s">
        <v>11</v>
      </c>
      <c r="B23" s="25" t="s">
        <v>209</v>
      </c>
      <c r="C23" s="26" t="s">
        <v>210</v>
      </c>
      <c r="D23" s="13">
        <f>E23-F23</f>
        <v>4499</v>
      </c>
      <c r="E23" s="13">
        <v>4499</v>
      </c>
      <c r="F23" s="13">
        <v>0</v>
      </c>
      <c r="G23" s="14"/>
      <c r="H23" s="26" t="s">
        <v>211</v>
      </c>
      <c r="I23" s="13">
        <f>J23-K23</f>
        <v>4499.95</v>
      </c>
      <c r="J23" s="13">
        <v>4499.95</v>
      </c>
      <c r="K23" s="13">
        <v>0</v>
      </c>
      <c r="L23" s="14"/>
      <c r="M23" s="26" t="s">
        <v>212</v>
      </c>
      <c r="N23" s="13">
        <f>O23-P23</f>
        <v>4236</v>
      </c>
      <c r="O23" s="13">
        <v>4236</v>
      </c>
      <c r="P23" s="13">
        <v>0</v>
      </c>
      <c r="Q23" s="14"/>
    </row>
    <row r="24" spans="1:17" s="15" customFormat="1" ht="19.95" customHeight="1" x14ac:dyDescent="0.4">
      <c r="A24" s="25" t="s">
        <v>11</v>
      </c>
      <c r="B24" s="25" t="s">
        <v>213</v>
      </c>
      <c r="C24" s="26" t="s">
        <v>214</v>
      </c>
      <c r="D24" s="13"/>
      <c r="E24" s="13">
        <v>3499</v>
      </c>
      <c r="F24" s="13">
        <v>0</v>
      </c>
      <c r="G24" s="14"/>
      <c r="H24" s="26" t="s">
        <v>215</v>
      </c>
      <c r="I24" s="13"/>
      <c r="J24" s="13">
        <v>3499.95</v>
      </c>
      <c r="K24" s="13">
        <v>0</v>
      </c>
      <c r="L24" s="14"/>
      <c r="M24" s="26" t="s">
        <v>216</v>
      </c>
      <c r="N24" s="13"/>
      <c r="O24" s="13">
        <v>3335</v>
      </c>
      <c r="P24" s="13">
        <v>0</v>
      </c>
      <c r="Q24" s="14"/>
    </row>
    <row r="25" spans="1:17" ht="19.95" customHeight="1" x14ac:dyDescent="0.4">
      <c r="A25" s="27" t="s">
        <v>11</v>
      </c>
      <c r="B25" s="27" t="s">
        <v>217</v>
      </c>
      <c r="C25" s="28" t="s">
        <v>218</v>
      </c>
      <c r="D25" s="16">
        <f>E25-F25</f>
        <v>2499</v>
      </c>
      <c r="E25" s="16">
        <v>2499</v>
      </c>
      <c r="F25" s="16">
        <v>0</v>
      </c>
      <c r="G25" s="17"/>
      <c r="H25" s="28" t="s">
        <v>219</v>
      </c>
      <c r="I25" s="16">
        <f>J25-K25</f>
        <v>2499.9499999999998</v>
      </c>
      <c r="J25" s="16">
        <v>2499.9499999999998</v>
      </c>
      <c r="K25" s="16">
        <v>0</v>
      </c>
      <c r="L25" s="17"/>
      <c r="M25" s="28" t="s">
        <v>220</v>
      </c>
      <c r="N25" s="16">
        <f>O25-P25</f>
        <v>2449</v>
      </c>
      <c r="O25" s="16">
        <v>2449</v>
      </c>
      <c r="P25" s="16">
        <v>0</v>
      </c>
      <c r="Q25" s="17"/>
    </row>
    <row r="26" spans="1:17" s="15" customFormat="1" ht="19.95" customHeight="1" x14ac:dyDescent="0.4">
      <c r="A26" s="27"/>
      <c r="B26" s="27"/>
      <c r="C26" s="28"/>
      <c r="D26" s="16"/>
      <c r="E26" s="16"/>
      <c r="F26" s="16"/>
      <c r="G26" s="17"/>
      <c r="H26" s="28"/>
      <c r="I26" s="16"/>
      <c r="J26" s="16"/>
      <c r="K26" s="16"/>
      <c r="L26" s="17"/>
      <c r="M26" s="28"/>
      <c r="N26" s="16"/>
      <c r="O26" s="16"/>
      <c r="P26" s="16"/>
      <c r="Q26" s="17"/>
    </row>
    <row r="27" spans="1:17" ht="19.95" customHeight="1" x14ac:dyDescent="0.4">
      <c r="A27" s="27" t="s">
        <v>11</v>
      </c>
      <c r="B27" s="27" t="s">
        <v>221</v>
      </c>
      <c r="C27" s="28"/>
      <c r="D27" s="16">
        <f>E27-F27</f>
        <v>0</v>
      </c>
      <c r="E27" s="16"/>
      <c r="F27" s="16"/>
      <c r="G27" s="17"/>
      <c r="H27" s="28"/>
      <c r="I27" s="16">
        <f>J27-K27</f>
        <v>0</v>
      </c>
      <c r="J27" s="16"/>
      <c r="K27" s="16"/>
      <c r="L27" s="17"/>
      <c r="M27" s="28"/>
      <c r="N27" s="16">
        <f>O27-P27</f>
        <v>0</v>
      </c>
      <c r="O27" s="16"/>
      <c r="P27" s="16"/>
      <c r="Q27" s="17"/>
    </row>
    <row r="28" spans="1:17" ht="19.95" customHeight="1" x14ac:dyDescent="0.4">
      <c r="A28" s="27" t="s">
        <v>11</v>
      </c>
      <c r="B28" s="27" t="s">
        <v>222</v>
      </c>
      <c r="C28" s="28"/>
      <c r="D28" s="18"/>
      <c r="E28" s="19"/>
      <c r="F28" s="19"/>
      <c r="G28" s="17"/>
      <c r="H28" s="28"/>
      <c r="I28" s="18"/>
      <c r="J28" s="16"/>
      <c r="K28" s="16"/>
      <c r="L28" s="17"/>
      <c r="M28" s="28"/>
      <c r="N28" s="18"/>
      <c r="O28" s="16"/>
      <c r="P28" s="16"/>
      <c r="Q28" s="17"/>
    </row>
    <row r="29" spans="1:17" ht="19.95" customHeight="1" x14ac:dyDescent="0.4">
      <c r="A29" s="27" t="s">
        <v>11</v>
      </c>
      <c r="B29" s="27" t="s">
        <v>223</v>
      </c>
      <c r="C29" s="28"/>
      <c r="D29" s="16">
        <f>E29-F29</f>
        <v>0</v>
      </c>
      <c r="E29" s="16"/>
      <c r="F29" s="16"/>
      <c r="G29" s="17"/>
      <c r="H29" s="28"/>
      <c r="I29" s="16">
        <f>J29-K29</f>
        <v>0</v>
      </c>
      <c r="J29" s="16"/>
      <c r="K29" s="16"/>
      <c r="L29" s="17"/>
      <c r="M29" s="28"/>
      <c r="N29" s="16">
        <f>O29-P29</f>
        <v>0</v>
      </c>
      <c r="O29" s="16"/>
      <c r="P29" s="16"/>
      <c r="Q29" s="17"/>
    </row>
    <row r="30" spans="1:17" s="15" customFormat="1" ht="19.95" customHeight="1" x14ac:dyDescent="0.4">
      <c r="A30" s="27" t="s">
        <v>11</v>
      </c>
      <c r="B30" s="27" t="s">
        <v>224</v>
      </c>
      <c r="C30" s="28"/>
      <c r="D30" s="16"/>
      <c r="E30" s="16"/>
      <c r="F30" s="16"/>
      <c r="G30" s="17"/>
      <c r="H30" s="28" t="s">
        <v>225</v>
      </c>
      <c r="I30" s="16"/>
      <c r="J30" s="16">
        <v>2400</v>
      </c>
      <c r="K30" s="16">
        <v>0</v>
      </c>
      <c r="L30" s="17"/>
      <c r="M30" s="28"/>
      <c r="N30" s="16"/>
      <c r="O30" s="16"/>
      <c r="P30" s="16"/>
      <c r="Q30" s="17"/>
    </row>
    <row r="31" spans="1:17" s="15" customFormat="1" ht="19.95" customHeight="1" x14ac:dyDescent="0.4">
      <c r="A31" s="27"/>
      <c r="B31" s="27"/>
      <c r="C31" s="28"/>
      <c r="D31" s="16"/>
      <c r="E31" s="16"/>
      <c r="F31" s="16"/>
      <c r="G31" s="17"/>
      <c r="H31" s="28"/>
      <c r="I31" s="16"/>
      <c r="J31" s="16"/>
      <c r="K31" s="16"/>
      <c r="L31" s="17"/>
      <c r="M31" s="28"/>
      <c r="N31" s="16"/>
      <c r="O31" s="16"/>
      <c r="P31" s="16"/>
      <c r="Q31" s="17"/>
    </row>
    <row r="32" spans="1:17" ht="19.95" customHeight="1" x14ac:dyDescent="0.4">
      <c r="A32" s="27" t="s">
        <v>11</v>
      </c>
      <c r="B32" s="27" t="s">
        <v>226</v>
      </c>
      <c r="C32" s="28" t="s">
        <v>227</v>
      </c>
      <c r="D32" s="16">
        <f>E32-F32</f>
        <v>4999</v>
      </c>
      <c r="E32" s="16">
        <v>4999</v>
      </c>
      <c r="F32" s="16">
        <v>0</v>
      </c>
      <c r="G32" s="17"/>
      <c r="H32" s="28" t="s">
        <v>228</v>
      </c>
      <c r="I32" s="16">
        <f>J32-K32</f>
        <v>4999.95</v>
      </c>
      <c r="J32" s="16">
        <v>4999.95</v>
      </c>
      <c r="K32" s="16">
        <v>0</v>
      </c>
      <c r="L32" s="17"/>
      <c r="M32" s="28"/>
      <c r="N32" s="16">
        <f>O32-P32</f>
        <v>0</v>
      </c>
      <c r="O32" s="16"/>
      <c r="P32" s="16"/>
      <c r="Q32" s="17"/>
    </row>
    <row r="33" spans="1:17" ht="19.95" customHeight="1" x14ac:dyDescent="0.4">
      <c r="A33" s="27" t="s">
        <v>11</v>
      </c>
      <c r="B33" s="27" t="s">
        <v>229</v>
      </c>
      <c r="C33" s="28" t="s">
        <v>230</v>
      </c>
      <c r="D33" s="16">
        <f>E33-F33</f>
        <v>3499</v>
      </c>
      <c r="E33" s="16">
        <v>3499</v>
      </c>
      <c r="F33" s="16">
        <v>0</v>
      </c>
      <c r="G33" s="17"/>
      <c r="H33" s="28" t="s">
        <v>231</v>
      </c>
      <c r="I33" s="16">
        <f>J33-K33</f>
        <v>3499.95</v>
      </c>
      <c r="J33" s="16">
        <v>3499.95</v>
      </c>
      <c r="K33" s="16">
        <v>0</v>
      </c>
      <c r="L33" s="17"/>
      <c r="M33" s="28" t="s">
        <v>232</v>
      </c>
      <c r="N33" s="16">
        <f>O33-P33</f>
        <v>3499</v>
      </c>
      <c r="O33" s="16">
        <v>3499</v>
      </c>
      <c r="P33" s="16">
        <v>0</v>
      </c>
      <c r="Q33" s="17"/>
    </row>
    <row r="34" spans="1:17" ht="19.95" customHeight="1" x14ac:dyDescent="0.4">
      <c r="A34" s="27" t="s">
        <v>11</v>
      </c>
      <c r="B34" s="27" t="s">
        <v>233</v>
      </c>
      <c r="C34" s="28" t="s">
        <v>234</v>
      </c>
      <c r="D34" s="16">
        <f>E34-F34</f>
        <v>2599</v>
      </c>
      <c r="E34" s="16">
        <v>2599</v>
      </c>
      <c r="F34" s="16">
        <v>0</v>
      </c>
      <c r="G34" s="17"/>
      <c r="H34" s="28" t="s">
        <v>235</v>
      </c>
      <c r="I34" s="16">
        <f>J34-K34</f>
        <v>2599.9499999999998</v>
      </c>
      <c r="J34" s="16">
        <v>2599.9499999999998</v>
      </c>
      <c r="K34" s="16">
        <v>0</v>
      </c>
      <c r="L34" s="17"/>
      <c r="M34" s="28" t="s">
        <v>236</v>
      </c>
      <c r="N34" s="16">
        <f>O34-P34</f>
        <v>2569</v>
      </c>
      <c r="O34" s="16">
        <v>2569</v>
      </c>
      <c r="P34" s="16">
        <v>0</v>
      </c>
      <c r="Q34" s="17"/>
    </row>
    <row r="35" spans="1:17" ht="19.95" customHeight="1" x14ac:dyDescent="0.4">
      <c r="A35" s="27" t="s">
        <v>11</v>
      </c>
      <c r="B35" s="27" t="s">
        <v>237</v>
      </c>
      <c r="C35" s="28" t="s">
        <v>238</v>
      </c>
      <c r="D35" s="18"/>
      <c r="E35" s="19">
        <v>1799</v>
      </c>
      <c r="F35" s="19">
        <v>0</v>
      </c>
      <c r="G35" s="17"/>
      <c r="H35" s="28" t="s">
        <v>239</v>
      </c>
      <c r="I35" s="18"/>
      <c r="J35" s="16">
        <v>1799.95</v>
      </c>
      <c r="K35" s="16">
        <v>0</v>
      </c>
      <c r="L35" s="17"/>
      <c r="M35" s="28"/>
      <c r="N35" s="18"/>
      <c r="O35" s="19"/>
      <c r="P35" s="19"/>
      <c r="Q35" s="17"/>
    </row>
    <row r="36" spans="1:17" s="15" customFormat="1" ht="19.95" customHeight="1" x14ac:dyDescent="0.4">
      <c r="A36" s="27" t="s">
        <v>11</v>
      </c>
      <c r="B36" s="27" t="s">
        <v>240</v>
      </c>
      <c r="C36" s="28" t="s">
        <v>241</v>
      </c>
      <c r="D36" s="18"/>
      <c r="E36" s="19">
        <v>1599</v>
      </c>
      <c r="F36" s="19">
        <v>0</v>
      </c>
      <c r="G36" s="17"/>
      <c r="H36" s="28" t="s">
        <v>242</v>
      </c>
      <c r="I36" s="18"/>
      <c r="J36" s="16">
        <v>1599.95</v>
      </c>
      <c r="K36" s="16">
        <v>0</v>
      </c>
      <c r="L36" s="17"/>
      <c r="M36" s="28"/>
      <c r="N36" s="18"/>
      <c r="O36" s="19"/>
      <c r="P36" s="19"/>
      <c r="Q36" s="17"/>
    </row>
    <row r="37" spans="1:17" ht="19.95" customHeight="1" x14ac:dyDescent="0.4">
      <c r="A37" s="27" t="s">
        <v>11</v>
      </c>
      <c r="B37" s="27" t="s">
        <v>243</v>
      </c>
      <c r="C37" s="28" t="s">
        <v>244</v>
      </c>
      <c r="D37" s="16">
        <f>E37-F37</f>
        <v>1499</v>
      </c>
      <c r="E37" s="16">
        <v>1499</v>
      </c>
      <c r="F37" s="16">
        <v>0</v>
      </c>
      <c r="G37" s="17"/>
      <c r="H37" s="28" t="s">
        <v>245</v>
      </c>
      <c r="I37" s="16">
        <f>J37-K37</f>
        <v>1499.95</v>
      </c>
      <c r="J37" s="16">
        <v>1499.95</v>
      </c>
      <c r="K37" s="16">
        <v>0</v>
      </c>
      <c r="L37" s="17"/>
      <c r="M37" s="28" t="s">
        <v>246</v>
      </c>
      <c r="N37" s="16">
        <f>O37-P37</f>
        <v>1499</v>
      </c>
      <c r="O37" s="16">
        <v>1499</v>
      </c>
      <c r="P37" s="16">
        <v>0</v>
      </c>
      <c r="Q37" s="17"/>
    </row>
    <row r="38" spans="1:17" ht="19.95" customHeight="1" x14ac:dyDescent="0.4">
      <c r="A38" s="27"/>
      <c r="B38" s="27"/>
      <c r="C38" s="28"/>
      <c r="D38" s="16"/>
      <c r="E38" s="16"/>
      <c r="F38" s="16"/>
      <c r="G38" s="17"/>
      <c r="H38" s="28"/>
      <c r="I38" s="16"/>
      <c r="J38" s="16"/>
      <c r="K38" s="16"/>
      <c r="L38" s="17"/>
      <c r="M38" s="28"/>
      <c r="N38" s="16"/>
      <c r="O38" s="16"/>
      <c r="P38" s="16"/>
      <c r="Q38" s="17"/>
    </row>
    <row r="39" spans="1:17" ht="19.95" customHeight="1" x14ac:dyDescent="0.4">
      <c r="A39" s="27" t="s">
        <v>11</v>
      </c>
      <c r="B39" s="27" t="s">
        <v>247</v>
      </c>
      <c r="C39" s="28"/>
      <c r="D39" s="16">
        <f>E39-F39</f>
        <v>0</v>
      </c>
      <c r="E39" s="16"/>
      <c r="F39" s="16"/>
      <c r="G39" s="17"/>
      <c r="H39" s="28" t="s">
        <v>248</v>
      </c>
      <c r="I39" s="16">
        <f>J39-K39</f>
        <v>4799.95</v>
      </c>
      <c r="J39" s="16">
        <v>4799.95</v>
      </c>
      <c r="K39" s="16">
        <v>0</v>
      </c>
      <c r="L39" s="17"/>
      <c r="M39" s="28"/>
      <c r="N39" s="16">
        <f>O39-P39</f>
        <v>0</v>
      </c>
      <c r="O39" s="16"/>
      <c r="P39" s="16"/>
      <c r="Q39" s="17"/>
    </row>
    <row r="40" spans="1:17" ht="19.95" customHeight="1" x14ac:dyDescent="0.4">
      <c r="A40" s="27" t="s">
        <v>11</v>
      </c>
      <c r="B40" s="27" t="s">
        <v>249</v>
      </c>
      <c r="C40" s="28"/>
      <c r="D40" s="16">
        <f>E40-F40</f>
        <v>0</v>
      </c>
      <c r="E40" s="16"/>
      <c r="F40" s="16"/>
      <c r="G40" s="17"/>
      <c r="H40" s="28" t="s">
        <v>250</v>
      </c>
      <c r="I40" s="16">
        <f>J40-K40</f>
        <v>3299.95</v>
      </c>
      <c r="J40" s="16">
        <v>3299.95</v>
      </c>
      <c r="K40" s="16">
        <v>0</v>
      </c>
      <c r="L40" s="17"/>
      <c r="M40" s="28"/>
      <c r="N40" s="16">
        <f>O40-P40</f>
        <v>0</v>
      </c>
      <c r="O40" s="16"/>
      <c r="P40" s="16"/>
      <c r="Q40" s="17"/>
    </row>
    <row r="41" spans="1:17" ht="19.95" customHeight="1" x14ac:dyDescent="0.4">
      <c r="A41" s="27" t="s">
        <v>11</v>
      </c>
      <c r="B41" s="27" t="s">
        <v>251</v>
      </c>
      <c r="C41" s="28"/>
      <c r="D41" s="16">
        <f>E41-F41</f>
        <v>0</v>
      </c>
      <c r="E41" s="16"/>
      <c r="F41" s="16"/>
      <c r="G41" s="17"/>
      <c r="H41" s="28" t="s">
        <v>252</v>
      </c>
      <c r="I41" s="16">
        <f>J41-K41</f>
        <v>2499.9499999999998</v>
      </c>
      <c r="J41" s="16">
        <v>2499.9499999999998</v>
      </c>
      <c r="K41" s="16">
        <v>0</v>
      </c>
      <c r="L41" s="17"/>
      <c r="M41" s="28"/>
      <c r="N41" s="16">
        <f>O41-P41</f>
        <v>0</v>
      </c>
      <c r="O41" s="16"/>
      <c r="P41" s="16"/>
      <c r="Q41" s="17"/>
    </row>
    <row r="42" spans="1:17" ht="19.95" customHeight="1" x14ac:dyDescent="0.4">
      <c r="A42" s="27" t="s">
        <v>11</v>
      </c>
      <c r="B42" s="27" t="s">
        <v>253</v>
      </c>
      <c r="C42" s="28"/>
      <c r="D42" s="18"/>
      <c r="E42" s="19"/>
      <c r="F42" s="19"/>
      <c r="G42" s="17"/>
      <c r="H42" s="28" t="s">
        <v>254</v>
      </c>
      <c r="I42" s="18"/>
      <c r="J42" s="16">
        <v>1699.95</v>
      </c>
      <c r="K42" s="16">
        <v>0</v>
      </c>
      <c r="L42" s="17"/>
      <c r="M42" s="28"/>
      <c r="N42" s="18"/>
      <c r="O42" s="19"/>
      <c r="P42" s="19"/>
      <c r="Q42" s="17"/>
    </row>
    <row r="43" spans="1:17" ht="19.95" customHeight="1" x14ac:dyDescent="0.4">
      <c r="A43" s="27" t="s">
        <v>11</v>
      </c>
      <c r="B43" s="27" t="s">
        <v>255</v>
      </c>
      <c r="C43" s="28"/>
      <c r="D43" s="16">
        <f>E43-F43</f>
        <v>0</v>
      </c>
      <c r="E43" s="16"/>
      <c r="F43" s="16"/>
      <c r="G43" s="17"/>
      <c r="H43" s="28" t="s">
        <v>256</v>
      </c>
      <c r="I43" s="16">
        <f>J43-K43</f>
        <v>1399.95</v>
      </c>
      <c r="J43" s="16">
        <v>1399.95</v>
      </c>
      <c r="K43" s="16">
        <v>0</v>
      </c>
      <c r="L43" s="17"/>
      <c r="M43" s="28"/>
      <c r="N43" s="16">
        <f>O43-P43</f>
        <v>0</v>
      </c>
      <c r="O43" s="16"/>
      <c r="P43" s="16"/>
      <c r="Q43" s="17"/>
    </row>
    <row r="44" spans="1:17" ht="19.95" customHeight="1" x14ac:dyDescent="0.4">
      <c r="A44" s="27"/>
      <c r="B44" s="27"/>
      <c r="C44" s="28"/>
      <c r="D44" s="16"/>
      <c r="E44" s="16"/>
      <c r="F44" s="16"/>
      <c r="G44" s="17"/>
      <c r="H44" s="28"/>
      <c r="I44" s="16"/>
      <c r="J44" s="16"/>
      <c r="K44" s="16"/>
      <c r="L44" s="17"/>
      <c r="M44" s="28"/>
      <c r="N44" s="16"/>
      <c r="O44" s="16"/>
      <c r="P44" s="16"/>
      <c r="Q44" s="17"/>
    </row>
    <row r="45" spans="1:17" s="15" customFormat="1" ht="19.95" customHeight="1" x14ac:dyDescent="0.4">
      <c r="A45" s="50" t="s">
        <v>86</v>
      </c>
      <c r="B45" s="50" t="s">
        <v>257</v>
      </c>
      <c r="C45" s="51"/>
      <c r="D45" s="48"/>
      <c r="E45" s="48"/>
      <c r="F45" s="48"/>
      <c r="G45" s="49" t="str">
        <f>IFERROR(E45/E4,"")</f>
        <v/>
      </c>
      <c r="H45" s="51"/>
      <c r="I45" s="48"/>
      <c r="J45" s="48"/>
      <c r="K45" s="48"/>
      <c r="L45" s="49" t="str">
        <f>IFERROR(J45/J4,"")</f>
        <v/>
      </c>
      <c r="M45" s="51"/>
      <c r="N45" s="48"/>
      <c r="O45" s="48"/>
      <c r="P45" s="48"/>
      <c r="Q45" s="49">
        <f>IFERROR(O45/O4,"")</f>
        <v>0</v>
      </c>
    </row>
    <row r="46" spans="1:17" ht="19.95" customHeight="1" x14ac:dyDescent="0.4">
      <c r="A46" s="50" t="s">
        <v>86</v>
      </c>
      <c r="B46" s="50" t="s">
        <v>258</v>
      </c>
      <c r="C46" s="51"/>
      <c r="D46" s="48">
        <f>E46-F46</f>
        <v>0</v>
      </c>
      <c r="E46" s="48"/>
      <c r="F46" s="48"/>
      <c r="G46" s="49" t="str">
        <f>IFERROR(E46/E5,"")</f>
        <v/>
      </c>
      <c r="H46" s="51"/>
      <c r="I46" s="48">
        <f>J46-K46</f>
        <v>0</v>
      </c>
      <c r="J46" s="48"/>
      <c r="K46" s="48"/>
      <c r="L46" s="49" t="str">
        <f>IFERROR(J46/J5,"")</f>
        <v/>
      </c>
      <c r="M46" s="51"/>
      <c r="N46" s="48">
        <f>O46-P46</f>
        <v>0</v>
      </c>
      <c r="O46" s="48"/>
      <c r="P46" s="48"/>
      <c r="Q46" s="49" t="str">
        <f>IFERROR(O46/O5,"")</f>
        <v/>
      </c>
    </row>
    <row r="47" spans="1:17" ht="19.95" customHeight="1" x14ac:dyDescent="0.4">
      <c r="A47" s="50" t="s">
        <v>86</v>
      </c>
      <c r="B47" s="50" t="s">
        <v>259</v>
      </c>
      <c r="C47" s="51"/>
      <c r="D47" s="48">
        <f>E47-F47</f>
        <v>0</v>
      </c>
      <c r="E47" s="48"/>
      <c r="F47" s="48"/>
      <c r="G47" s="49" t="str">
        <f>IFERROR(E47/E6,"")</f>
        <v/>
      </c>
      <c r="H47" s="51"/>
      <c r="I47" s="48">
        <f>J47-K47</f>
        <v>0</v>
      </c>
      <c r="J47" s="48"/>
      <c r="K47" s="48"/>
      <c r="L47" s="49" t="str">
        <f>IFERROR(J47/J6,"")</f>
        <v/>
      </c>
      <c r="M47" s="51"/>
      <c r="N47" s="48">
        <f>O47-P47</f>
        <v>0</v>
      </c>
      <c r="O47" s="48"/>
      <c r="P47" s="48"/>
      <c r="Q47" s="49">
        <f>IFERROR(O47/O6,"")</f>
        <v>0</v>
      </c>
    </row>
    <row r="48" spans="1:17" ht="19.95" customHeight="1" x14ac:dyDescent="0.4">
      <c r="A48" s="50" t="s">
        <v>86</v>
      </c>
      <c r="B48" s="50" t="s">
        <v>260</v>
      </c>
      <c r="C48" s="51"/>
      <c r="D48" s="48">
        <f>E48-F48</f>
        <v>0</v>
      </c>
      <c r="E48" s="48"/>
      <c r="F48" s="48"/>
      <c r="G48" s="49" t="str">
        <f>IFERROR(E48/E7,"")</f>
        <v/>
      </c>
      <c r="H48" s="51"/>
      <c r="I48" s="48">
        <f>J48-K48</f>
        <v>0</v>
      </c>
      <c r="J48" s="48"/>
      <c r="K48" s="48"/>
      <c r="L48" s="49" t="str">
        <f>IFERROR(J48/J7,"")</f>
        <v/>
      </c>
      <c r="M48" s="51"/>
      <c r="N48" s="48">
        <f>O48-P48</f>
        <v>0</v>
      </c>
      <c r="O48" s="48"/>
      <c r="P48" s="48"/>
      <c r="Q48" s="49" t="str">
        <f>IFERROR(O48/O7,"")</f>
        <v/>
      </c>
    </row>
    <row r="49" spans="1:17" ht="19.95" customHeight="1" x14ac:dyDescent="0.4">
      <c r="A49" s="29"/>
      <c r="B49" s="29"/>
      <c r="C49" s="8"/>
      <c r="D49" s="9"/>
      <c r="E49" s="9"/>
      <c r="F49" s="9"/>
      <c r="G49" s="10"/>
      <c r="H49" s="8"/>
      <c r="I49" s="9"/>
      <c r="J49" s="9"/>
      <c r="K49" s="9"/>
      <c r="L49" s="10"/>
      <c r="M49" s="8"/>
      <c r="N49" s="9"/>
      <c r="O49" s="9"/>
      <c r="P49" s="9"/>
      <c r="Q49" s="10"/>
    </row>
    <row r="50" spans="1:17" ht="19.95" customHeight="1" x14ac:dyDescent="0.4">
      <c r="A50" s="50" t="s">
        <v>86</v>
      </c>
      <c r="B50" s="50" t="s">
        <v>261</v>
      </c>
      <c r="C50" s="51"/>
      <c r="D50" s="48">
        <f>E50-F50</f>
        <v>0</v>
      </c>
      <c r="E50" s="48"/>
      <c r="F50" s="48"/>
      <c r="G50" s="49" t="str">
        <f>IFERROR(E50/E4,"")</f>
        <v/>
      </c>
      <c r="H50" s="51" t="s">
        <v>262</v>
      </c>
      <c r="I50" s="48">
        <f>J50-K50</f>
        <v>2299.9499999999998</v>
      </c>
      <c r="J50" s="48">
        <v>2299.9499999999998</v>
      </c>
      <c r="K50" s="48">
        <v>0</v>
      </c>
      <c r="L50" s="49" t="str">
        <f>IFERROR(J50/J4,"")</f>
        <v/>
      </c>
      <c r="M50" s="51"/>
      <c r="N50" s="48">
        <f>O50-P50</f>
        <v>0</v>
      </c>
      <c r="O50" s="48"/>
      <c r="P50" s="48"/>
      <c r="Q50" s="49">
        <f>IFERROR(O50/O4,"")</f>
        <v>0</v>
      </c>
    </row>
    <row r="51" spans="1:17" ht="19.95" customHeight="1" x14ac:dyDescent="0.4">
      <c r="A51" s="50" t="s">
        <v>86</v>
      </c>
      <c r="B51" s="50" t="s">
        <v>263</v>
      </c>
      <c r="C51" s="51" t="s">
        <v>264</v>
      </c>
      <c r="D51" s="48">
        <f>E51-F51</f>
        <v>1899</v>
      </c>
      <c r="E51" s="48">
        <v>1899</v>
      </c>
      <c r="F51" s="48">
        <v>0</v>
      </c>
      <c r="G51" s="49" t="str">
        <f>IFERROR(E51/E5,"")</f>
        <v/>
      </c>
      <c r="H51" s="51" t="s">
        <v>265</v>
      </c>
      <c r="I51" s="48">
        <f>J51-K51</f>
        <v>1899.95</v>
      </c>
      <c r="J51" s="48">
        <v>1899.95</v>
      </c>
      <c r="K51" s="48">
        <v>0</v>
      </c>
      <c r="L51" s="49" t="str">
        <f>IFERROR(J51/J5,"")</f>
        <v/>
      </c>
      <c r="M51" s="51"/>
      <c r="N51" s="48">
        <f>O51-P51</f>
        <v>0</v>
      </c>
      <c r="O51" s="48"/>
      <c r="P51" s="48"/>
      <c r="Q51" s="49" t="str">
        <f>IFERROR(O51/O5,"")</f>
        <v/>
      </c>
    </row>
    <row r="52" spans="1:17" s="15" customFormat="1" ht="19.95" customHeight="1" x14ac:dyDescent="0.4">
      <c r="A52" s="50" t="s">
        <v>86</v>
      </c>
      <c r="B52" s="50" t="s">
        <v>266</v>
      </c>
      <c r="C52" s="51"/>
      <c r="D52" s="48"/>
      <c r="E52" s="48"/>
      <c r="F52" s="48"/>
      <c r="G52" s="49" t="str">
        <f>IFERROR(E52/E6,"")</f>
        <v/>
      </c>
      <c r="H52" s="51"/>
      <c r="I52" s="48"/>
      <c r="J52" s="48"/>
      <c r="K52" s="48"/>
      <c r="L52" s="49" t="str">
        <f>IFERROR(J52/J6,"")</f>
        <v/>
      </c>
      <c r="M52" s="51"/>
      <c r="N52" s="48"/>
      <c r="O52" s="48"/>
      <c r="P52" s="48"/>
      <c r="Q52" s="49">
        <f>IFERROR(O52/O6,"")</f>
        <v>0</v>
      </c>
    </row>
    <row r="53" spans="1:17" ht="19.95" customHeight="1" x14ac:dyDescent="0.4">
      <c r="A53" s="42" t="s">
        <v>86</v>
      </c>
      <c r="B53" s="42" t="s">
        <v>267</v>
      </c>
      <c r="C53" s="43" t="s">
        <v>268</v>
      </c>
      <c r="D53" s="46"/>
      <c r="E53" s="47">
        <v>1099</v>
      </c>
      <c r="F53" s="47">
        <v>0</v>
      </c>
      <c r="G53" s="45" t="str">
        <f>IFERROR(E53/E7,"")</f>
        <v/>
      </c>
      <c r="H53" s="43" t="s">
        <v>269</v>
      </c>
      <c r="I53" s="46"/>
      <c r="J53" s="47">
        <v>1099.95</v>
      </c>
      <c r="K53" s="47">
        <v>0</v>
      </c>
      <c r="L53" s="45" t="str">
        <f>IFERROR(J53/J7,"")</f>
        <v/>
      </c>
      <c r="M53" s="43"/>
      <c r="N53" s="46"/>
      <c r="O53" s="47"/>
      <c r="P53" s="47"/>
      <c r="Q53" s="45" t="str">
        <f>IFERROR(O53/O7,"")</f>
        <v/>
      </c>
    </row>
    <row r="54" spans="1:17" ht="19.95" customHeight="1" x14ac:dyDescent="0.4">
      <c r="A54" s="42" t="s">
        <v>86</v>
      </c>
      <c r="B54" s="42" t="s">
        <v>270</v>
      </c>
      <c r="C54" s="43" t="s">
        <v>271</v>
      </c>
      <c r="D54" s="44">
        <f>E54-F54</f>
        <v>999</v>
      </c>
      <c r="E54" s="44">
        <v>999</v>
      </c>
      <c r="F54" s="44">
        <v>0</v>
      </c>
      <c r="G54" s="45" t="str">
        <f>IFERROR(E54/E7,"")</f>
        <v/>
      </c>
      <c r="H54" s="43" t="s">
        <v>272</v>
      </c>
      <c r="I54" s="44">
        <f>J54-K54</f>
        <v>999.95</v>
      </c>
      <c r="J54" s="44">
        <v>999.95</v>
      </c>
      <c r="K54" s="44">
        <v>0</v>
      </c>
      <c r="L54" s="45" t="str">
        <f>IFERROR(J54/J7,"")</f>
        <v/>
      </c>
      <c r="M54" s="43"/>
      <c r="N54" s="44">
        <f>O54-P54</f>
        <v>0</v>
      </c>
      <c r="O54" s="44"/>
      <c r="P54" s="44"/>
      <c r="Q54" s="45" t="str">
        <f>IFERROR(O54/O7,"")</f>
        <v/>
      </c>
    </row>
    <row r="55" spans="1:17" ht="19.95" customHeight="1" x14ac:dyDescent="0.4">
      <c r="A55" s="42" t="s">
        <v>86</v>
      </c>
      <c r="B55" s="42" t="s">
        <v>273</v>
      </c>
      <c r="C55" s="43" t="s">
        <v>274</v>
      </c>
      <c r="D55" s="44">
        <f>E55-F55</f>
        <v>499</v>
      </c>
      <c r="E55" s="44">
        <v>499</v>
      </c>
      <c r="F55" s="44">
        <v>0</v>
      </c>
      <c r="G55" s="45" t="str">
        <f>IFERROR(E55/E7,"")</f>
        <v/>
      </c>
      <c r="H55" s="43" t="s">
        <v>275</v>
      </c>
      <c r="I55" s="44">
        <f>J55-K55</f>
        <v>699.95</v>
      </c>
      <c r="J55" s="44">
        <v>699.95</v>
      </c>
      <c r="K55" s="44">
        <v>0</v>
      </c>
      <c r="L55" s="45" t="str">
        <f>IFERROR(J55/J7,"")</f>
        <v/>
      </c>
      <c r="M55" s="43"/>
      <c r="N55" s="44">
        <f>O55-P55</f>
        <v>0</v>
      </c>
      <c r="O55" s="44"/>
      <c r="P55" s="44"/>
      <c r="Q55" s="45" t="str">
        <f>IFERROR(O55/O7,"")</f>
        <v/>
      </c>
    </row>
    <row r="56" spans="1:17" ht="19.95" customHeight="1" x14ac:dyDescent="0.4">
      <c r="A56" s="20"/>
      <c r="B56" s="20"/>
      <c r="C56" s="2"/>
      <c r="D56" s="3"/>
      <c r="E56" s="3"/>
      <c r="F56" s="3"/>
      <c r="G56" s="4"/>
      <c r="H56" s="2"/>
      <c r="I56" s="3"/>
      <c r="J56" s="3"/>
      <c r="K56" s="3"/>
      <c r="L56" s="4"/>
      <c r="M56" s="2"/>
      <c r="N56" s="3"/>
      <c r="O56" s="3"/>
      <c r="P56" s="3"/>
      <c r="Q56" s="4"/>
    </row>
    <row r="57" spans="1:17" ht="19.95" customHeight="1" x14ac:dyDescent="0.4">
      <c r="A57" s="42" t="s">
        <v>86</v>
      </c>
      <c r="B57" s="42" t="s">
        <v>276</v>
      </c>
      <c r="C57" s="43"/>
      <c r="D57" s="44">
        <f>E57-F57</f>
        <v>0</v>
      </c>
      <c r="E57" s="44"/>
      <c r="F57" s="44"/>
      <c r="G57" s="45" t="str">
        <f>IFERROR(E57/E4,"")</f>
        <v/>
      </c>
      <c r="H57" s="43"/>
      <c r="I57" s="44">
        <f>J57-K57</f>
        <v>0</v>
      </c>
      <c r="J57" s="44"/>
      <c r="K57" s="44"/>
      <c r="L57" s="45" t="str">
        <f>IFERROR(J57/J4,"")</f>
        <v/>
      </c>
      <c r="M57" s="43"/>
      <c r="N57" s="44">
        <f>O57-P57</f>
        <v>0</v>
      </c>
      <c r="O57" s="44"/>
      <c r="P57" s="44"/>
      <c r="Q57" s="45">
        <f>IFERROR(O57/O4,"")</f>
        <v>0</v>
      </c>
    </row>
    <row r="58" spans="1:17" s="15" customFormat="1" ht="19.95" customHeight="1" x14ac:dyDescent="0.4">
      <c r="A58" s="42" t="s">
        <v>86</v>
      </c>
      <c r="B58" s="42" t="s">
        <v>277</v>
      </c>
      <c r="C58" s="43"/>
      <c r="D58" s="44"/>
      <c r="E58" s="44"/>
      <c r="F58" s="44"/>
      <c r="G58" s="45" t="str">
        <f>IFERROR(E58/E5,"")</f>
        <v/>
      </c>
      <c r="H58" s="43"/>
      <c r="I58" s="44"/>
      <c r="J58" s="44"/>
      <c r="K58" s="44"/>
      <c r="L58" s="45" t="str">
        <f>IFERROR(J58/J5,"")</f>
        <v/>
      </c>
      <c r="M58" s="43"/>
      <c r="N58" s="44"/>
      <c r="O58" s="44"/>
      <c r="P58" s="44"/>
      <c r="Q58" s="45" t="str">
        <f>IFERROR(O58/O5,"")</f>
        <v/>
      </c>
    </row>
    <row r="59" spans="1:17" ht="19.95" customHeight="1" x14ac:dyDescent="0.4">
      <c r="A59" s="42" t="s">
        <v>86</v>
      </c>
      <c r="B59" s="42" t="s">
        <v>278</v>
      </c>
      <c r="C59" s="43"/>
      <c r="D59" s="44">
        <f>E59-F59</f>
        <v>0</v>
      </c>
      <c r="E59" s="44"/>
      <c r="F59" s="44"/>
      <c r="G59" s="45" t="str">
        <f>IFERROR(E59/E6,"")</f>
        <v/>
      </c>
      <c r="H59" s="43"/>
      <c r="I59" s="44">
        <f>J59-K59</f>
        <v>0</v>
      </c>
      <c r="J59" s="44"/>
      <c r="K59" s="44"/>
      <c r="L59" s="45" t="str">
        <f>IFERROR(J59/J6,"")</f>
        <v/>
      </c>
      <c r="M59" s="43"/>
      <c r="N59" s="44">
        <f>O59-P59</f>
        <v>0</v>
      </c>
      <c r="O59" s="44"/>
      <c r="P59" s="44"/>
      <c r="Q59" s="45">
        <f>IFERROR(O59/O6,"")</f>
        <v>0</v>
      </c>
    </row>
    <row r="60" spans="1:17" ht="19.95" customHeight="1" x14ac:dyDescent="0.4">
      <c r="A60" s="42" t="s">
        <v>86</v>
      </c>
      <c r="B60" s="42" t="s">
        <v>279</v>
      </c>
      <c r="C60" s="43"/>
      <c r="D60" s="46"/>
      <c r="E60" s="47"/>
      <c r="F60" s="47"/>
      <c r="G60" s="45" t="str">
        <f>IFERROR(E60/E7,"")</f>
        <v/>
      </c>
      <c r="H60" s="43"/>
      <c r="I60" s="46"/>
      <c r="J60" s="44"/>
      <c r="K60" s="44"/>
      <c r="L60" s="45" t="str">
        <f>IFERROR(J60/J7,"")</f>
        <v/>
      </c>
      <c r="M60" s="43"/>
      <c r="N60" s="46"/>
      <c r="O60" s="47"/>
      <c r="P60" s="47"/>
      <c r="Q60" s="45" t="str">
        <f>IFERROR(O60/O7,"")</f>
        <v/>
      </c>
    </row>
    <row r="61" spans="1:17" ht="19.95" customHeight="1" x14ac:dyDescent="0.4">
      <c r="A61" s="42" t="s">
        <v>86</v>
      </c>
      <c r="B61" s="42" t="s">
        <v>280</v>
      </c>
      <c r="C61" s="43"/>
      <c r="D61" s="44">
        <f>E61-F61</f>
        <v>0</v>
      </c>
      <c r="E61" s="44"/>
      <c r="F61" s="44"/>
      <c r="G61" s="45" t="str">
        <f>IFERROR(E61/E7,"")</f>
        <v/>
      </c>
      <c r="H61" s="43"/>
      <c r="I61" s="44">
        <f>J61-K61</f>
        <v>0</v>
      </c>
      <c r="J61" s="44"/>
      <c r="K61" s="44"/>
      <c r="L61" s="45" t="str">
        <f>IFERROR(J61/J7,"")</f>
        <v/>
      </c>
      <c r="M61" s="43"/>
      <c r="N61" s="44">
        <f>O61-P61</f>
        <v>0</v>
      </c>
      <c r="O61" s="44"/>
      <c r="P61" s="44"/>
      <c r="Q61" s="45" t="str">
        <f>IFERROR(O61/O7,"")</f>
        <v/>
      </c>
    </row>
    <row r="62" spans="1:17" ht="19.95" customHeight="1" x14ac:dyDescent="0.4">
      <c r="A62" s="42" t="s">
        <v>86</v>
      </c>
      <c r="B62" s="42" t="s">
        <v>281</v>
      </c>
      <c r="C62" s="43"/>
      <c r="D62" s="44">
        <f>E62-F62</f>
        <v>0</v>
      </c>
      <c r="E62" s="44"/>
      <c r="F62" s="44"/>
      <c r="G62" s="45" t="str">
        <f>IFERROR(E62/E7,"")</f>
        <v/>
      </c>
      <c r="H62" s="43"/>
      <c r="I62" s="44">
        <f>J62-K62</f>
        <v>0</v>
      </c>
      <c r="J62" s="44"/>
      <c r="K62" s="44"/>
      <c r="L62" s="45" t="str">
        <f>IFERROR(J62/J7,"")</f>
        <v/>
      </c>
      <c r="M62" s="43"/>
      <c r="N62" s="44">
        <f>O62-P62</f>
        <v>0</v>
      </c>
      <c r="O62" s="44"/>
      <c r="P62" s="44"/>
      <c r="Q62" s="45" t="str">
        <f>IFERROR(O62/O7,"")</f>
        <v/>
      </c>
    </row>
    <row r="63" spans="1:17" ht="19.95" customHeight="1" x14ac:dyDescent="0.4">
      <c r="A63" s="20"/>
      <c r="B63" s="20"/>
      <c r="C63" s="2"/>
      <c r="D63" s="3"/>
      <c r="E63" s="3"/>
      <c r="F63" s="3"/>
      <c r="G63" s="4"/>
      <c r="H63" s="2"/>
      <c r="I63" s="3"/>
      <c r="J63" s="3"/>
      <c r="K63" s="3"/>
      <c r="L63" s="4"/>
      <c r="M63" s="2"/>
      <c r="N63" s="3"/>
      <c r="O63" s="3"/>
      <c r="P63" s="3"/>
      <c r="Q63" s="4"/>
    </row>
    <row r="64" spans="1:17" ht="19.95" customHeight="1" x14ac:dyDescent="0.4">
      <c r="A64" s="42" t="s">
        <v>86</v>
      </c>
      <c r="B64" s="42" t="s">
        <v>282</v>
      </c>
      <c r="C64" s="43"/>
      <c r="D64" s="44">
        <f>E64-F64</f>
        <v>0</v>
      </c>
      <c r="E64" s="44"/>
      <c r="F64" s="44"/>
      <c r="G64" s="45" t="str">
        <f>IFERROR(E64/E4,"")</f>
        <v/>
      </c>
      <c r="H64" s="43"/>
      <c r="I64" s="44">
        <f>J64-K64</f>
        <v>0</v>
      </c>
      <c r="J64" s="44"/>
      <c r="K64" s="44"/>
      <c r="L64" s="45" t="str">
        <f>IFERROR(J64/J4,"")</f>
        <v/>
      </c>
      <c r="M64" s="43"/>
      <c r="N64" s="44">
        <f>O64-P64</f>
        <v>0</v>
      </c>
      <c r="O64" s="44"/>
      <c r="P64" s="44"/>
      <c r="Q64" s="45">
        <f>IFERROR(O64/O4,"")</f>
        <v>0</v>
      </c>
    </row>
    <row r="65" spans="1:17" ht="19.95" customHeight="1" x14ac:dyDescent="0.4">
      <c r="A65" s="42" t="s">
        <v>86</v>
      </c>
      <c r="B65" s="42" t="s">
        <v>283</v>
      </c>
      <c r="C65" s="43"/>
      <c r="D65" s="44">
        <f>E65-F65</f>
        <v>0</v>
      </c>
      <c r="E65" s="44"/>
      <c r="F65" s="44"/>
      <c r="G65" s="45" t="str">
        <f>IFERROR(E65/E5,"")</f>
        <v/>
      </c>
      <c r="H65" s="43" t="s">
        <v>284</v>
      </c>
      <c r="I65" s="44">
        <f>J65-K65</f>
        <v>699.95</v>
      </c>
      <c r="J65" s="44">
        <v>699.95</v>
      </c>
      <c r="K65" s="44">
        <v>0</v>
      </c>
      <c r="L65" s="45" t="str">
        <f>IFERROR(J65/J5,"")</f>
        <v/>
      </c>
      <c r="M65" s="43"/>
      <c r="N65" s="44">
        <f>O65-P65</f>
        <v>0</v>
      </c>
      <c r="O65" s="44"/>
      <c r="P65" s="44"/>
      <c r="Q65" s="45" t="str">
        <f>IFERROR(O65/O5,"")</f>
        <v/>
      </c>
    </row>
    <row r="66" spans="1:17" s="15" customFormat="1" ht="19.95" customHeight="1" x14ac:dyDescent="0.4">
      <c r="A66" s="42" t="s">
        <v>86</v>
      </c>
      <c r="B66" s="42" t="s">
        <v>285</v>
      </c>
      <c r="C66" s="43"/>
      <c r="D66" s="44"/>
      <c r="E66" s="44"/>
      <c r="F66" s="44"/>
      <c r="G66" s="45" t="str">
        <f>IFERROR(E66/E6,"")</f>
        <v/>
      </c>
      <c r="H66" s="43" t="s">
        <v>286</v>
      </c>
      <c r="I66" s="44"/>
      <c r="J66" s="44">
        <v>499.95</v>
      </c>
      <c r="K66" s="44">
        <v>0</v>
      </c>
      <c r="L66" s="45" t="str">
        <f>IFERROR(J66/J6,"")</f>
        <v/>
      </c>
      <c r="M66" s="43" t="s">
        <v>287</v>
      </c>
      <c r="N66" s="44"/>
      <c r="O66" s="44">
        <v>581</v>
      </c>
      <c r="P66" s="44">
        <v>0</v>
      </c>
      <c r="Q66" s="45">
        <f>IFERROR(O66/O6,"")</f>
        <v>0.1660474421263218</v>
      </c>
    </row>
    <row r="67" spans="1:17" ht="19.95" customHeight="1" x14ac:dyDescent="0.4">
      <c r="A67" s="42" t="s">
        <v>86</v>
      </c>
      <c r="B67" s="42" t="s">
        <v>288</v>
      </c>
      <c r="C67" s="43"/>
      <c r="D67" s="44">
        <f>E67-F67</f>
        <v>0</v>
      </c>
      <c r="E67" s="44"/>
      <c r="F67" s="44"/>
      <c r="G67" s="45" t="str">
        <f>IFERROR(E67/E7,"")</f>
        <v/>
      </c>
      <c r="H67" s="43" t="s">
        <v>289</v>
      </c>
      <c r="I67" s="44">
        <f>J67-K67</f>
        <v>399.95</v>
      </c>
      <c r="J67" s="44">
        <v>399.95</v>
      </c>
      <c r="K67" s="44">
        <v>0</v>
      </c>
      <c r="L67" s="45" t="str">
        <f>IFERROR(J67/J7,"")</f>
        <v/>
      </c>
      <c r="M67" s="43"/>
      <c r="N67" s="44">
        <f>O67-P67</f>
        <v>0</v>
      </c>
      <c r="O67" s="44"/>
      <c r="P67" s="44"/>
      <c r="Q67" s="45" t="str">
        <f>IFERROR(O67/O7,"")</f>
        <v/>
      </c>
    </row>
    <row r="68" spans="1:17" ht="19.95" customHeight="1" x14ac:dyDescent="0.4">
      <c r="A68" s="42" t="s">
        <v>86</v>
      </c>
      <c r="B68" s="42" t="s">
        <v>290</v>
      </c>
      <c r="C68" s="43"/>
      <c r="D68" s="44">
        <f>E68-F68</f>
        <v>0</v>
      </c>
      <c r="E68" s="44"/>
      <c r="F68" s="44"/>
      <c r="G68" s="45" t="str">
        <f>IFERROR(E68/E7,"")</f>
        <v/>
      </c>
      <c r="H68" s="43" t="s">
        <v>291</v>
      </c>
      <c r="I68" s="44">
        <f>J68-K68</f>
        <v>369.95</v>
      </c>
      <c r="J68" s="44">
        <v>369.95</v>
      </c>
      <c r="K68" s="44">
        <v>0</v>
      </c>
      <c r="L68" s="45" t="str">
        <f>IFERROR(J68/J7,"")</f>
        <v/>
      </c>
      <c r="M68" s="43"/>
      <c r="N68" s="44">
        <f>O68-P68</f>
        <v>0</v>
      </c>
      <c r="O68" s="44"/>
      <c r="P68" s="44"/>
      <c r="Q68" s="45" t="str">
        <f>IFERROR(O68/O7,"")</f>
        <v/>
      </c>
    </row>
    <row r="69" spans="1:17" ht="19.95" customHeight="1" x14ac:dyDescent="0.4">
      <c r="A69" s="42" t="s">
        <v>86</v>
      </c>
      <c r="B69" s="42" t="s">
        <v>292</v>
      </c>
      <c r="C69" s="43"/>
      <c r="D69" s="46"/>
      <c r="E69" s="47"/>
      <c r="F69" s="47"/>
      <c r="G69" s="45" t="str">
        <f>IFERROR(E69/E7,"")</f>
        <v/>
      </c>
      <c r="H69" s="43" t="s">
        <v>293</v>
      </c>
      <c r="I69" s="46"/>
      <c r="J69" s="47">
        <v>329.95</v>
      </c>
      <c r="K69" s="47">
        <v>0</v>
      </c>
      <c r="L69" s="45" t="str">
        <f>IFERROR(J69/J7,"")</f>
        <v/>
      </c>
      <c r="M69" s="43"/>
      <c r="N69" s="46"/>
      <c r="O69" s="47"/>
      <c r="P69" s="47"/>
      <c r="Q69" s="45" t="str">
        <f>IFERROR(O69/O7,"")</f>
        <v/>
      </c>
    </row>
    <row r="70" spans="1:17" ht="19.95" customHeight="1" x14ac:dyDescent="0.4">
      <c r="A70" s="20"/>
      <c r="B70" s="20"/>
      <c r="C70" s="2"/>
      <c r="D70" s="6"/>
      <c r="E70" s="7"/>
      <c r="F70" s="7"/>
      <c r="G70" s="4"/>
      <c r="H70" s="2"/>
      <c r="I70" s="6"/>
      <c r="J70" s="7"/>
      <c r="K70" s="7"/>
      <c r="L70" s="4"/>
      <c r="M70" s="2"/>
      <c r="N70" s="6"/>
      <c r="O70" s="7"/>
      <c r="P70" s="7"/>
      <c r="Q70" s="4"/>
    </row>
    <row r="71" spans="1:17" ht="19.95" customHeight="1" x14ac:dyDescent="0.4">
      <c r="A71" s="25" t="s">
        <v>110</v>
      </c>
      <c r="B71" s="25" t="s">
        <v>294</v>
      </c>
      <c r="C71" s="26"/>
      <c r="D71" s="13"/>
      <c r="E71" s="13"/>
      <c r="F71" s="13"/>
      <c r="G71" s="14"/>
      <c r="H71" s="26" t="s">
        <v>296</v>
      </c>
      <c r="I71" s="13">
        <f>J71-K71</f>
        <v>5252</v>
      </c>
      <c r="J71" s="13">
        <v>5252</v>
      </c>
      <c r="K71" s="13">
        <v>0</v>
      </c>
      <c r="L71" s="14"/>
      <c r="M71" s="26"/>
      <c r="N71" s="13">
        <f>O71-P71</f>
        <v>0</v>
      </c>
      <c r="O71" s="13"/>
      <c r="P71" s="13"/>
      <c r="Q71" s="14"/>
    </row>
    <row r="72" spans="1:17" ht="19.95" customHeight="1" x14ac:dyDescent="0.4">
      <c r="A72" s="25" t="s">
        <v>110</v>
      </c>
      <c r="B72" s="25" t="s">
        <v>297</v>
      </c>
      <c r="C72" s="26"/>
      <c r="D72" s="13"/>
      <c r="E72" s="13"/>
      <c r="F72" s="13"/>
      <c r="G72" s="14"/>
      <c r="H72" s="26"/>
      <c r="I72" s="13"/>
      <c r="J72" s="13"/>
      <c r="K72" s="13"/>
      <c r="L72" s="14"/>
      <c r="M72" s="26"/>
      <c r="N72" s="13"/>
      <c r="O72" s="13"/>
      <c r="P72" s="13"/>
      <c r="Q72" s="14"/>
    </row>
    <row r="73" spans="1:17" ht="19.95" customHeight="1" x14ac:dyDescent="0.4">
      <c r="A73" s="25" t="s">
        <v>110</v>
      </c>
      <c r="B73" s="25" t="s">
        <v>300</v>
      </c>
      <c r="C73" s="26"/>
      <c r="D73" s="13"/>
      <c r="E73" s="13"/>
      <c r="F73" s="13"/>
      <c r="G73" s="14"/>
      <c r="H73" s="26"/>
      <c r="I73" s="13"/>
      <c r="J73" s="13"/>
      <c r="K73" s="13"/>
      <c r="L73" s="14"/>
      <c r="M73" s="26"/>
      <c r="N73" s="13"/>
      <c r="O73" s="13"/>
      <c r="P73" s="13"/>
      <c r="Q73" s="14"/>
    </row>
    <row r="74" spans="1:17" s="15" customFormat="1" ht="19.95" customHeight="1" x14ac:dyDescent="0.4">
      <c r="A74" s="25" t="s">
        <v>110</v>
      </c>
      <c r="B74" s="25" t="s">
        <v>303</v>
      </c>
      <c r="C74" s="26"/>
      <c r="D74" s="13"/>
      <c r="E74" s="13"/>
      <c r="F74" s="13"/>
      <c r="G74" s="14"/>
      <c r="H74" s="26"/>
      <c r="I74" s="13"/>
      <c r="J74" s="13"/>
      <c r="K74" s="13"/>
      <c r="L74" s="14"/>
      <c r="M74" s="26"/>
      <c r="N74" s="13"/>
      <c r="O74" s="13"/>
      <c r="P74" s="13"/>
      <c r="Q74" s="14"/>
    </row>
    <row r="75" spans="1:17" s="15" customFormat="1" ht="19.95" customHeight="1" x14ac:dyDescent="0.4">
      <c r="A75" s="25"/>
      <c r="B75" s="25"/>
      <c r="C75" s="26"/>
      <c r="D75" s="13"/>
      <c r="E75" s="13"/>
      <c r="F75" s="13"/>
      <c r="G75" s="14"/>
      <c r="H75" s="26"/>
      <c r="I75" s="13"/>
      <c r="J75" s="13"/>
      <c r="K75" s="13"/>
      <c r="L75" s="14"/>
      <c r="M75" s="26"/>
      <c r="N75" s="13"/>
      <c r="O75" s="13"/>
      <c r="P75" s="13"/>
      <c r="Q75" s="14"/>
    </row>
    <row r="76" spans="1:17" s="15" customFormat="1" ht="19.95" customHeight="1" x14ac:dyDescent="0.4">
      <c r="A76" s="25" t="s">
        <v>110</v>
      </c>
      <c r="B76" s="40" t="s">
        <v>371</v>
      </c>
      <c r="C76" s="26" t="s">
        <v>295</v>
      </c>
      <c r="D76" s="13">
        <f>E76-F76</f>
        <v>4499</v>
      </c>
      <c r="E76" s="13">
        <v>4499</v>
      </c>
      <c r="F76" s="13">
        <v>0</v>
      </c>
      <c r="G76" s="14"/>
      <c r="H76" s="26" t="s">
        <v>296</v>
      </c>
      <c r="I76" s="13">
        <f>J76-K76</f>
        <v>5252</v>
      </c>
      <c r="J76" s="13">
        <v>5252</v>
      </c>
      <c r="K76" s="13">
        <v>0</v>
      </c>
      <c r="L76" s="14"/>
      <c r="M76" s="26"/>
      <c r="N76" s="13">
        <f>O76-P76</f>
        <v>0</v>
      </c>
      <c r="O76" s="13"/>
      <c r="P76" s="13"/>
      <c r="Q76" s="14"/>
    </row>
    <row r="77" spans="1:17" s="15" customFormat="1" ht="19.95" customHeight="1" x14ac:dyDescent="0.4">
      <c r="A77" s="25" t="s">
        <v>110</v>
      </c>
      <c r="B77" s="40" t="s">
        <v>372</v>
      </c>
      <c r="C77" s="26" t="s">
        <v>298</v>
      </c>
      <c r="D77" s="13">
        <f>E77-F77</f>
        <v>2999</v>
      </c>
      <c r="E77" s="13">
        <v>2999</v>
      </c>
      <c r="F77" s="13">
        <v>0</v>
      </c>
      <c r="G77" s="14"/>
      <c r="H77" s="26" t="s">
        <v>299</v>
      </c>
      <c r="I77" s="13">
        <f>J77-K77</f>
        <v>2499.9499999999998</v>
      </c>
      <c r="J77" s="13">
        <v>2499.9499999999998</v>
      </c>
      <c r="K77" s="13">
        <v>0</v>
      </c>
      <c r="L77" s="14"/>
      <c r="M77" s="26"/>
      <c r="N77" s="13">
        <f>O77-P77</f>
        <v>0</v>
      </c>
      <c r="O77" s="13"/>
      <c r="P77" s="13"/>
      <c r="Q77" s="14"/>
    </row>
    <row r="78" spans="1:17" s="15" customFormat="1" ht="19.95" customHeight="1" x14ac:dyDescent="0.4">
      <c r="A78" s="25" t="s">
        <v>110</v>
      </c>
      <c r="B78" s="40" t="s">
        <v>373</v>
      </c>
      <c r="C78" s="26" t="s">
        <v>301</v>
      </c>
      <c r="D78" s="13">
        <f>E78-F78</f>
        <v>2499</v>
      </c>
      <c r="E78" s="13">
        <v>2499</v>
      </c>
      <c r="F78" s="13">
        <v>0</v>
      </c>
      <c r="G78" s="14"/>
      <c r="H78" s="26" t="s">
        <v>302</v>
      </c>
      <c r="I78" s="13">
        <f>J78-K78</f>
        <v>1999.95</v>
      </c>
      <c r="J78" s="13">
        <v>1999.95</v>
      </c>
      <c r="K78" s="13">
        <v>0</v>
      </c>
      <c r="L78" s="14"/>
      <c r="M78" s="26"/>
      <c r="N78" s="13">
        <f>O78-P78</f>
        <v>0</v>
      </c>
      <c r="O78" s="13"/>
      <c r="P78" s="13"/>
      <c r="Q78" s="14"/>
    </row>
    <row r="79" spans="1:17" s="15" customFormat="1" ht="19.95" customHeight="1" x14ac:dyDescent="0.4">
      <c r="A79" s="25" t="s">
        <v>110</v>
      </c>
      <c r="B79" s="40" t="s">
        <v>374</v>
      </c>
      <c r="C79" s="26" t="s">
        <v>304</v>
      </c>
      <c r="D79" s="13"/>
      <c r="E79" s="13">
        <v>1699</v>
      </c>
      <c r="F79" s="13">
        <v>0</v>
      </c>
      <c r="G79" s="14"/>
      <c r="H79" s="26" t="s">
        <v>305</v>
      </c>
      <c r="I79" s="13"/>
      <c r="J79" s="13">
        <v>1499.95</v>
      </c>
      <c r="K79" s="13">
        <v>0</v>
      </c>
      <c r="L79" s="14"/>
      <c r="M79" s="26" t="s">
        <v>306</v>
      </c>
      <c r="N79" s="13"/>
      <c r="O79" s="13">
        <v>1500</v>
      </c>
      <c r="P79" s="13">
        <v>0</v>
      </c>
      <c r="Q79" s="14"/>
    </row>
    <row r="80" spans="1:17" s="15" customFormat="1" ht="19.95" customHeight="1" x14ac:dyDescent="0.4">
      <c r="A80" s="25"/>
      <c r="B80" s="25"/>
      <c r="C80" s="26"/>
      <c r="D80" s="13"/>
      <c r="E80" s="13"/>
      <c r="F80" s="13"/>
      <c r="G80" s="14"/>
      <c r="H80" s="26"/>
      <c r="I80" s="13"/>
      <c r="J80" s="13"/>
      <c r="K80" s="13"/>
      <c r="L80" s="14"/>
      <c r="M80" s="26"/>
      <c r="N80" s="13"/>
      <c r="O80" s="13"/>
      <c r="P80" s="13"/>
      <c r="Q80" s="14"/>
    </row>
    <row r="81" spans="1:17" ht="19.95" customHeight="1" x14ac:dyDescent="0.4">
      <c r="A81" s="25" t="s">
        <v>110</v>
      </c>
      <c r="B81" s="25" t="s">
        <v>307</v>
      </c>
      <c r="C81" s="26" t="s">
        <v>308</v>
      </c>
      <c r="D81" s="13">
        <f>E81-F81</f>
        <v>4799</v>
      </c>
      <c r="E81" s="13">
        <v>4799</v>
      </c>
      <c r="F81" s="13">
        <v>0</v>
      </c>
      <c r="G81" s="14"/>
      <c r="H81" s="26" t="s">
        <v>309</v>
      </c>
      <c r="I81" s="13">
        <f>J81-K81</f>
        <v>4799.95</v>
      </c>
      <c r="J81" s="13">
        <v>4799.95</v>
      </c>
      <c r="K81" s="13">
        <v>0</v>
      </c>
      <c r="L81" s="14"/>
      <c r="M81" s="26"/>
      <c r="N81" s="13">
        <f>O81-P81</f>
        <v>0</v>
      </c>
      <c r="O81" s="13"/>
      <c r="P81" s="13"/>
      <c r="Q81" s="14"/>
    </row>
    <row r="82" spans="1:17" ht="19.95" customHeight="1" x14ac:dyDescent="0.4">
      <c r="A82" s="25" t="s">
        <v>110</v>
      </c>
      <c r="B82" s="25" t="s">
        <v>310</v>
      </c>
      <c r="C82" s="26" t="s">
        <v>311</v>
      </c>
      <c r="D82" s="13">
        <f>E82-F82</f>
        <v>2999</v>
      </c>
      <c r="E82" s="13">
        <v>2999</v>
      </c>
      <c r="F82" s="13">
        <v>0</v>
      </c>
      <c r="G82" s="14"/>
      <c r="H82" s="26" t="s">
        <v>312</v>
      </c>
      <c r="I82" s="13">
        <f>J82-K82</f>
        <v>2999.95</v>
      </c>
      <c r="J82" s="13">
        <v>2999.95</v>
      </c>
      <c r="K82" s="13">
        <v>0</v>
      </c>
      <c r="L82" s="14"/>
      <c r="M82" s="26" t="s">
        <v>313</v>
      </c>
      <c r="N82" s="13">
        <f>O82-P82</f>
        <v>2900</v>
      </c>
      <c r="O82" s="13">
        <v>2900</v>
      </c>
      <c r="P82" s="13">
        <v>0</v>
      </c>
      <c r="Q82" s="14"/>
    </row>
    <row r="83" spans="1:17" ht="19.95" customHeight="1" x14ac:dyDescent="0.4">
      <c r="A83" s="25" t="s">
        <v>110</v>
      </c>
      <c r="B83" s="25" t="s">
        <v>314</v>
      </c>
      <c r="C83" s="26" t="s">
        <v>315</v>
      </c>
      <c r="D83" s="13">
        <f>E83-F83</f>
        <v>2499</v>
      </c>
      <c r="E83" s="13">
        <v>2499</v>
      </c>
      <c r="F83" s="13">
        <v>0</v>
      </c>
      <c r="G83" s="14"/>
      <c r="H83" s="26" t="s">
        <v>316</v>
      </c>
      <c r="I83" s="13">
        <f>J83-K83</f>
        <v>2499.9499999999998</v>
      </c>
      <c r="J83" s="13">
        <v>2499.9499999999998</v>
      </c>
      <c r="K83" s="13">
        <v>0</v>
      </c>
      <c r="L83" s="14"/>
      <c r="M83" s="26" t="s">
        <v>317</v>
      </c>
      <c r="N83" s="13">
        <f>O83-P83</f>
        <v>2499</v>
      </c>
      <c r="O83" s="13">
        <v>2499</v>
      </c>
      <c r="P83" s="13">
        <v>0</v>
      </c>
      <c r="Q83" s="14"/>
    </row>
    <row r="84" spans="1:17" ht="19.95" customHeight="1" x14ac:dyDescent="0.4">
      <c r="A84" s="25" t="s">
        <v>110</v>
      </c>
      <c r="B84" s="25" t="s">
        <v>318</v>
      </c>
      <c r="C84" s="26" t="s">
        <v>319</v>
      </c>
      <c r="D84" s="52"/>
      <c r="E84" s="53">
        <v>1799</v>
      </c>
      <c r="F84" s="53">
        <v>0</v>
      </c>
      <c r="G84" s="14"/>
      <c r="H84" s="26" t="s">
        <v>320</v>
      </c>
      <c r="I84" s="52"/>
      <c r="J84" s="13">
        <v>1799.95</v>
      </c>
      <c r="K84" s="13">
        <v>0</v>
      </c>
      <c r="L84" s="14"/>
      <c r="M84" s="26"/>
      <c r="N84" s="52"/>
      <c r="O84" s="53"/>
      <c r="P84" s="53"/>
      <c r="Q84" s="14"/>
    </row>
    <row r="85" spans="1:17" ht="19.95" customHeight="1" x14ac:dyDescent="0.4">
      <c r="A85" s="25" t="s">
        <v>110</v>
      </c>
      <c r="B85" s="25" t="s">
        <v>321</v>
      </c>
      <c r="C85" s="26" t="s">
        <v>322</v>
      </c>
      <c r="D85" s="13">
        <f>E85-F85</f>
        <v>1499</v>
      </c>
      <c r="E85" s="13">
        <v>1499</v>
      </c>
      <c r="F85" s="13">
        <v>0</v>
      </c>
      <c r="G85" s="14"/>
      <c r="H85" s="26" t="s">
        <v>323</v>
      </c>
      <c r="I85" s="13">
        <f>J85-K85</f>
        <v>1499.95</v>
      </c>
      <c r="J85" s="13">
        <v>1499.95</v>
      </c>
      <c r="K85" s="13">
        <v>0</v>
      </c>
      <c r="L85" s="14"/>
      <c r="M85" s="26"/>
      <c r="N85" s="13">
        <f>O85-P85</f>
        <v>0</v>
      </c>
      <c r="O85" s="13"/>
      <c r="P85" s="13"/>
      <c r="Q85" s="14"/>
    </row>
    <row r="86" spans="1:17" ht="19.95" customHeight="1" x14ac:dyDescent="0.4">
      <c r="A86" s="25" t="s">
        <v>110</v>
      </c>
      <c r="B86" s="25" t="s">
        <v>324</v>
      </c>
      <c r="C86" s="26" t="s">
        <v>325</v>
      </c>
      <c r="D86" s="13">
        <f>E86-F86</f>
        <v>1299</v>
      </c>
      <c r="E86" s="13">
        <v>1299</v>
      </c>
      <c r="F86" s="13">
        <v>0</v>
      </c>
      <c r="G86" s="14"/>
      <c r="H86" s="26" t="s">
        <v>326</v>
      </c>
      <c r="I86" s="13">
        <f>J86-K86</f>
        <v>1299.95</v>
      </c>
      <c r="J86" s="13">
        <v>1299.95</v>
      </c>
      <c r="K86" s="13">
        <v>0</v>
      </c>
      <c r="L86" s="14"/>
      <c r="M86" s="26"/>
      <c r="N86" s="13">
        <f>O86-P86</f>
        <v>0</v>
      </c>
      <c r="O86" s="13"/>
      <c r="P86" s="13"/>
      <c r="Q86" s="14"/>
    </row>
    <row r="87" spans="1:17" ht="19.95" customHeight="1" x14ac:dyDescent="0.4">
      <c r="A87" s="25"/>
      <c r="B87" s="25"/>
      <c r="C87" s="26"/>
      <c r="D87" s="13"/>
      <c r="E87" s="13"/>
      <c r="F87" s="13"/>
      <c r="G87" s="14"/>
      <c r="H87" s="26"/>
      <c r="I87" s="13"/>
      <c r="J87" s="13"/>
      <c r="K87" s="13"/>
      <c r="L87" s="14"/>
      <c r="M87" s="26"/>
      <c r="N87" s="13"/>
      <c r="O87" s="13"/>
      <c r="P87" s="13"/>
      <c r="Q87" s="14"/>
    </row>
    <row r="88" spans="1:17" s="15" customFormat="1" ht="19.95" customHeight="1" x14ac:dyDescent="0.4">
      <c r="A88" s="25" t="s">
        <v>110</v>
      </c>
      <c r="B88" s="25" t="s">
        <v>327</v>
      </c>
      <c r="C88" s="26"/>
      <c r="D88" s="13"/>
      <c r="E88" s="13"/>
      <c r="F88" s="13"/>
      <c r="G88" s="14"/>
      <c r="H88" s="26"/>
      <c r="I88" s="13"/>
      <c r="J88" s="13"/>
      <c r="K88" s="13"/>
      <c r="L88" s="14"/>
      <c r="M88" s="26"/>
      <c r="N88" s="13"/>
      <c r="O88" s="13"/>
      <c r="P88" s="13"/>
      <c r="Q88" s="14"/>
    </row>
    <row r="89" spans="1:17" ht="19.95" customHeight="1" x14ac:dyDescent="0.4">
      <c r="A89" s="27" t="s">
        <v>110</v>
      </c>
      <c r="B89" s="27" t="s">
        <v>328</v>
      </c>
      <c r="C89" s="28"/>
      <c r="D89" s="16">
        <f>E89-F89</f>
        <v>0</v>
      </c>
      <c r="E89" s="16"/>
      <c r="F89" s="16"/>
      <c r="G89" s="17"/>
      <c r="H89" s="28"/>
      <c r="I89" s="16">
        <f>J89-K89</f>
        <v>0</v>
      </c>
      <c r="J89" s="16"/>
      <c r="K89" s="16"/>
      <c r="L89" s="17"/>
      <c r="M89" s="28"/>
      <c r="N89" s="16">
        <f>O89-P89</f>
        <v>0</v>
      </c>
      <c r="O89" s="16"/>
      <c r="P89" s="16"/>
      <c r="Q89" s="17"/>
    </row>
    <row r="90" spans="1:17" ht="19.95" customHeight="1" x14ac:dyDescent="0.4">
      <c r="A90" s="27" t="s">
        <v>110</v>
      </c>
      <c r="B90" s="27" t="s">
        <v>329</v>
      </c>
      <c r="C90" s="28"/>
      <c r="D90" s="16">
        <f>E90-F90</f>
        <v>0</v>
      </c>
      <c r="E90" s="16"/>
      <c r="F90" s="16"/>
      <c r="G90" s="17"/>
      <c r="H90" s="28"/>
      <c r="I90" s="16">
        <f>J90-K90</f>
        <v>0</v>
      </c>
      <c r="J90" s="16"/>
      <c r="K90" s="16"/>
      <c r="L90" s="17"/>
      <c r="M90" s="28"/>
      <c r="N90" s="16">
        <f>O90-P90</f>
        <v>0</v>
      </c>
      <c r="O90" s="16"/>
      <c r="P90" s="16"/>
      <c r="Q90" s="17"/>
    </row>
    <row r="91" spans="1:17" ht="19.95" customHeight="1" x14ac:dyDescent="0.4">
      <c r="A91" s="27" t="s">
        <v>110</v>
      </c>
      <c r="B91" s="27" t="s">
        <v>330</v>
      </c>
      <c r="C91" s="28"/>
      <c r="D91" s="18"/>
      <c r="E91" s="19"/>
      <c r="F91" s="19"/>
      <c r="G91" s="17"/>
      <c r="H91" s="28"/>
      <c r="I91" s="18"/>
      <c r="J91" s="16"/>
      <c r="K91" s="16"/>
      <c r="L91" s="17"/>
      <c r="M91" s="28"/>
      <c r="N91" s="18"/>
      <c r="O91" s="19"/>
      <c r="P91" s="19"/>
      <c r="Q91" s="17"/>
    </row>
    <row r="92" spans="1:17" ht="19.95" customHeight="1" x14ac:dyDescent="0.4">
      <c r="A92" s="27" t="s">
        <v>110</v>
      </c>
      <c r="B92" s="27" t="s">
        <v>331</v>
      </c>
      <c r="C92" s="28"/>
      <c r="D92" s="16">
        <f>E92-F92</f>
        <v>0</v>
      </c>
      <c r="E92" s="16"/>
      <c r="F92" s="16"/>
      <c r="G92" s="17"/>
      <c r="H92" s="28"/>
      <c r="I92" s="16">
        <f>J92-K92</f>
        <v>0</v>
      </c>
      <c r="J92" s="16"/>
      <c r="K92" s="16"/>
      <c r="L92" s="17"/>
      <c r="M92" s="28"/>
      <c r="N92" s="16">
        <f>O92-P92</f>
        <v>0</v>
      </c>
      <c r="O92" s="16"/>
      <c r="P92" s="16"/>
      <c r="Q92" s="17"/>
    </row>
    <row r="93" spans="1:17" ht="19.95" customHeight="1" x14ac:dyDescent="0.4">
      <c r="A93" s="27" t="s">
        <v>110</v>
      </c>
      <c r="B93" s="27" t="s">
        <v>332</v>
      </c>
      <c r="C93" s="28"/>
      <c r="D93" s="16"/>
      <c r="E93" s="16"/>
      <c r="F93" s="16"/>
      <c r="G93" s="17"/>
      <c r="H93" s="28"/>
      <c r="I93" s="16"/>
      <c r="J93" s="16"/>
      <c r="K93" s="16"/>
      <c r="L93" s="17"/>
      <c r="M93" s="28"/>
      <c r="N93" s="16"/>
      <c r="O93" s="16"/>
      <c r="P93" s="16"/>
      <c r="Q93" s="17"/>
    </row>
    <row r="94" spans="1:17" ht="19.95" customHeight="1" x14ac:dyDescent="0.4">
      <c r="A94" s="27"/>
      <c r="B94" s="27"/>
      <c r="C94" s="28"/>
      <c r="D94" s="16"/>
      <c r="E94" s="16"/>
      <c r="F94" s="16"/>
      <c r="G94" s="17"/>
      <c r="H94" s="28"/>
      <c r="I94" s="16"/>
      <c r="J94" s="16"/>
      <c r="K94" s="16"/>
      <c r="L94" s="17"/>
      <c r="M94" s="28"/>
      <c r="N94" s="16"/>
      <c r="O94" s="16"/>
      <c r="P94" s="16"/>
      <c r="Q94" s="17"/>
    </row>
    <row r="95" spans="1:17" ht="19.95" customHeight="1" x14ac:dyDescent="0.4">
      <c r="A95" s="27" t="s">
        <v>110</v>
      </c>
      <c r="B95" s="27" t="s">
        <v>333</v>
      </c>
      <c r="C95" s="28"/>
      <c r="D95" s="16">
        <f>E95-F95</f>
        <v>0</v>
      </c>
      <c r="E95" s="16"/>
      <c r="F95" s="16"/>
      <c r="G95" s="17"/>
      <c r="H95" s="28" t="s">
        <v>334</v>
      </c>
      <c r="I95" s="16">
        <f>J95-K95</f>
        <v>1299.95</v>
      </c>
      <c r="J95" s="16">
        <v>1299.95</v>
      </c>
      <c r="K95" s="16">
        <v>0</v>
      </c>
      <c r="L95" s="17"/>
      <c r="M95" s="28"/>
      <c r="N95" s="16">
        <f>O95-P95</f>
        <v>0</v>
      </c>
      <c r="O95" s="16"/>
      <c r="P95" s="16"/>
      <c r="Q95" s="17"/>
    </row>
    <row r="96" spans="1:17" ht="19.95" customHeight="1" x14ac:dyDescent="0.4">
      <c r="A96" s="27" t="s">
        <v>110</v>
      </c>
      <c r="B96" s="27" t="s">
        <v>335</v>
      </c>
      <c r="C96" s="28"/>
      <c r="D96" s="16">
        <f>E96-F96</f>
        <v>0</v>
      </c>
      <c r="E96" s="16"/>
      <c r="F96" s="16"/>
      <c r="G96" s="17"/>
      <c r="H96" s="28" t="s">
        <v>336</v>
      </c>
      <c r="I96" s="16">
        <f>J96-K96</f>
        <v>1999.95</v>
      </c>
      <c r="J96" s="16">
        <v>1999.95</v>
      </c>
      <c r="K96" s="16">
        <v>0</v>
      </c>
      <c r="L96" s="17"/>
      <c r="M96" s="28" t="s">
        <v>337</v>
      </c>
      <c r="N96" s="16">
        <f>O96-P96</f>
        <v>1199</v>
      </c>
      <c r="O96" s="16">
        <v>1199</v>
      </c>
      <c r="P96" s="16">
        <v>0</v>
      </c>
      <c r="Q96" s="17"/>
    </row>
    <row r="97" spans="1:17" ht="19.95" customHeight="1" x14ac:dyDescent="0.4">
      <c r="A97" s="27" t="s">
        <v>110</v>
      </c>
      <c r="B97" s="27" t="s">
        <v>338</v>
      </c>
      <c r="C97" s="28"/>
      <c r="D97" s="16">
        <f>E97-F97</f>
        <v>0</v>
      </c>
      <c r="E97" s="16"/>
      <c r="F97" s="16"/>
      <c r="G97" s="17"/>
      <c r="H97" s="28" t="s">
        <v>339</v>
      </c>
      <c r="I97" s="16">
        <f>J97-K97</f>
        <v>1399.95</v>
      </c>
      <c r="J97" s="16">
        <v>1399.95</v>
      </c>
      <c r="K97" s="16">
        <v>0</v>
      </c>
      <c r="L97" s="17"/>
      <c r="M97" s="28"/>
      <c r="N97" s="16">
        <f>O97-P97</f>
        <v>0</v>
      </c>
      <c r="O97" s="16"/>
      <c r="P97" s="16"/>
      <c r="Q97" s="17"/>
    </row>
    <row r="98" spans="1:17" ht="19.95" customHeight="1" x14ac:dyDescent="0.4">
      <c r="A98" s="27" t="s">
        <v>110</v>
      </c>
      <c r="B98" s="27" t="s">
        <v>340</v>
      </c>
      <c r="C98" s="28"/>
      <c r="D98" s="16">
        <f>E98-F98</f>
        <v>0</v>
      </c>
      <c r="E98" s="16"/>
      <c r="F98" s="16"/>
      <c r="G98" s="17"/>
      <c r="H98" s="28" t="s">
        <v>341</v>
      </c>
      <c r="I98" s="16">
        <f>J98-K98</f>
        <v>899.95</v>
      </c>
      <c r="J98" s="16">
        <v>899.95</v>
      </c>
      <c r="K98" s="16">
        <v>0</v>
      </c>
      <c r="L98" s="17"/>
      <c r="M98" s="28"/>
      <c r="N98" s="16">
        <f>O98-P98</f>
        <v>0</v>
      </c>
      <c r="O98" s="16"/>
      <c r="P98" s="16"/>
      <c r="Q98" s="17"/>
    </row>
    <row r="99" spans="1:17" ht="19.95" customHeight="1" x14ac:dyDescent="0.4">
      <c r="A99" s="27" t="s">
        <v>110</v>
      </c>
      <c r="B99" s="27" t="s">
        <v>342</v>
      </c>
      <c r="C99" s="28"/>
      <c r="D99" s="18"/>
      <c r="E99" s="16"/>
      <c r="F99" s="16"/>
      <c r="G99" s="17"/>
      <c r="H99" s="28" t="s">
        <v>343</v>
      </c>
      <c r="I99" s="18"/>
      <c r="J99" s="16">
        <v>1099.95</v>
      </c>
      <c r="K99" s="16">
        <v>0</v>
      </c>
      <c r="L99" s="17"/>
      <c r="M99" s="28" t="s">
        <v>344</v>
      </c>
      <c r="N99" s="18"/>
      <c r="O99" s="19">
        <v>599</v>
      </c>
      <c r="P99" s="19">
        <v>0</v>
      </c>
      <c r="Q99" s="17"/>
    </row>
    <row r="100" spans="1:17" ht="19.95" customHeight="1" x14ac:dyDescent="0.4">
      <c r="A100" s="27" t="s">
        <v>110</v>
      </c>
      <c r="B100" s="27" t="s">
        <v>345</v>
      </c>
      <c r="C100" s="28"/>
      <c r="D100" s="16">
        <f>E100-F100</f>
        <v>0</v>
      </c>
      <c r="E100" s="16"/>
      <c r="F100" s="16"/>
      <c r="G100" s="17"/>
      <c r="H100" s="28" t="s">
        <v>346</v>
      </c>
      <c r="I100" s="16">
        <f>J100-K100</f>
        <v>999.95</v>
      </c>
      <c r="J100" s="16">
        <v>999.95</v>
      </c>
      <c r="K100" s="16">
        <v>0</v>
      </c>
      <c r="L100" s="17"/>
      <c r="M100" s="28" t="s">
        <v>347</v>
      </c>
      <c r="N100" s="16">
        <f>O100-P100</f>
        <v>549</v>
      </c>
      <c r="O100" s="16">
        <v>549</v>
      </c>
      <c r="P100" s="16">
        <v>0</v>
      </c>
      <c r="Q100" s="17"/>
    </row>
    <row r="101" spans="1:17" ht="19.95" customHeight="1" x14ac:dyDescent="0.4">
      <c r="A101" s="27"/>
      <c r="B101" s="27"/>
      <c r="C101" s="28"/>
      <c r="D101" s="16"/>
      <c r="E101" s="16"/>
      <c r="F101" s="16"/>
      <c r="G101" s="17"/>
      <c r="H101" s="28"/>
      <c r="I101" s="16"/>
      <c r="J101" s="16"/>
      <c r="K101" s="16"/>
      <c r="L101" s="17"/>
      <c r="M101" s="28"/>
      <c r="N101" s="16"/>
      <c r="O101" s="16"/>
      <c r="P101" s="16"/>
      <c r="Q101" s="17"/>
    </row>
    <row r="102" spans="1:17" ht="19.95" customHeight="1" x14ac:dyDescent="0.4">
      <c r="A102" s="50" t="s">
        <v>149</v>
      </c>
      <c r="B102" s="50" t="s">
        <v>348</v>
      </c>
      <c r="C102" s="51"/>
      <c r="D102" s="48"/>
      <c r="E102" s="48"/>
      <c r="F102" s="48"/>
      <c r="G102" s="49" t="str">
        <f>IFERROR(E102/E4,"")</f>
        <v/>
      </c>
      <c r="H102" s="51"/>
      <c r="I102" s="48"/>
      <c r="J102" s="48"/>
      <c r="K102" s="48"/>
      <c r="L102" s="49" t="str">
        <f>IFERROR(J102/J4,"")</f>
        <v/>
      </c>
      <c r="M102" s="51"/>
      <c r="N102" s="48"/>
      <c r="O102" s="48"/>
      <c r="P102" s="48"/>
      <c r="Q102" s="49">
        <f>IFERROR(O102/O4,"")</f>
        <v>0</v>
      </c>
    </row>
    <row r="103" spans="1:17" ht="19.95" customHeight="1" x14ac:dyDescent="0.4">
      <c r="A103" s="50" t="s">
        <v>149</v>
      </c>
      <c r="B103" s="50" t="s">
        <v>349</v>
      </c>
      <c r="C103" s="51"/>
      <c r="D103" s="48">
        <f>E103-F103</f>
        <v>0</v>
      </c>
      <c r="E103" s="48"/>
      <c r="F103" s="48"/>
      <c r="G103" s="49" t="str">
        <f>IFERROR(E103/E5,"")</f>
        <v/>
      </c>
      <c r="H103" s="51"/>
      <c r="I103" s="48">
        <f>J103-K103</f>
        <v>0</v>
      </c>
      <c r="J103" s="48"/>
      <c r="K103" s="48"/>
      <c r="L103" s="49" t="str">
        <f>IFERROR(J103/J5,"")</f>
        <v/>
      </c>
      <c r="M103" s="51"/>
      <c r="N103" s="48">
        <f>O103-P103</f>
        <v>0</v>
      </c>
      <c r="O103" s="48"/>
      <c r="P103" s="48"/>
      <c r="Q103" s="49" t="str">
        <f>IFERROR(O103/O5,"")</f>
        <v/>
      </c>
    </row>
    <row r="104" spans="1:17" ht="19.95" customHeight="1" x14ac:dyDescent="0.4">
      <c r="A104" s="50" t="s">
        <v>149</v>
      </c>
      <c r="B104" s="50" t="s">
        <v>350</v>
      </c>
      <c r="C104" s="51"/>
      <c r="D104" s="48">
        <f>E104-F104</f>
        <v>0</v>
      </c>
      <c r="E104" s="48"/>
      <c r="F104" s="48"/>
      <c r="G104" s="49" t="str">
        <f>IFERROR(E104/E6,"")</f>
        <v/>
      </c>
      <c r="H104" s="51"/>
      <c r="I104" s="48">
        <f>J104-K104</f>
        <v>0</v>
      </c>
      <c r="J104" s="48"/>
      <c r="K104" s="48"/>
      <c r="L104" s="49" t="str">
        <f>IFERROR(J104/J6,"")</f>
        <v/>
      </c>
      <c r="M104" s="51"/>
      <c r="N104" s="48">
        <f>O104-P104</f>
        <v>0</v>
      </c>
      <c r="O104" s="48"/>
      <c r="P104" s="48"/>
      <c r="Q104" s="49">
        <f>IFERROR(O104/O6,"")</f>
        <v>0</v>
      </c>
    </row>
    <row r="105" spans="1:17" ht="19.95" customHeight="1" x14ac:dyDescent="0.4">
      <c r="A105" s="50" t="s">
        <v>149</v>
      </c>
      <c r="B105" s="50" t="s">
        <v>351</v>
      </c>
      <c r="C105" s="51"/>
      <c r="D105" s="48">
        <f>E105-F105</f>
        <v>0</v>
      </c>
      <c r="E105" s="48"/>
      <c r="F105" s="48"/>
      <c r="G105" s="49" t="str">
        <f>IFERROR(E105/E7,"")</f>
        <v/>
      </c>
      <c r="H105" s="51"/>
      <c r="I105" s="48">
        <f>J105-K105</f>
        <v>0</v>
      </c>
      <c r="J105" s="48"/>
      <c r="K105" s="48"/>
      <c r="L105" s="49" t="str">
        <f>IFERROR(J105/J7,"")</f>
        <v/>
      </c>
      <c r="M105" s="51"/>
      <c r="N105" s="48">
        <f>O105-P105</f>
        <v>0</v>
      </c>
      <c r="O105" s="48"/>
      <c r="P105" s="48"/>
      <c r="Q105" s="49" t="str">
        <f>IFERROR(O105/O7,"")</f>
        <v/>
      </c>
    </row>
    <row r="106" spans="1:17" ht="19.95" customHeight="1" x14ac:dyDescent="0.4">
      <c r="A106" s="50" t="s">
        <v>149</v>
      </c>
      <c r="B106" s="50" t="s">
        <v>352</v>
      </c>
      <c r="C106" s="51"/>
      <c r="D106" s="54"/>
      <c r="E106" s="54"/>
      <c r="F106" s="54"/>
      <c r="G106" s="49" t="str">
        <f>IFERROR(E106/E7,"")</f>
        <v/>
      </c>
      <c r="H106" s="51"/>
      <c r="I106" s="54"/>
      <c r="J106" s="54"/>
      <c r="K106" s="54"/>
      <c r="L106" s="49" t="str">
        <f>IFERROR(J106/J7,"")</f>
        <v/>
      </c>
      <c r="M106" s="51"/>
      <c r="N106" s="54"/>
      <c r="O106" s="54"/>
      <c r="P106" s="54"/>
      <c r="Q106" s="49" t="str">
        <f>IFERROR(O106/O7,"")</f>
        <v/>
      </c>
    </row>
    <row r="107" spans="1:17" ht="19.95" customHeight="1" x14ac:dyDescent="0.4">
      <c r="A107" s="50" t="s">
        <v>149</v>
      </c>
      <c r="B107" s="50" t="s">
        <v>353</v>
      </c>
      <c r="C107" s="51"/>
      <c r="D107" s="54"/>
      <c r="E107" s="54"/>
      <c r="F107" s="54"/>
      <c r="G107" s="49" t="str">
        <f>IFERROR(E107/E7,"")</f>
        <v/>
      </c>
      <c r="H107" s="51"/>
      <c r="I107" s="54"/>
      <c r="J107" s="54"/>
      <c r="K107" s="54"/>
      <c r="L107" s="49" t="str">
        <f>IFERROR(J107/J7,"")</f>
        <v/>
      </c>
      <c r="M107" s="51"/>
      <c r="N107" s="54"/>
      <c r="O107" s="54"/>
      <c r="P107" s="54"/>
      <c r="Q107" s="49" t="str">
        <f>IFERROR(O107/O7,"")</f>
        <v/>
      </c>
    </row>
    <row r="108" spans="1:17" ht="19.95" customHeight="1" x14ac:dyDescent="0.4">
      <c r="A108" s="29"/>
      <c r="B108" s="29"/>
      <c r="C108" s="8"/>
      <c r="D108" s="11"/>
      <c r="E108" s="11"/>
      <c r="F108" s="11"/>
      <c r="G108" s="10"/>
      <c r="H108" s="8"/>
      <c r="I108" s="11"/>
      <c r="J108" s="11"/>
      <c r="K108" s="11"/>
      <c r="L108" s="10"/>
      <c r="M108" s="8"/>
      <c r="N108" s="11"/>
      <c r="O108" s="11"/>
      <c r="P108" s="11"/>
      <c r="Q108" s="10"/>
    </row>
    <row r="109" spans="1:17" ht="19.95" customHeight="1" x14ac:dyDescent="0.4">
      <c r="A109" s="21" t="s">
        <v>149</v>
      </c>
      <c r="B109" s="21" t="s">
        <v>354</v>
      </c>
      <c r="C109" s="22" t="s">
        <v>355</v>
      </c>
      <c r="D109" s="11"/>
      <c r="E109" s="11">
        <v>1599</v>
      </c>
      <c r="F109" s="11">
        <v>0</v>
      </c>
      <c r="G109" s="11"/>
      <c r="H109" s="22"/>
      <c r="I109" s="11"/>
      <c r="J109" s="11"/>
      <c r="K109" s="11"/>
      <c r="L109" s="11"/>
      <c r="M109" s="22"/>
      <c r="N109" s="11"/>
      <c r="O109" s="11"/>
      <c r="P109" s="11"/>
      <c r="Q109" s="11"/>
    </row>
    <row r="110" spans="1:17" ht="19.95" customHeight="1" x14ac:dyDescent="0.4">
      <c r="A110" s="21" t="s">
        <v>149</v>
      </c>
      <c r="B110" s="21" t="s">
        <v>356</v>
      </c>
      <c r="C110" s="22" t="s">
        <v>357</v>
      </c>
      <c r="D110" s="11"/>
      <c r="E110" s="11">
        <v>1199</v>
      </c>
      <c r="F110" s="11">
        <v>0</v>
      </c>
      <c r="G110" s="11"/>
      <c r="H110" s="22" t="s">
        <v>358</v>
      </c>
      <c r="I110" s="11"/>
      <c r="J110" s="11">
        <v>1199.95</v>
      </c>
      <c r="K110" s="11">
        <v>0</v>
      </c>
      <c r="L110" s="11"/>
      <c r="M110" s="22"/>
      <c r="N110" s="11"/>
      <c r="O110" s="11"/>
      <c r="P110" s="11"/>
      <c r="Q110" s="11"/>
    </row>
    <row r="111" spans="1:17" ht="19.95" customHeight="1" x14ac:dyDescent="0.4">
      <c r="A111" s="21" t="s">
        <v>149</v>
      </c>
      <c r="B111" s="21" t="s">
        <v>359</v>
      </c>
      <c r="C111" s="22" t="s">
        <v>360</v>
      </c>
      <c r="D111" s="11"/>
      <c r="E111" s="11">
        <v>799</v>
      </c>
      <c r="F111" s="11">
        <v>0</v>
      </c>
      <c r="G111" s="11"/>
      <c r="H111" s="22" t="s">
        <v>361</v>
      </c>
      <c r="I111" s="11"/>
      <c r="J111" s="11">
        <v>799.95</v>
      </c>
      <c r="K111" s="11">
        <v>0</v>
      </c>
      <c r="L111" s="11"/>
      <c r="M111" s="22"/>
      <c r="N111" s="11"/>
      <c r="O111" s="11"/>
      <c r="P111" s="11"/>
      <c r="Q111" s="11"/>
    </row>
    <row r="112" spans="1:17" ht="19.95" customHeight="1" x14ac:dyDescent="0.4">
      <c r="A112" s="21" t="s">
        <v>149</v>
      </c>
      <c r="B112" s="21" t="s">
        <v>362</v>
      </c>
      <c r="C112" s="22" t="s">
        <v>363</v>
      </c>
      <c r="D112" s="11"/>
      <c r="E112" s="11">
        <v>699</v>
      </c>
      <c r="F112" s="11">
        <v>0</v>
      </c>
      <c r="G112" s="11"/>
      <c r="H112" s="22" t="s">
        <v>364</v>
      </c>
      <c r="I112" s="11"/>
      <c r="J112" s="11">
        <v>699.95</v>
      </c>
      <c r="K112" s="11">
        <v>0</v>
      </c>
      <c r="L112" s="11"/>
      <c r="M112" s="22"/>
      <c r="N112" s="11"/>
      <c r="O112" s="11"/>
      <c r="P112" s="11"/>
      <c r="Q112" s="11"/>
    </row>
    <row r="113" spans="1:17" ht="19.95" customHeight="1" x14ac:dyDescent="0.4">
      <c r="A113" s="21" t="s">
        <v>149</v>
      </c>
      <c r="B113" s="21" t="s">
        <v>365</v>
      </c>
      <c r="C113" s="22" t="s">
        <v>366</v>
      </c>
      <c r="D113" s="11"/>
      <c r="E113" s="11">
        <v>599</v>
      </c>
      <c r="F113" s="11">
        <v>0</v>
      </c>
      <c r="G113" s="11"/>
      <c r="H113" s="22" t="s">
        <v>367</v>
      </c>
      <c r="I113" s="11"/>
      <c r="J113" s="11">
        <v>599.95000000000005</v>
      </c>
      <c r="K113" s="11">
        <v>0</v>
      </c>
      <c r="L113" s="11"/>
      <c r="M113" s="22"/>
      <c r="N113" s="11"/>
      <c r="O113" s="11"/>
      <c r="P113" s="11"/>
      <c r="Q113" s="11"/>
    </row>
    <row r="114" spans="1:17" ht="19.95" customHeight="1" x14ac:dyDescent="0.4">
      <c r="A114" s="21" t="s">
        <v>149</v>
      </c>
      <c r="B114" s="21" t="s">
        <v>368</v>
      </c>
      <c r="C114" s="22" t="s">
        <v>369</v>
      </c>
      <c r="D114" s="11"/>
      <c r="E114" s="11">
        <v>499</v>
      </c>
      <c r="F114" s="11">
        <v>0</v>
      </c>
      <c r="G114" s="11"/>
      <c r="H114" s="22" t="s">
        <v>370</v>
      </c>
      <c r="I114" s="11"/>
      <c r="J114" s="11">
        <v>499.95</v>
      </c>
      <c r="K114" s="11">
        <v>0</v>
      </c>
      <c r="L114" s="11"/>
      <c r="M114" s="22"/>
      <c r="N114" s="11"/>
      <c r="O114" s="11"/>
      <c r="P114" s="11"/>
      <c r="Q114" s="11"/>
    </row>
  </sheetData>
  <mergeCells count="4">
    <mergeCell ref="H2:L2"/>
    <mergeCell ref="C1:Q1"/>
    <mergeCell ref="M2:Q2"/>
    <mergeCell ref="C2:G2"/>
  </mergeCells>
  <phoneticPr fontId="6" type="noConversion"/>
  <pageMargins left="0.75" right="0.75" top="1" bottom="1" header="0.5" footer="0.5"/>
  <headerFooter>
    <oddHeader>&amp;C&amp;"Calibri"&amp;12&amp;K000000 LGE Internal Use Only&amp;1#_x000D_&amp;"맑은 고딕"&amp;11&amp;K000000&amp;"Calibri"&amp;1 &amp;K000000 LGE Internal Use Only#_x000D_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Swiss_2025</vt:lpstr>
      <vt:lpstr>Swiss_2026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박대호/책임/TV유럽영업2팀</cp:lastModifiedBy>
  <dcterms:created xsi:type="dcterms:W3CDTF">2026-07-03T02:43:55Z</dcterms:created>
  <dcterms:modified xsi:type="dcterms:W3CDTF">2026-07-04T08:30:14Z</dcterms:modified>
</cp:coreProperties>
</file>