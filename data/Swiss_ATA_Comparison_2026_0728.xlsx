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3899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2699.95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1869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1799.95</v>
      </c>
      <c r="K6" s="84" t="n">
        <v>0</v>
      </c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1749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OLED55G59LS</t>
        </is>
      </c>
      <c r="D7" s="84">
        <f>IF(E7="","",E7-F7)</f>
        <v/>
      </c>
      <c r="E7" s="84" t="n">
        <v>1399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1449.95</v>
      </c>
      <c r="K7" s="84" t="n">
        <v>0</v>
      </c>
      <c r="L7" s="85">
        <f>IFERROR(I7/I7,"")</f>
        <v/>
      </c>
      <c r="M7" s="83" t="inlineStr">
        <is>
          <t>OLED55G58LW</t>
        </is>
      </c>
      <c r="N7" s="84">
        <f>IF(O7="","",O7-P7)</f>
        <v/>
      </c>
      <c r="O7" s="84" t="n">
        <v>1379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2299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2199.95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1999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/>
      <c r="D10" s="84">
        <f>IF(E10="","",E10-F10)</f>
        <v/>
      </c>
      <c r="E10" s="84" t="inlineStr"/>
      <c r="F10" s="84" t="inlineStr"/>
      <c r="G10" s="85">
        <f>IFERROR(D10/D5,"")</f>
        <v/>
      </c>
      <c r="H10" s="83" t="inlineStr">
        <is>
          <t>OLED77C58LA</t>
        </is>
      </c>
      <c r="I10" s="84">
        <f>IF(J10="","",J10-K10)</f>
        <v/>
      </c>
      <c r="J10" s="84" t="n">
        <v>1879.95</v>
      </c>
      <c r="K10" s="84" t="n">
        <v>0</v>
      </c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1859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1249.95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959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949.95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969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679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699.95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1889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1819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OLED77B56LA</t>
        </is>
      </c>
      <c r="N17" s="84">
        <f>IF(O17="","",O17-P17)</f>
        <v/>
      </c>
      <c r="O17" s="84" t="n">
        <v>1456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999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1172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OLED55B59LA</t>
        </is>
      </c>
      <c r="N19" s="84">
        <f>IF(O19="","",O19-P19)</f>
        <v/>
      </c>
      <c r="O19" s="84" t="n">
        <v>798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689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649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3999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4799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3356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2595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1599.95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1599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2217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2999.95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1799.95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1749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1279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889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849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769.95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1624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1338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/>
      <c r="D39" s="84">
        <f>IF(E39="","",E39-F39)</f>
        <v/>
      </c>
      <c r="E39" s="84" t="inlineStr"/>
      <c r="F39" s="84" t="inlineStr"/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2782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>
        <is>
          <t>75QNED86A6A</t>
        </is>
      </c>
      <c r="N41" s="84">
        <f>IF(O41="","",O41-P41)</f>
        <v/>
      </c>
      <c r="O41" s="84" t="n">
        <v>899</v>
      </c>
      <c r="P41" s="84" t="n">
        <v>0</v>
      </c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739</v>
      </c>
      <c r="F42" s="84" t="n">
        <v>0</v>
      </c>
      <c r="G42" s="85">
        <f>IFERROR(D42/D6,"")</f>
        <v/>
      </c>
      <c r="H42" s="83" t="inlineStr"/>
      <c r="I42" s="84">
        <f>IF(J42="","",J42-K42)</f>
        <v/>
      </c>
      <c r="J42" s="84" t="inlineStr"/>
      <c r="K42" s="84" t="inlineStr"/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55QNED85A3C</t>
        </is>
      </c>
      <c r="N43" s="84">
        <f>IF(O43="","",O43-P43)</f>
        <v/>
      </c>
      <c r="O43" s="84" t="n">
        <v>469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499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899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599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666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499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449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409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399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379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379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1749.95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1399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/>
      <c r="D56" s="95">
        <f>IF(E56="","",E56-F56)</f>
        <v/>
      </c>
      <c r="E56" s="89" t="inlineStr"/>
      <c r="F56" s="89" t="inlineStr"/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799.95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929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749.95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1449.95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579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/>
      <c r="D65" s="89">
        <f>IF(E65="","",E65-F65)</f>
        <v/>
      </c>
      <c r="E65" s="89" t="inlineStr"/>
      <c r="F65" s="89" t="inlineStr"/>
      <c r="G65" s="90" t="inlineStr"/>
      <c r="H65" s="125" t="inlineStr">
        <is>
          <t>QE85Q8F</t>
        </is>
      </c>
      <c r="I65" s="89">
        <f>IF(J65="","",J65-K65)</f>
        <v/>
      </c>
      <c r="J65" s="89" t="n">
        <v>1499.95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1117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999.95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669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679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459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499.95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716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/>
      <c r="D70" s="95">
        <f>IF(E70="","",E70-F70)</f>
        <v/>
      </c>
      <c r="E70" s="89" t="inlineStr"/>
      <c r="F70" s="89" t="inlineStr"/>
      <c r="G70" s="90" t="inlineStr"/>
      <c r="H70" s="125" t="inlineStr">
        <is>
          <t>QE43Q8FAAUXXN</t>
        </is>
      </c>
      <c r="I70" s="95">
        <f>IF(J70="","",J70-K70)</f>
        <v/>
      </c>
      <c r="J70" s="89" t="n">
        <v>449.95</v>
      </c>
      <c r="K70" s="89" t="n">
        <v>0</v>
      </c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1434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QE65Q7F5AU</t>
        </is>
      </c>
      <c r="N74" s="89">
        <f>IF(O74="","",O74-P74)</f>
        <v/>
      </c>
      <c r="O74" s="89" t="n">
        <v>1367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469.95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479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600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999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799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449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362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321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43UA73003LA</t>
        </is>
      </c>
      <c r="N84" s="84">
        <f>IF(O84="","",O84-P84)</f>
        <v/>
      </c>
      <c r="O84" s="84" t="n">
        <v>251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999.95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746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1013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569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459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399.95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671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407</v>
      </c>
      <c r="F90" s="89" t="n">
        <v>0</v>
      </c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/>
      <c r="D91" s="89">
        <f>IF(E91="","",E91-F91)</f>
        <v/>
      </c>
      <c r="E91" s="89" t="inlineStr"/>
      <c r="F91" s="89" t="inlineStr"/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OLED65G69LS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4499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4499.95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3499.95</v>
      </c>
      <c r="K10" s="84" t="n">
        <v>0</v>
      </c>
      <c r="L10" s="85">
        <f>IFERROR(I10/I5,"")</f>
        <v/>
      </c>
      <c r="M10" s="83" t="inlineStr">
        <is>
          <t>OLED77C6ELB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2599.95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2599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1799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OLED55C6ELB</t>
        </is>
      </c>
      <c r="N12" s="84">
        <f>IF(O12="","",O12-P12)</f>
        <v/>
      </c>
      <c r="O12" s="84" t="n">
        <v>1799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OLED48C6ELB</t>
        </is>
      </c>
      <c r="N13" s="84">
        <f>IF(O13="","",O13-P13)</f>
        <v/>
      </c>
      <c r="O13" s="84" t="n">
        <v>1599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1499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3699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2999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2399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1599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1399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5266.05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6717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3279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2405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/>
      <c r="N28" s="89">
        <f>IF(O28="","",O28-P28)</f>
        <v/>
      </c>
      <c r="O28" s="89" t="inlineStr"/>
      <c r="P28" s="89" t="inlineStr"/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/>
      <c r="N29" s="89">
        <f>IF(O29="","",O29-P29)</f>
        <v/>
      </c>
      <c r="O29" s="89" t="inlineStr"/>
      <c r="P29" s="89" t="inlineStr"/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2405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4157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4999.95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4049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3205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3176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2343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2302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1729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1743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1529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1519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1499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1469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4799.95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4519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3299.95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3099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2499.95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2219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1313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4999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2999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/>
      <c r="N48" s="89">
        <f>IF(O48="","",O48-P48)</f>
        <v/>
      </c>
      <c r="O48" s="89" t="inlineStr"/>
      <c r="P48" s="89" t="inlineStr"/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1999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2399.95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/>
      <c r="N50" s="95">
        <f>IF(O50="","",O50-P50)</f>
        <v/>
      </c>
      <c r="O50" s="96" t="inlineStr"/>
      <c r="P50" s="96" t="inlineStr"/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/>
      <c r="N51" s="89">
        <f>IF(O51="","",O51-P51)</f>
        <v/>
      </c>
      <c r="O51" s="89" t="inlineStr"/>
      <c r="P51" s="89" t="inlineStr"/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949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1099.95</v>
      </c>
      <c r="K52" s="89" t="n">
        <v>0</v>
      </c>
      <c r="L52" s="90">
        <f>IFERROR(I52/I7,"")</f>
        <v/>
      </c>
      <c r="M52" s="88" t="inlineStr"/>
      <c r="N52" s="89">
        <f>IF(O52="","",O52-P52)</f>
        <v/>
      </c>
      <c r="O52" s="89" t="inlineStr"/>
      <c r="P52" s="89" t="inlineStr"/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/>
      <c r="D59" s="84">
        <f>IF(E59="","",E59-F59)</f>
        <v/>
      </c>
      <c r="E59" s="84" t="inlineStr"/>
      <c r="F59" s="84" t="inlineStr"/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1849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1099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999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999.95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/>
      <c r="D64" s="84">
        <f>IF(E64="","",E64-F64)</f>
        <v/>
      </c>
      <c r="E64" s="84" t="inlineStr"/>
      <c r="F64" s="84" t="inlineStr"/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699.95</v>
      </c>
      <c r="K64" s="84" t="n">
        <v>0</v>
      </c>
      <c r="L64" s="85">
        <f>IFERROR(I64/I7,"")</f>
        <v/>
      </c>
      <c r="M64" s="83" t="inlineStr"/>
      <c r="N64" s="84">
        <f>IF(O64="","",O64-P64)</f>
        <v/>
      </c>
      <c r="O64" s="84" t="inlineStr"/>
      <c r="P64" s="84" t="inlineStr"/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1349</v>
      </c>
      <c r="F74" s="84" t="n">
        <v>0</v>
      </c>
      <c r="G74" s="85">
        <f>IFERROR(D74/D5,"")</f>
        <v/>
      </c>
      <c r="H74" s="83" t="inlineStr">
        <is>
          <t>75QNED7EB</t>
        </is>
      </c>
      <c r="I74" s="84">
        <f>IF(J74="","",J74-K74)</f>
        <v/>
      </c>
      <c r="J74" s="84" t="n">
        <v>699.95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853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>
        <is>
          <t>65QNED7EB3C</t>
        </is>
      </c>
      <c r="N75" s="84">
        <f>IF(O75="","",O75-P75)</f>
        <v/>
      </c>
      <c r="O75" s="84" t="n">
        <v>592</v>
      </c>
      <c r="P75" s="84" t="n">
        <v>0</v>
      </c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1199.95</v>
      </c>
      <c r="K76" s="84" t="n">
        <v>0</v>
      </c>
      <c r="L76" s="85">
        <f>IFERROR(I76/I7,"")</f>
        <v/>
      </c>
      <c r="M76" s="83" t="inlineStr">
        <is>
          <t>55QNED7EB3C</t>
        </is>
      </c>
      <c r="N76" s="103">
        <f>IF(O76="","",O76-P76)</f>
        <v/>
      </c>
      <c r="O76" s="84" t="n">
        <v>449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50QNED7EB</t>
        </is>
      </c>
      <c r="I77" s="84">
        <f>IF(J77="","",J77-K77)</f>
        <v/>
      </c>
      <c r="J77" s="84" t="n">
        <v>349.95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358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325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5266.05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6717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5497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4277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3439</v>
      </c>
      <c r="F85" s="89" t="n">
        <v>0</v>
      </c>
      <c r="G85" s="90" t="inlineStr"/>
      <c r="H85" s="125" t="inlineStr">
        <is>
          <t>MRE85R95HATXZU</t>
        </is>
      </c>
      <c r="I85" s="89">
        <f>IF(J85="","",J85-K85)</f>
        <v/>
      </c>
      <c r="J85" s="89" t="n">
        <v>5266.05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3342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2392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2389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1912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1999.95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1912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1500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1499.95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1300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2999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2729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/>
      <c r="N93" s="89">
        <f>IF(O93="","",O93-P93)</f>
        <v/>
      </c>
      <c r="O93" s="89" t="inlineStr"/>
      <c r="P93" s="89" t="inlineStr"/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1525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1799.95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1493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1245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1499.95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1215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1069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1299.95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1042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1300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1300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1199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1176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799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UE65M70HAUXXN</t>
        </is>
      </c>
      <c r="N114" s="89">
        <f>IF(O114="","",O114-P114)</f>
        <v/>
      </c>
      <c r="O114" s="89" t="n">
        <v>796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/>
      <c r="D115" s="89">
        <f>IF(E115="","",E115-F115)</f>
        <v/>
      </c>
      <c r="E115" s="89" t="inlineStr"/>
      <c r="F115" s="89" t="inlineStr"/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679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599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1099.95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599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549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999.95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533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1507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1142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>
        <is>
          <t>UE65U8090HUXXN</t>
        </is>
      </c>
      <c r="N128" s="96">
        <f>IF(O128="","",O128-P128)</f>
        <v/>
      </c>
      <c r="O128" s="89" t="n">
        <v>753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699.95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639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>
        <is>
          <t>U8090H</t>
        </is>
      </c>
      <c r="D130" s="89">
        <f>IF(E130="","",E130-F130)</f>
        <v/>
      </c>
      <c r="E130" s="89" t="n">
        <v>579</v>
      </c>
      <c r="F130" s="89" t="n">
        <v>0</v>
      </c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509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2026-07-27T21:31:43Z</dcterms:modified>
  <cp:lastModifiedBy>박대호/책임/TV유럽영업2팀</cp:lastModifiedBy>
</cp:coreProperties>
</file>