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1750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1329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OLED83C59LB</t>
        </is>
      </c>
      <c r="N9" s="84">
        <f>IF(O9="","",O9-P9)</f>
        <v/>
      </c>
      <c r="O9" s="84" t="n">
        <v>5700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1799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919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799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887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699</v>
      </c>
      <c r="F14" s="84" t="n">
        <v>0</v>
      </c>
      <c r="G14" s="85">
        <f>IFERROR(D14/D7,"")</f>
        <v/>
      </c>
      <c r="H14" s="83" t="inlineStr"/>
      <c r="I14" s="84">
        <f>IF(J14="","",J14-K14)</f>
        <v/>
      </c>
      <c r="J14" s="84" t="inlineStr"/>
      <c r="K14" s="84" t="inlineStr"/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2099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699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/>
      <c r="N20" s="84">
        <f>IF(O20="","",O20-P20)</f>
        <v/>
      </c>
      <c r="O20" s="84" t="inlineStr"/>
      <c r="P20" s="84" t="inlineStr"/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4490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3159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1754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2299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949.95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899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1199.95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/>
      <c r="N34" s="89">
        <f>IF(O34="","",O34-P34)</f>
        <v/>
      </c>
      <c r="O34" s="89" t="inlineStr"/>
      <c r="P34" s="89" t="inlineStr"/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2111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519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2027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649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2099.95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1890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1429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999.95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1699.95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1325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1299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929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1449.95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649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539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679.95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858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459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1228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649.95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/>
      <c r="D82" s="84">
        <f>IF(E82="","",E82-F82)</f>
        <v/>
      </c>
      <c r="E82" s="84" t="inlineStr"/>
      <c r="F82" s="84" t="inlineStr"/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307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385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447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1179.95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762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799.95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1088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649.95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499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379</v>
      </c>
      <c r="F91" s="89" t="n">
        <v>0</v>
      </c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1000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700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3429</v>
      </c>
      <c r="P6" s="84" t="n">
        <v>500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300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1838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1716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2496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2003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1261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979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1099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812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500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6718</v>
      </c>
      <c r="P22" s="89" t="n">
        <v>500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3849.95</v>
      </c>
      <c r="K23" s="89" t="n">
        <v>500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3800</v>
      </c>
      <c r="P23" s="89" t="n">
        <v>500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300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2600</v>
      </c>
      <c r="P24" s="89" t="n">
        <v>300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200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2000</v>
      </c>
      <c r="P25" s="89" t="n">
        <v>200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QE77S95HFTXZU</t>
        </is>
      </c>
      <c r="I28" s="109">
        <f>IF(J28="","",J28-K28)</f>
        <v/>
      </c>
      <c r="J28" s="89" t="n">
        <v>4459</v>
      </c>
      <c r="K28" s="89" t="n">
        <v>0</v>
      </c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4329</v>
      </c>
      <c r="P28" s="89" t="n">
        <v>500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300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3338</v>
      </c>
      <c r="P29" s="89" t="n">
        <v>300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3058</v>
      </c>
      <c r="P30" s="96" t="n">
        <v>200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3199.95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2499.95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1700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1399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1315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1199.95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1099.95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1100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3299.95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3669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1699.95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1699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2082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1594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1999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1999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1599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1609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1299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55MRGB86B9A</t>
        </is>
      </c>
      <c r="N51" s="89">
        <f>IF(O51="","",O51-P51)</f>
        <v/>
      </c>
      <c r="O51" s="89" t="n">
        <v>1299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769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849.95</v>
      </c>
      <c r="K52" s="89" t="n">
        <v>0</v>
      </c>
      <c r="L52" s="90">
        <f>IFERROR(I52/I7,"")</f>
        <v/>
      </c>
      <c r="M52" s="88" t="inlineStr">
        <is>
          <t>50MRGB86B9A</t>
        </is>
      </c>
      <c r="N52" s="89">
        <f>IF(O52="","",O52-P52)</f>
        <v/>
      </c>
      <c r="O52" s="89" t="n">
        <v>799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1599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1661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1399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999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699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649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>
        <is>
          <t>50QNED86B6B</t>
        </is>
      </c>
      <c r="N63" s="84">
        <f>IF(O63="","",O63-P63)</f>
        <v/>
      </c>
      <c r="O63" s="84" t="n">
        <v>670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489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862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>
        <is>
          <t>65QNED71B6B</t>
        </is>
      </c>
      <c r="D68" s="103">
        <f>IF(E68="","",E68-F68)</f>
        <v/>
      </c>
      <c r="E68" s="104" t="n">
        <v>699</v>
      </c>
      <c r="F68" s="104" t="n">
        <v>0</v>
      </c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>
        <is>
          <t>55QNED71B6B</t>
        </is>
      </c>
      <c r="D69" s="84">
        <f>IF(E69="","",E69-F69)</f>
        <v/>
      </c>
      <c r="E69" s="84" t="n">
        <v>499</v>
      </c>
      <c r="F69" s="84" t="n">
        <v>0</v>
      </c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>
        <is>
          <t>50QNED71B6B</t>
        </is>
      </c>
      <c r="D70" s="84">
        <f>IF(E70="","",E70-F70)</f>
        <v/>
      </c>
      <c r="E70" s="84" t="n">
        <v>449</v>
      </c>
      <c r="F70" s="84" t="n">
        <v>0</v>
      </c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>
        <is>
          <t>43QNED71B6B</t>
        </is>
      </c>
      <c r="D71" s="84">
        <f>IF(E71="","",E71-F71)</f>
        <v/>
      </c>
      <c r="E71" s="84" t="n">
        <v>399</v>
      </c>
      <c r="F71" s="84" t="n">
        <v>0</v>
      </c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>
        <is>
          <t>85QNED70B6A</t>
        </is>
      </c>
      <c r="D73" s="84">
        <f>IF(E73="","",E73-F73)</f>
        <v/>
      </c>
      <c r="E73" s="84" t="n">
        <v>1299</v>
      </c>
      <c r="F73" s="84" t="n">
        <v>0</v>
      </c>
      <c r="G73" s="85">
        <f>IFERROR(D73/D4,"")</f>
        <v/>
      </c>
      <c r="H73" s="83" t="inlineStr">
        <is>
          <t>85QNED72B</t>
        </is>
      </c>
      <c r="I73" s="84">
        <f>IF(J73="","",J73-K73)</f>
        <v/>
      </c>
      <c r="J73" s="84" t="n">
        <v>1599.95</v>
      </c>
      <c r="K73" s="84" t="n">
        <v>0</v>
      </c>
      <c r="L73" s="85">
        <f>IFERROR(I73/I4,"")</f>
        <v/>
      </c>
      <c r="M73" s="83" t="inlineStr">
        <is>
          <t>85QNED70B6A</t>
        </is>
      </c>
      <c r="N73" s="84">
        <f>IF(O73="","",O73-P73)</f>
        <v/>
      </c>
      <c r="O73" s="84" t="n">
        <v>1829</v>
      </c>
      <c r="P73" s="84" t="n">
        <v>0</v>
      </c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999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1010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592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539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6718</v>
      </c>
      <c r="P80" s="89" t="n">
        <v>500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500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5498</v>
      </c>
      <c r="P81" s="89" t="n">
        <v>500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4278</v>
      </c>
      <c r="P82" s="89" t="n">
        <v>300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2879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2946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1999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2000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1599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1600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1200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1200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4330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4399.95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3299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2000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1999.95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1999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1349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1655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1078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976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1201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1099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1099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469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399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>
        <is>
          <t>U8090H</t>
        </is>
      </c>
      <c r="D126" s="89">
        <f>IF(E126="","",E126-F126)</f>
        <v/>
      </c>
      <c r="E126" s="89" t="n">
        <v>1078</v>
      </c>
      <c r="F126" s="89" t="n">
        <v>0</v>
      </c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1100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449.95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862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2026-09-07T00:29:17Z</dcterms:modified>
  <cp:lastModifiedBy>박대호/책임/TV유럽영업2팀</cp:lastModifiedBy>
</cp:coreProperties>
</file>