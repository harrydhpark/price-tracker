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1000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1750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1329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1034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OLED83C59LB</t>
        </is>
      </c>
      <c r="N9" s="84">
        <f>IF(O9="","",O9-P9)</f>
        <v/>
      </c>
      <c r="O9" s="84" t="n">
        <v>5700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1779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899.95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887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/>
      <c r="I14" s="84">
        <f>IF(J14="","",J14-K14)</f>
        <v/>
      </c>
      <c r="J14" s="84" t="inlineStr"/>
      <c r="K14" s="84" t="inlineStr"/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2099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1049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/>
      <c r="N20" s="84">
        <f>IF(O20="","",O20-P20)</f>
        <v/>
      </c>
      <c r="O20" s="84" t="inlineStr"/>
      <c r="P20" s="84" t="inlineStr"/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4490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3159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2593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1754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2299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1799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869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949.95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1199.95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/>
      <c r="N34" s="89">
        <f>IF(O34="","",O34-P34)</f>
        <v/>
      </c>
      <c r="O34" s="89" t="inlineStr"/>
      <c r="P34" s="89" t="inlineStr"/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/>
      <c r="D37" s="89">
        <f>IF(E37="","",E37-F37)</f>
        <v/>
      </c>
      <c r="E37" s="89" t="inlineStr"/>
      <c r="F37" s="89" t="inlineStr"/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2111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/>
      <c r="D43" s="84">
        <f>IF(E43="","",E43-F43)</f>
        <v/>
      </c>
      <c r="E43" s="84" t="inlineStr"/>
      <c r="F43" s="84" t="inlineStr"/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519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2027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649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/>
      <c r="D49" s="84">
        <f>IF(E49="","",E49-F49)</f>
        <v/>
      </c>
      <c r="E49" s="84" t="inlineStr"/>
      <c r="F49" s="84" t="inlineStr"/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/>
      <c r="D52" s="84">
        <f>IF(E52="","",E52-F52)</f>
        <v/>
      </c>
      <c r="E52" s="84" t="inlineStr"/>
      <c r="F52" s="84" t="inlineStr"/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2099.95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1890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/>
      <c r="D58" s="95">
        <f>IF(E58="","",E58-F58)</f>
        <v/>
      </c>
      <c r="E58" s="89" t="inlineStr"/>
      <c r="F58" s="89" t="inlineStr"/>
      <c r="G58" s="90" t="inlineStr"/>
      <c r="H58" s="125" t="inlineStr">
        <is>
          <t>QE50QN80F</t>
        </is>
      </c>
      <c r="I58" s="95">
        <f>IF(J58="","",J58-K58)</f>
        <v/>
      </c>
      <c r="J58" s="89" t="n">
        <v>999.95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1699.95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1325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1446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1449.95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659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518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679.95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858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1228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/>
      <c r="D76" s="89">
        <f>IF(E76="","",E76-F76)</f>
        <v/>
      </c>
      <c r="E76" s="89" t="inlineStr"/>
      <c r="F76" s="89" t="inlineStr"/>
      <c r="G76" s="90" t="inlineStr"/>
      <c r="H76" s="125" t="inlineStr">
        <is>
          <t>QE50Q7F</t>
        </is>
      </c>
      <c r="I76" s="89">
        <f>IF(J76="","",J76-K76)</f>
        <v/>
      </c>
      <c r="J76" s="89" t="n">
        <v>649.95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609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307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385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447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1179.95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949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748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799.95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1088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649.95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549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439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379</v>
      </c>
      <c r="F91" s="89" t="n">
        <v>0</v>
      </c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5999</v>
      </c>
      <c r="P4" s="84" t="n">
        <v>1000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700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3429</v>
      </c>
      <c r="P6" s="84" t="n">
        <v>500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300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3799</v>
      </c>
      <c r="F9" s="84" t="n">
        <v>0</v>
      </c>
      <c r="G9" s="85">
        <f>IFERROR(D9/D4,"")</f>
        <v/>
      </c>
      <c r="H9" s="83" t="inlineStr">
        <is>
          <t>OLED83C67</t>
        </is>
      </c>
      <c r="I9" s="107">
        <f>IF(J9="","",J9-K9)</f>
        <v/>
      </c>
      <c r="J9" s="84" t="n">
        <v>3799.95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2499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1999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1999.95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1999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1599.95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1838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1716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2496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2003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1261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979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1099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812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6718</v>
      </c>
      <c r="P22" s="89" t="n">
        <v>500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3849.95</v>
      </c>
      <c r="K23" s="89" t="n">
        <v>500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3800</v>
      </c>
      <c r="P23" s="89" t="n">
        <v>500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300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2600</v>
      </c>
      <c r="P24" s="89" t="n">
        <v>300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200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2000</v>
      </c>
      <c r="P25" s="89" t="n">
        <v>200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4329</v>
      </c>
      <c r="P28" s="89" t="n">
        <v>500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300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3338</v>
      </c>
      <c r="P29" s="89" t="n">
        <v>300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3058</v>
      </c>
      <c r="P30" s="96" t="n">
        <v>200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3199.95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3199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2499.95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2500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1699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1700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1375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1315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1199.95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1139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1149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1099.95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1100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3299.95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3093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3669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1699.95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1699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1594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4299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1999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1999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1599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>
        <is>
          <t>75MRGB87B9B</t>
        </is>
      </c>
      <c r="N49" s="89">
        <f>IF(O49="","",O49-P49)</f>
        <v/>
      </c>
      <c r="O49" s="89" t="n">
        <v>1609</v>
      </c>
      <c r="P49" s="89" t="n">
        <v>0</v>
      </c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1349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1199.95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1200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999.95</v>
      </c>
      <c r="K51" s="89" t="n">
        <v>0</v>
      </c>
      <c r="L51" s="90">
        <f>IFERROR(I51/I7,"")</f>
        <v/>
      </c>
      <c r="M51" s="88" t="inlineStr">
        <is>
          <t>55MRGB86B9A</t>
        </is>
      </c>
      <c r="N51" s="89">
        <f>IF(O51="","",O51-P51)</f>
        <v/>
      </c>
      <c r="O51" s="89" t="n">
        <v>1299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849.95</v>
      </c>
      <c r="K52" s="89" t="n">
        <v>0</v>
      </c>
      <c r="L52" s="90">
        <f>IFERROR(I52/I7,"")</f>
        <v/>
      </c>
      <c r="M52" s="88" t="inlineStr">
        <is>
          <t>50MRGB86B9A</t>
        </is>
      </c>
      <c r="N52" s="89">
        <f>IF(O52="","",O52-P52)</f>
        <v/>
      </c>
      <c r="O52" s="89" t="n">
        <v>799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1599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>
        <is>
          <t>86QNED86B6B</t>
        </is>
      </c>
      <c r="N59" s="84">
        <f>IF(O59="","",O59-P59)</f>
        <v/>
      </c>
      <c r="O59" s="84" t="n">
        <v>1661</v>
      </c>
      <c r="P59" s="84" t="n">
        <v>0</v>
      </c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1399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999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699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649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>
        <is>
          <t>50QNED86B6B</t>
        </is>
      </c>
      <c r="N63" s="84">
        <f>IF(O63="","",O63-P63)</f>
        <v/>
      </c>
      <c r="O63" s="84" t="n">
        <v>670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429</v>
      </c>
      <c r="F64" s="84" t="n">
        <v>0</v>
      </c>
      <c r="G64" s="85">
        <f>IFERROR(D64/D7,"")</f>
        <v/>
      </c>
      <c r="H64" s="83" t="inlineStr"/>
      <c r="I64" s="84">
        <f>IF(J64="","",J64-K64)</f>
        <v/>
      </c>
      <c r="J64" s="84" t="inlineStr"/>
      <c r="K64" s="84" t="inlineStr"/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862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>
        <is>
          <t>65QNED71B6B</t>
        </is>
      </c>
      <c r="D68" s="103">
        <f>IF(E68="","",E68-F68)</f>
        <v/>
      </c>
      <c r="E68" s="104" t="n">
        <v>729</v>
      </c>
      <c r="F68" s="104" t="n">
        <v>0</v>
      </c>
      <c r="G68" s="85">
        <f>IFERROR(D68/D6,"")</f>
        <v/>
      </c>
      <c r="H68" s="83" t="inlineStr">
        <is>
          <t>65QNED72B</t>
        </is>
      </c>
      <c r="I68" s="103">
        <f>IF(J68="","",J68-K68)</f>
        <v/>
      </c>
      <c r="J68" s="104" t="n">
        <v>799.95</v>
      </c>
      <c r="K68" s="104" t="n">
        <v>0</v>
      </c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>
        <is>
          <t>55QNED71B6B</t>
        </is>
      </c>
      <c r="D69" s="84">
        <f>IF(E69="","",E69-F69)</f>
        <v/>
      </c>
      <c r="E69" s="84" t="n">
        <v>499</v>
      </c>
      <c r="F69" s="84" t="n">
        <v>0</v>
      </c>
      <c r="G69" s="85">
        <f>IFERROR(D69/D7,"")</f>
        <v/>
      </c>
      <c r="H69" s="83" t="inlineStr">
        <is>
          <t>55QNED72B</t>
        </is>
      </c>
      <c r="I69" s="84">
        <f>IF(J69="","",J69-K69)</f>
        <v/>
      </c>
      <c r="J69" s="84" t="n">
        <v>599.95</v>
      </c>
      <c r="K69" s="84" t="n">
        <v>0</v>
      </c>
      <c r="L69" s="85">
        <f>IFERROR(I69/I7,"")</f>
        <v/>
      </c>
      <c r="M69" s="83" t="inlineStr">
        <is>
          <t>55QNED70B6C</t>
        </is>
      </c>
      <c r="N69" s="84">
        <f>IF(O69="","",O69-P69)</f>
        <v/>
      </c>
      <c r="O69" s="84" t="n">
        <v>539</v>
      </c>
      <c r="P69" s="84" t="n">
        <v>0</v>
      </c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>
        <is>
          <t>50QNED71B6B</t>
        </is>
      </c>
      <c r="D70" s="84">
        <f>IF(E70="","",E70-F70)</f>
        <v/>
      </c>
      <c r="E70" s="84" t="n">
        <v>449</v>
      </c>
      <c r="F70" s="84" t="n">
        <v>0</v>
      </c>
      <c r="G70" s="85">
        <f>IFERROR(D70/D7,"")</f>
        <v/>
      </c>
      <c r="H70" s="83" t="inlineStr">
        <is>
          <t>50QNED72B</t>
        </is>
      </c>
      <c r="I70" s="84">
        <f>IF(J70="","",J70-K70)</f>
        <v/>
      </c>
      <c r="J70" s="84" t="n">
        <v>559.95</v>
      </c>
      <c r="K70" s="84" t="n">
        <v>0</v>
      </c>
      <c r="L70" s="85">
        <f>IFERROR(I70/I7,"")</f>
        <v/>
      </c>
      <c r="M70" s="83" t="inlineStr">
        <is>
          <t>50QNED70B6C</t>
        </is>
      </c>
      <c r="N70" s="84">
        <f>IF(O70="","",O70-P70)</f>
        <v/>
      </c>
      <c r="O70" s="84" t="n">
        <v>449</v>
      </c>
      <c r="P70" s="84" t="n">
        <v>0</v>
      </c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>
        <is>
          <t>43QNED71B6B</t>
        </is>
      </c>
      <c r="D71" s="84">
        <f>IF(E71="","",E71-F71)</f>
        <v/>
      </c>
      <c r="E71" s="84" t="n">
        <v>399</v>
      </c>
      <c r="F71" s="84" t="n">
        <v>0</v>
      </c>
      <c r="G71" s="85">
        <f>IFERROR(D71/D7,"")</f>
        <v/>
      </c>
      <c r="H71" s="83" t="inlineStr">
        <is>
          <t>43QNED72B</t>
        </is>
      </c>
      <c r="I71" s="84">
        <f>IF(J71="","",J71-K71)</f>
        <v/>
      </c>
      <c r="J71" s="84" t="n">
        <v>499.95</v>
      </c>
      <c r="K71" s="84" t="n">
        <v>0</v>
      </c>
      <c r="L71" s="85">
        <f>IFERROR(I71/I7,"")</f>
        <v/>
      </c>
      <c r="M71" s="83" t="inlineStr">
        <is>
          <t>43QNED7EB3C</t>
        </is>
      </c>
      <c r="N71" s="84">
        <f>IF(O71="","",O71-P71)</f>
        <v/>
      </c>
      <c r="O71" s="84" t="n">
        <v>344</v>
      </c>
      <c r="P71" s="84" t="n">
        <v>0</v>
      </c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>
        <is>
          <t>85QNED70B6A</t>
        </is>
      </c>
      <c r="D73" s="84">
        <f>IF(E73="","",E73-F73)</f>
        <v/>
      </c>
      <c r="E73" s="84" t="n">
        <v>1299</v>
      </c>
      <c r="F73" s="84" t="n">
        <v>0</v>
      </c>
      <c r="G73" s="85">
        <f>IFERROR(D73/D4,"")</f>
        <v/>
      </c>
      <c r="H73" s="83" t="inlineStr">
        <is>
          <t>85QNED72B</t>
        </is>
      </c>
      <c r="I73" s="84">
        <f>IF(J73="","",J73-K73)</f>
        <v/>
      </c>
      <c r="J73" s="84" t="n">
        <v>1499.95</v>
      </c>
      <c r="K73" s="84" t="n">
        <v>0</v>
      </c>
      <c r="L73" s="85">
        <f>IFERROR(I73/I4,"")</f>
        <v/>
      </c>
      <c r="M73" s="83" t="inlineStr">
        <is>
          <t>85QNED70B6A</t>
        </is>
      </c>
      <c r="N73" s="84">
        <f>IF(O73="","",O73-P73)</f>
        <v/>
      </c>
      <c r="O73" s="84" t="n">
        <v>1829</v>
      </c>
      <c r="P73" s="84" t="n">
        <v>0</v>
      </c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999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1299.95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1010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539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449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344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6718</v>
      </c>
      <c r="P80" s="89" t="n">
        <v>500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500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5498</v>
      </c>
      <c r="P81" s="89" t="n">
        <v>500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4278</v>
      </c>
      <c r="P82" s="89" t="n">
        <v>300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2879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2946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2000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2000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1600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1600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1200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1200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4376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4399.95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3299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2543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1999.95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1999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2815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1349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1655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1078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1078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939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1201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1099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1099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399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399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>
        <is>
          <t>85NU800B6LA</t>
        </is>
      </c>
      <c r="N119" s="103">
        <f>IF(O119="","",O119-P119)</f>
        <v/>
      </c>
      <c r="O119" s="104" t="n">
        <v>899</v>
      </c>
      <c r="P119" s="104" t="n">
        <v>0</v>
      </c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>
        <is>
          <t>75NU800B6LA</t>
        </is>
      </c>
      <c r="N120" s="84">
        <f>IF(O120="","",O120-P120)</f>
        <v/>
      </c>
      <c r="O120" s="84" t="n">
        <v>706</v>
      </c>
      <c r="P120" s="84" t="n">
        <v>0</v>
      </c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>
        <is>
          <t>65NU800B6LA</t>
        </is>
      </c>
      <c r="N121" s="84">
        <f>IF(O121="","",O121-P121)</f>
        <v/>
      </c>
      <c r="O121" s="84" t="n">
        <v>543</v>
      </c>
      <c r="P121" s="84" t="n">
        <v>0</v>
      </c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>
        <is>
          <t>55NU800B6LA</t>
        </is>
      </c>
      <c r="N122" s="84">
        <f>IF(O122="","",O122-P122)</f>
        <v/>
      </c>
      <c r="O122" s="84" t="n">
        <v>398</v>
      </c>
      <c r="P122" s="84" t="n">
        <v>0</v>
      </c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>
        <is>
          <t>50NU800B6LC</t>
        </is>
      </c>
      <c r="N123" s="104">
        <f>IF(O123="","",O123-P123)</f>
        <v/>
      </c>
      <c r="O123" s="104" t="n">
        <v>329</v>
      </c>
      <c r="P123" s="104" t="n">
        <v>0</v>
      </c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>
        <is>
          <t>43NU800B6LC</t>
        </is>
      </c>
      <c r="N124" s="104">
        <f>IF(O124="","",O124-P124)</f>
        <v/>
      </c>
      <c r="O124" s="104" t="n">
        <v>309</v>
      </c>
      <c r="P124" s="104" t="n">
        <v>0</v>
      </c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>
        <is>
          <t>UE85U8090H</t>
        </is>
      </c>
      <c r="D126" s="89">
        <f>IF(E126="","",E126-F126)</f>
        <v/>
      </c>
      <c r="E126" s="89" t="n">
        <v>1078</v>
      </c>
      <c r="F126" s="89" t="n">
        <v>0</v>
      </c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1100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>
        <is>
          <t>UE75U8090H</t>
        </is>
      </c>
      <c r="D127" s="89">
        <f>IF(E127="","",E127-F127)</f>
        <v/>
      </c>
      <c r="E127" s="89" t="n">
        <v>850</v>
      </c>
      <c r="F127" s="89" t="n">
        <v>0</v>
      </c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UE65U8090H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>
        <is>
          <t>UE55U8090H</t>
        </is>
      </c>
      <c r="D129" s="89">
        <f>IF(E129="","",E129-F129)</f>
        <v/>
      </c>
      <c r="E129" s="89" t="n">
        <v>449</v>
      </c>
      <c r="F129" s="89" t="n">
        <v>0</v>
      </c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449.95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862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UE50U8090H</t>
        </is>
      </c>
      <c r="D130" s="89">
        <f>IF(E130="","",E130-F130)</f>
        <v/>
      </c>
      <c r="E130" s="89" t="n">
        <v>439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439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UE43U8090H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2026-09-09T23:36:20Z</dcterms:modified>
  <cp:lastModifiedBy>박대호/책임/TV유럽영업2팀</cp:lastModifiedBy>
</cp:coreProperties>
</file>