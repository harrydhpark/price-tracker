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2399</v>
      </c>
      <c r="F5" s="84" t="n">
        <v>1000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2499.95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OLED65G57LW</t>
        </is>
      </c>
      <c r="D6" s="84">
        <f>IF(E6="","",E6-F6)</f>
        <v/>
      </c>
      <c r="E6" s="84" t="n">
        <v>1749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1750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1329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1249.95</v>
      </c>
      <c r="K7" s="84" t="n">
        <v>0</v>
      </c>
      <c r="L7" s="85">
        <f>IFERROR(I7/I7,"")</f>
        <v/>
      </c>
      <c r="M7" s="83" t="inlineStr">
        <is>
          <t>OLED55G56LS</t>
        </is>
      </c>
      <c r="N7" s="84">
        <f>IF(O7="","",O7-P7)</f>
        <v/>
      </c>
      <c r="O7" s="84" t="n">
        <v>1030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2109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2199.95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2200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1779</v>
      </c>
      <c r="F10" s="84" t="n">
        <v>0</v>
      </c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OLED77C55LA</t>
        </is>
      </c>
      <c r="N10" s="84">
        <f>IF(O10="","",O10-P10)</f>
        <v/>
      </c>
      <c r="O10" s="84" t="n">
        <v>2627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1239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1249.95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899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899.95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949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819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679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699.95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2100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1669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1049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/>
      <c r="N19" s="84">
        <f>IF(O19="","",O19-P19)</f>
        <v/>
      </c>
      <c r="O19" s="84" t="inlineStr"/>
      <c r="P19" s="84" t="inlineStr"/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649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/>
      <c r="N20" s="84">
        <f>IF(O20="","",O20-P20)</f>
        <v/>
      </c>
      <c r="O20" s="84" t="inlineStr"/>
      <c r="P20" s="84" t="inlineStr"/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5706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4499.95</v>
      </c>
      <c r="K22" s="89" t="n">
        <v>0</v>
      </c>
      <c r="L22" s="90" t="inlineStr"/>
      <c r="M22" s="125" t="inlineStr">
        <is>
          <t>QE83S95F</t>
        </is>
      </c>
      <c r="N22" s="89">
        <f>IF(O22="","",O22-P22)</f>
        <v/>
      </c>
      <c r="O22" s="89" t="n">
        <v>4450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4787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3499.95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3159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3363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2499.95</v>
      </c>
      <c r="K24" s="89" t="n">
        <v>0</v>
      </c>
      <c r="L24" s="90" t="inlineStr"/>
      <c r="M24" s="125" t="inlineStr">
        <is>
          <t>QE65S95F</t>
        </is>
      </c>
      <c r="N24" s="89">
        <f>IF(O24="","",O24-P24)</f>
        <v/>
      </c>
      <c r="O24" s="89" t="n">
        <v>1999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2593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2000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2299</v>
      </c>
      <c r="F27" s="89" t="n">
        <v>0</v>
      </c>
      <c r="G27" s="90" t="inlineStr"/>
      <c r="H27" s="125" t="inlineStr"/>
      <c r="I27" s="89">
        <f>IF(J27="","",J27-K27)</f>
        <v/>
      </c>
      <c r="J27" s="89" t="inlineStr"/>
      <c r="K27" s="89" t="inlineStr"/>
      <c r="L27" s="90" t="inlineStr"/>
      <c r="M27" s="125" t="inlineStr">
        <is>
          <t>QE83S90FAE</t>
        </is>
      </c>
      <c r="N27" s="89">
        <f>IF(O27="","",O27-P27)</f>
        <v/>
      </c>
      <c r="O27" s="89" t="n">
        <v>2299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1749</v>
      </c>
      <c r="F28" s="89" t="n">
        <v>0</v>
      </c>
      <c r="G28" s="90" t="inlineStr"/>
      <c r="H28" s="125" t="inlineStr"/>
      <c r="I28" s="89">
        <f>IF(J28="","",J28-K28)</f>
        <v/>
      </c>
      <c r="J28" s="89" t="inlineStr"/>
      <c r="K28" s="89" t="inlineStr"/>
      <c r="L28" s="90" t="inlineStr"/>
      <c r="M28" s="125" t="inlineStr">
        <is>
          <t>QE77S90FAE</t>
        </is>
      </c>
      <c r="N28" s="89">
        <f>IF(O28="","",O28-P28)</f>
        <v/>
      </c>
      <c r="O28" s="89" t="n">
        <v>1799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1199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869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899.95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899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729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679.95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/>
      <c r="I34" s="89">
        <f>IF(J34="","",J34-K34)</f>
        <v/>
      </c>
      <c r="J34" s="89" t="inlineStr"/>
      <c r="K34" s="89" t="inlineStr"/>
      <c r="L34" s="90" t="inlineStr"/>
      <c r="M34" s="125" t="inlineStr"/>
      <c r="N34" s="89">
        <f>IF(O34="","",O34-P34)</f>
        <v/>
      </c>
      <c r="O34" s="89" t="inlineStr"/>
      <c r="P34" s="89" t="inlineStr"/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1628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/>
      <c r="D37" s="89">
        <f>IF(E37="","",E37-F37)</f>
        <v/>
      </c>
      <c r="E37" s="89" t="inlineStr"/>
      <c r="F37" s="89" t="inlineStr"/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2499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2571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749</v>
      </c>
      <c r="F42" s="84" t="n">
        <v>0</v>
      </c>
      <c r="G42" s="85">
        <f>IFERROR(D42/D6,"")</f>
        <v/>
      </c>
      <c r="H42" s="83" t="inlineStr"/>
      <c r="I42" s="84">
        <f>IF(J42="","",J42-K42)</f>
        <v/>
      </c>
      <c r="J42" s="84" t="inlineStr"/>
      <c r="K42" s="84" t="inlineStr"/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/>
      <c r="D43" s="84">
        <f>IF(E43="","",E43-F43)</f>
        <v/>
      </c>
      <c r="E43" s="84" t="inlineStr"/>
      <c r="F43" s="84" t="inlineStr"/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671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549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2027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75QNED80A3A</t>
        </is>
      </c>
      <c r="N48" s="84">
        <f>IF(O48="","",O48-P48)</f>
        <v/>
      </c>
      <c r="O48" s="84" t="n">
        <v>649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/>
      <c r="D49" s="84">
        <f>IF(E49="","",E49-F49)</f>
        <v/>
      </c>
      <c r="E49" s="84" t="inlineStr"/>
      <c r="F49" s="84" t="inlineStr"/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599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701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499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479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/>
      <c r="D52" s="84">
        <f>IF(E52="","",E52-F52)</f>
        <v/>
      </c>
      <c r="E52" s="84" t="inlineStr"/>
      <c r="F52" s="84" t="inlineStr"/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349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1829.95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2729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1299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>
        <is>
          <t>QE75QN80FAU</t>
        </is>
      </c>
      <c r="N55" s="95">
        <f>IF(O55="","",O55-P55)</f>
        <v/>
      </c>
      <c r="O55" s="96" t="n">
        <v>1503</v>
      </c>
      <c r="P55" s="96" t="n">
        <v>0</v>
      </c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QE65QN80FAU</t>
        </is>
      </c>
      <c r="D56" s="95">
        <f>IF(E56="","",E56-F56)</f>
        <v/>
      </c>
      <c r="E56" s="89" t="n">
        <v>899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1559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739.95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/>
      <c r="D58" s="95">
        <f>IF(E58="","",E58-F58)</f>
        <v/>
      </c>
      <c r="E58" s="89" t="inlineStr"/>
      <c r="F58" s="89" t="inlineStr"/>
      <c r="G58" s="90" t="inlineStr"/>
      <c r="H58" s="125" t="inlineStr">
        <is>
          <t>QE50QN80F</t>
        </is>
      </c>
      <c r="I58" s="95">
        <f>IF(J58="","",J58-K58)</f>
        <v/>
      </c>
      <c r="J58" s="89" t="n">
        <v>779.95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1399.95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1399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949.95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1949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1325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1091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>
        <is>
          <t>QE85Q8FAAU</t>
        </is>
      </c>
      <c r="D65" s="89">
        <f>IF(E65="","",E65-F65)</f>
        <v/>
      </c>
      <c r="E65" s="89" t="n">
        <v>1446</v>
      </c>
      <c r="F65" s="89" t="n">
        <v>0</v>
      </c>
      <c r="G65" s="90" t="inlineStr"/>
      <c r="H65" s="125" t="inlineStr">
        <is>
          <t>QE85Q8F</t>
        </is>
      </c>
      <c r="I65" s="89">
        <f>IF(J65="","",J65-K65)</f>
        <v/>
      </c>
      <c r="J65" s="89" t="n">
        <v>1249.95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1199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999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929.95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849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659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649.95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749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518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499.95</v>
      </c>
      <c r="K68" s="89" t="n">
        <v>0</v>
      </c>
      <c r="L68" s="90" t="inlineStr"/>
      <c r="M68" s="125" t="inlineStr"/>
      <c r="N68" s="89">
        <f>IF(O68="","",O68-P68)</f>
        <v/>
      </c>
      <c r="O68" s="89" t="inlineStr"/>
      <c r="P68" s="89" t="inlineStr"/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858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399</v>
      </c>
      <c r="F70" s="89" t="n">
        <v>0</v>
      </c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/>
      <c r="N70" s="95">
        <f>IF(O70="","",O70-P70)</f>
        <v/>
      </c>
      <c r="O70" s="89" t="inlineStr"/>
      <c r="P70" s="89" t="inlineStr"/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1316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QE75Q7F5AU</t>
        </is>
      </c>
      <c r="N73" s="89">
        <f>IF(O73="","",O73-P73)</f>
        <v/>
      </c>
      <c r="O73" s="89" t="n">
        <v>1637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QE65Q7F5AU</t>
        </is>
      </c>
      <c r="N74" s="89">
        <f>IF(O74="","",O74-P74)</f>
        <v/>
      </c>
      <c r="O74" s="89" t="n">
        <v>1228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/>
      <c r="D76" s="89">
        <f>IF(E76="","",E76-F76)</f>
        <v/>
      </c>
      <c r="E76" s="89" t="inlineStr"/>
      <c r="F76" s="89" t="inlineStr"/>
      <c r="G76" s="90" t="inlineStr"/>
      <c r="H76" s="125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779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609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799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666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662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/>
      <c r="I82" s="84">
        <f>IF(J82="","",J82-K82)</f>
        <v/>
      </c>
      <c r="J82" s="84" t="inlineStr"/>
      <c r="K82" s="84" t="inlineStr"/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399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385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43UA73006LA</t>
        </is>
      </c>
      <c r="N84" s="84">
        <f>IF(O84="","",O84-P84)</f>
        <v/>
      </c>
      <c r="O84" s="84" t="n">
        <v>452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949.95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949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748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1048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549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549.95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549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439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/>
      <c r="D90" s="89">
        <f>IF(E90="","",E90-F90)</f>
        <v/>
      </c>
      <c r="E90" s="89" t="inlineStr"/>
      <c r="F90" s="89" t="inlineStr"/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>
        <is>
          <t>UE43U8000FU</t>
        </is>
      </c>
      <c r="D91" s="89">
        <f>IF(E91="","",E91-F91)</f>
        <v/>
      </c>
      <c r="E91" s="89" t="n">
        <v>379</v>
      </c>
      <c r="F91" s="89" t="n">
        <v>0</v>
      </c>
      <c r="G91" s="90" t="inlineStr"/>
      <c r="H91" s="125" t="inlineStr"/>
      <c r="I91" s="89">
        <f>IF(J91="","",J91-K91)</f>
        <v/>
      </c>
      <c r="J91" s="89" t="inlineStr"/>
      <c r="K91" s="89" t="inlineStr"/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OLED83G67LW</t>
        </is>
      </c>
      <c r="N4" s="84">
        <f>IF(O4="","",O4-P4)</f>
        <v/>
      </c>
      <c r="O4" s="84" t="n">
        <v>5999</v>
      </c>
      <c r="P4" s="84" t="n">
        <v>1000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700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3430</v>
      </c>
      <c r="P6" s="84" t="n">
        <v>500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300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3799</v>
      </c>
      <c r="F9" s="84" t="n">
        <v>0</v>
      </c>
      <c r="G9" s="85">
        <f>IFERROR(D9/D4,"")</f>
        <v/>
      </c>
      <c r="H9" s="83" t="inlineStr">
        <is>
          <t>OLED83C67</t>
        </is>
      </c>
      <c r="I9" s="107">
        <f>IF(J9="","",J9-K9)</f>
        <v/>
      </c>
      <c r="J9" s="84" t="n">
        <v>3799.95</v>
      </c>
      <c r="K9" s="84" t="n">
        <v>0</v>
      </c>
      <c r="L9" s="85">
        <f>IFERROR(I9/I4,"")</f>
        <v/>
      </c>
      <c r="M9" s="83" t="inlineStr">
        <is>
          <t>OLED83C67LA</t>
        </is>
      </c>
      <c r="N9" s="103">
        <f>IF(O9="","",O9-P9)</f>
        <v/>
      </c>
      <c r="O9" s="84" t="n">
        <v>3499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2499</v>
      </c>
      <c r="F10" s="84" t="n">
        <v>0</v>
      </c>
      <c r="G10" s="85">
        <f>IFERROR(D10/D5,"")</f>
        <v/>
      </c>
      <c r="H10" s="83" t="inlineStr">
        <is>
          <t>OLED77C68</t>
        </is>
      </c>
      <c r="I10" s="108">
        <f>IF(J10="","",J10-K10)</f>
        <v/>
      </c>
      <c r="J10" s="84" t="n">
        <v>2999.95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2499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1999</v>
      </c>
      <c r="F11" s="84" t="n">
        <v>0</v>
      </c>
      <c r="G11" s="85">
        <f>IFERROR(D11/D6,"")</f>
        <v/>
      </c>
      <c r="H11" s="83" t="inlineStr">
        <is>
          <t>OLED65C68</t>
        </is>
      </c>
      <c r="I11" s="108">
        <f>IF(J11="","",J11-K11)</f>
        <v/>
      </c>
      <c r="J11" s="84" t="n">
        <v>1999.95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1999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1399</v>
      </c>
      <c r="F12" s="84" t="n">
        <v>0</v>
      </c>
      <c r="G12" s="85">
        <f>IFERROR(D12/D7,"")</f>
        <v/>
      </c>
      <c r="H12" s="83" t="inlineStr">
        <is>
          <t>OLED55C68</t>
        </is>
      </c>
      <c r="I12" s="108">
        <f>IF(J12="","",J12-K12)</f>
        <v/>
      </c>
      <c r="J12" s="84" t="n">
        <v>1599.95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2204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1299</v>
      </c>
      <c r="F13" s="84" t="n">
        <v>0</v>
      </c>
      <c r="G13" s="85">
        <f>IFERROR(D13/D7,"")</f>
        <v/>
      </c>
      <c r="H13" s="83" t="inlineStr">
        <is>
          <t>OLED48C68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1399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1199</v>
      </c>
      <c r="F14" s="84" t="n">
        <v>0</v>
      </c>
      <c r="G14" s="85">
        <f>IFERROR(D14/D7,"")</f>
        <v/>
      </c>
      <c r="H14" s="83" t="inlineStr">
        <is>
          <t>OLED42C68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OLED42C67LA</t>
        </is>
      </c>
      <c r="N14" s="84">
        <f>IF(O14="","",O14-P14)</f>
        <v/>
      </c>
      <c r="O14" s="84" t="n">
        <v>1199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2546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2043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1899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1294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979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1099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829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/>
      <c r="I22" s="109">
        <f>IF(J22="","",J22-K22)</f>
        <v/>
      </c>
      <c r="J22" s="89" t="inlineStr"/>
      <c r="K22" s="89" t="inlineStr"/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6718</v>
      </c>
      <c r="P22" s="89" t="n">
        <v>500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3849.95</v>
      </c>
      <c r="K23" s="89" t="n">
        <v>500</v>
      </c>
      <c r="L23" s="90" t="inlineStr"/>
      <c r="M23" s="125" t="inlineStr">
        <is>
          <t>QE77S99HATXZU</t>
        </is>
      </c>
      <c r="N23" s="89">
        <f>IF(O23="","",O23-P23)</f>
        <v/>
      </c>
      <c r="O23" s="89" t="n">
        <v>3999</v>
      </c>
      <c r="P23" s="89" t="n">
        <v>500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2599.95</v>
      </c>
      <c r="K24" s="89" t="n">
        <v>300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2999</v>
      </c>
      <c r="P24" s="89" t="n">
        <v>300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1999.95</v>
      </c>
      <c r="K25" s="89" t="n">
        <v>200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1999</v>
      </c>
      <c r="P25" s="89" t="n">
        <v>200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>
        <is>
          <t>QE77S95HFTXZU</t>
        </is>
      </c>
      <c r="N28" s="89">
        <f>IF(O28="","",O28-P28)</f>
        <v/>
      </c>
      <c r="O28" s="89" t="n">
        <v>4329</v>
      </c>
      <c r="P28" s="89" t="n">
        <v>500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300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4278</v>
      </c>
      <c r="P29" s="89" t="n">
        <v>300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/>
      <c r="I30" s="110">
        <f>IF(J30="","",J30-K30)</f>
        <v/>
      </c>
      <c r="J30" s="89" t="inlineStr"/>
      <c r="K30" s="89" t="inlineStr"/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3058</v>
      </c>
      <c r="P30" s="96" t="n">
        <v>200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3399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3199.95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3199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2699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2499.95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2500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1699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1699.95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1799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1375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1299.95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1499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1199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1199.95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1133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1149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1099.95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1100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3299.95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3093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2999.95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3579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1699.95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1784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>
        <is>
          <t>QE55S85HAEXZU</t>
        </is>
      </c>
      <c r="N42" s="89">
        <f>IF(O42="","",O42-P42)</f>
        <v/>
      </c>
      <c r="O42" s="89" t="n">
        <v>2082</v>
      </c>
      <c r="P42" s="89" t="n">
        <v>0</v>
      </c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1594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4299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1999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>
        <is>
          <t>86MRGB87B9B</t>
        </is>
      </c>
      <c r="N48" s="89">
        <f>IF(O48="","",O48-P48)</f>
        <v/>
      </c>
      <c r="O48" s="89" t="n">
        <v>1999</v>
      </c>
      <c r="P48" s="89" t="n">
        <v>0</v>
      </c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1599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1899.95</v>
      </c>
      <c r="K49" s="89" t="n">
        <v>0</v>
      </c>
      <c r="L49" s="90">
        <f>IFERROR(I49/I5,"")</f>
        <v/>
      </c>
      <c r="M49" s="88" t="inlineStr">
        <is>
          <t>75MRGB87B9B</t>
        </is>
      </c>
      <c r="N49" s="89">
        <f>IF(O49="","",O49-P49)</f>
        <v/>
      </c>
      <c r="O49" s="89" t="n">
        <v>1630</v>
      </c>
      <c r="P49" s="89" t="n">
        <v>0</v>
      </c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1349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1199.95</v>
      </c>
      <c r="K50" s="89" t="n">
        <v>0</v>
      </c>
      <c r="L50" s="90">
        <f>IFERROR(I50/I6,"")</f>
        <v/>
      </c>
      <c r="M50" s="88" t="inlineStr">
        <is>
          <t>65MRGB87B9B</t>
        </is>
      </c>
      <c r="N50" s="95">
        <f>IF(O50="","",O50-P50)</f>
        <v/>
      </c>
      <c r="O50" s="96" t="n">
        <v>1200</v>
      </c>
      <c r="P50" s="96" t="n">
        <v>0</v>
      </c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999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999.95</v>
      </c>
      <c r="K51" s="89" t="n">
        <v>0</v>
      </c>
      <c r="L51" s="90">
        <f>IFERROR(I51/I7,"")</f>
        <v/>
      </c>
      <c r="M51" s="88" t="inlineStr">
        <is>
          <t>55MRGB87B9B</t>
        </is>
      </c>
      <c r="N51" s="89">
        <f>IF(O51="","",O51-P51)</f>
        <v/>
      </c>
      <c r="O51" s="89" t="n">
        <v>999</v>
      </c>
      <c r="P51" s="89" t="n">
        <v>0</v>
      </c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849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849.95</v>
      </c>
      <c r="K52" s="89" t="n">
        <v>0</v>
      </c>
      <c r="L52" s="90">
        <f>IFERROR(I52/I7,"")</f>
        <v/>
      </c>
      <c r="M52" s="88" t="inlineStr">
        <is>
          <t>50MRGB86B9A</t>
        </is>
      </c>
      <c r="N52" s="89">
        <f>IF(O52="","",O52-P52)</f>
        <v/>
      </c>
      <c r="O52" s="89" t="n">
        <v>799</v>
      </c>
      <c r="P52" s="89" t="n">
        <v>0</v>
      </c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>
        <is>
          <t>86QNED86B6B</t>
        </is>
      </c>
      <c r="D59" s="84">
        <f>IF(E59="","",E59-F59)</f>
        <v/>
      </c>
      <c r="E59" s="84" t="n">
        <v>1599</v>
      </c>
      <c r="F59" s="84" t="n">
        <v>0</v>
      </c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>
        <is>
          <t>86QNED86B6B</t>
        </is>
      </c>
      <c r="N59" s="84">
        <f>IF(O59="","",O59-P59)</f>
        <v/>
      </c>
      <c r="O59" s="84" t="n">
        <v>1661</v>
      </c>
      <c r="P59" s="84" t="n">
        <v>0</v>
      </c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1399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999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699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769.95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649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749.95</v>
      </c>
      <c r="K63" s="84" t="n">
        <v>0</v>
      </c>
      <c r="L63" s="85">
        <f>IFERROR(I63/I7,"")</f>
        <v/>
      </c>
      <c r="M63" s="83" t="inlineStr">
        <is>
          <t>50QNED86B6B</t>
        </is>
      </c>
      <c r="N63" s="84">
        <f>IF(O63="","",O63-P63)</f>
        <v/>
      </c>
      <c r="O63" s="84" t="n">
        <v>670</v>
      </c>
      <c r="P63" s="84" t="n">
        <v>0</v>
      </c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429</v>
      </c>
      <c r="F64" s="84" t="n">
        <v>0</v>
      </c>
      <c r="G64" s="85">
        <f>IFERROR(D64/D7,"")</f>
        <v/>
      </c>
      <c r="H64" s="83" t="inlineStr"/>
      <c r="I64" s="84">
        <f>IF(J64="","",J64-K64)</f>
        <v/>
      </c>
      <c r="J64" s="84" t="inlineStr"/>
      <c r="K64" s="84" t="inlineStr"/>
      <c r="L64" s="85">
        <f>IFERROR(I64/I7,"")</f>
        <v/>
      </c>
      <c r="M64" s="83" t="inlineStr">
        <is>
          <t>43QNED86B6B</t>
        </is>
      </c>
      <c r="N64" s="84">
        <f>IF(O64="","",O64-P64)</f>
        <v/>
      </c>
      <c r="O64" s="84" t="n">
        <v>862</v>
      </c>
      <c r="P64" s="84" t="n">
        <v>0</v>
      </c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>
        <is>
          <t>65QNED71B6B</t>
        </is>
      </c>
      <c r="D68" s="103">
        <f>IF(E68="","",E68-F68)</f>
        <v/>
      </c>
      <c r="E68" s="104" t="n">
        <v>729</v>
      </c>
      <c r="F68" s="104" t="n">
        <v>0</v>
      </c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>
        <is>
          <t>55QNED71B6B</t>
        </is>
      </c>
      <c r="D69" s="84">
        <f>IF(E69="","",E69-F69)</f>
        <v/>
      </c>
      <c r="E69" s="84" t="n">
        <v>499</v>
      </c>
      <c r="F69" s="84" t="n">
        <v>0</v>
      </c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>
        <is>
          <t>50QNED71B6B</t>
        </is>
      </c>
      <c r="D70" s="84">
        <f>IF(E70="","",E70-F70)</f>
        <v/>
      </c>
      <c r="E70" s="84" t="n">
        <v>449</v>
      </c>
      <c r="F70" s="84" t="n">
        <v>0</v>
      </c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>
        <is>
          <t>43QNED71B6B</t>
        </is>
      </c>
      <c r="D71" s="84">
        <f>IF(E71="","",E71-F71)</f>
        <v/>
      </c>
      <c r="E71" s="84" t="n">
        <v>399</v>
      </c>
      <c r="F71" s="84" t="n">
        <v>0</v>
      </c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>
        <is>
          <t>85QNED70B6A</t>
        </is>
      </c>
      <c r="D73" s="84">
        <f>IF(E73="","",E73-F73)</f>
        <v/>
      </c>
      <c r="E73" s="84" t="n">
        <v>1299</v>
      </c>
      <c r="F73" s="84" t="n">
        <v>0</v>
      </c>
      <c r="G73" s="85">
        <f>IFERROR(D73/D4,"")</f>
        <v/>
      </c>
      <c r="H73" s="83" t="inlineStr">
        <is>
          <t>85QNED72B</t>
        </is>
      </c>
      <c r="I73" s="84">
        <f>IF(J73="","",J73-K73)</f>
        <v/>
      </c>
      <c r="J73" s="84" t="n">
        <v>1599.95</v>
      </c>
      <c r="K73" s="84" t="n">
        <v>0</v>
      </c>
      <c r="L73" s="85">
        <f>IFERROR(I73/I4,"")</f>
        <v/>
      </c>
      <c r="M73" s="83" t="inlineStr">
        <is>
          <t>85QNED70B6A</t>
        </is>
      </c>
      <c r="N73" s="84">
        <f>IF(O73="","",O73-P73)</f>
        <v/>
      </c>
      <c r="O73" s="84" t="n">
        <v>1829</v>
      </c>
      <c r="P73" s="84" t="n">
        <v>0</v>
      </c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999</v>
      </c>
      <c r="F74" s="84" t="n">
        <v>0</v>
      </c>
      <c r="G74" s="85">
        <f>IFERROR(D74/D5,"")</f>
        <v/>
      </c>
      <c r="H74" s="83" t="inlineStr">
        <is>
          <t>75QNED72B</t>
        </is>
      </c>
      <c r="I74" s="84">
        <f>IF(J74="","",J74-K74)</f>
        <v/>
      </c>
      <c r="J74" s="84" t="n">
        <v>1299.95</v>
      </c>
      <c r="K74" s="84" t="n">
        <v>0</v>
      </c>
      <c r="L74" s="85">
        <f>IFERROR(I74/I5,"")</f>
        <v/>
      </c>
      <c r="M74" s="83" t="inlineStr">
        <is>
          <t>75QNED70B6A</t>
        </is>
      </c>
      <c r="N74" s="84">
        <f>IF(O74="","",O74-P74)</f>
        <v/>
      </c>
      <c r="O74" s="84" t="n">
        <v>1030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65QNED72B</t>
        </is>
      </c>
      <c r="I75" s="84">
        <f>IF(J75="","",J75-K75)</f>
        <v/>
      </c>
      <c r="J75" s="84" t="n">
        <v>799.95</v>
      </c>
      <c r="K75" s="84" t="n">
        <v>0</v>
      </c>
      <c r="L75" s="85">
        <f>IFERROR(I75/I6,"")</f>
        <v/>
      </c>
      <c r="M75" s="83" t="inlineStr"/>
      <c r="N75" s="84">
        <f>IF(O75="","",O75-P75)</f>
        <v/>
      </c>
      <c r="O75" s="84" t="inlineStr"/>
      <c r="P75" s="84" t="inlineStr"/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55QNED72B</t>
        </is>
      </c>
      <c r="I76" s="103">
        <f>IF(J76="","",J76-K76)</f>
        <v/>
      </c>
      <c r="J76" s="84" t="n">
        <v>599.95</v>
      </c>
      <c r="K76" s="84" t="n">
        <v>0</v>
      </c>
      <c r="L76" s="85">
        <f>IFERROR(I76/I7,"")</f>
        <v/>
      </c>
      <c r="M76" s="83" t="inlineStr">
        <is>
          <t>55QNED70B6C</t>
        </is>
      </c>
      <c r="N76" s="103">
        <f>IF(O76="","",O76-P76)</f>
        <v/>
      </c>
      <c r="O76" s="84" t="n">
        <v>539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50QNED72B</t>
        </is>
      </c>
      <c r="I77" s="84">
        <f>IF(J77="","",J77-K77)</f>
        <v/>
      </c>
      <c r="J77" s="84" t="n">
        <v>559.95</v>
      </c>
      <c r="K77" s="84" t="n">
        <v>0</v>
      </c>
      <c r="L77" s="85">
        <f>IFERROR(I77/I7,"")</f>
        <v/>
      </c>
      <c r="M77" s="83" t="inlineStr">
        <is>
          <t>50QNED70B6C</t>
        </is>
      </c>
      <c r="N77" s="84">
        <f>IF(O77="","",O77-P77)</f>
        <v/>
      </c>
      <c r="O77" s="84" t="n">
        <v>449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43QNED72B</t>
        </is>
      </c>
      <c r="I78" s="84">
        <f>IF(J78="","",J78-K78)</f>
        <v/>
      </c>
      <c r="J78" s="84" t="n">
        <v>499.95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344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/>
      <c r="I80" s="89">
        <f>IF(J80="","",J80-K80)</f>
        <v/>
      </c>
      <c r="J80" s="89" t="inlineStr"/>
      <c r="K80" s="89" t="inlineStr"/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6718</v>
      </c>
      <c r="P80" s="89" t="n">
        <v>500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500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5498</v>
      </c>
      <c r="P81" s="89" t="n">
        <v>500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/>
      <c r="I82" s="95">
        <f>IF(J82="","",J82-K82)</f>
        <v/>
      </c>
      <c r="J82" s="89" t="inlineStr"/>
      <c r="K82" s="89" t="inlineStr"/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4278</v>
      </c>
      <c r="P82" s="89" t="n">
        <v>300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2879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2999.95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2879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2000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1999.95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2299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1600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1599.95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1699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1200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1199.95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1399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4376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4399.95</v>
      </c>
      <c r="K91" s="89" t="n">
        <v>0</v>
      </c>
      <c r="L91" s="90" t="inlineStr"/>
      <c r="M91" s="125" t="inlineStr">
        <is>
          <t>QE100QN80HUXZU</t>
        </is>
      </c>
      <c r="N91" s="89">
        <f>IF(O91="","",O91-P91)</f>
        <v/>
      </c>
      <c r="O91" s="89" t="n">
        <v>4330</v>
      </c>
      <c r="P91" s="89" t="n">
        <v>0</v>
      </c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2543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1999.95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2543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2300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2299.95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2815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1349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1349.95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1349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1078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1099.95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1078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939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1155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1099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1099.95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1099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899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899.95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899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599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599.95</v>
      </c>
      <c r="K114" s="89" t="n">
        <v>0</v>
      </c>
      <c r="L114" s="90" t="inlineStr"/>
      <c r="M114" s="125" t="inlineStr">
        <is>
          <t>UE65M70HAU</t>
        </is>
      </c>
      <c r="N114" s="89">
        <f>IF(O114="","",O114-P114)</f>
        <v/>
      </c>
      <c r="O114" s="89" t="n">
        <v>599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499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499.95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499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459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449.95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449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399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399.95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453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>
        <is>
          <t>UE85U8090H</t>
        </is>
      </c>
      <c r="D126" s="89">
        <f>IF(E126="","",E126-F126)</f>
        <v/>
      </c>
      <c r="E126" s="89" t="n">
        <v>1078</v>
      </c>
      <c r="F126" s="89" t="n">
        <v>0</v>
      </c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1299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>
        <is>
          <t>UE75U8090H</t>
        </is>
      </c>
      <c r="D127" s="89">
        <f>IF(E127="","",E127-F127)</f>
        <v/>
      </c>
      <c r="E127" s="89" t="n">
        <v>850</v>
      </c>
      <c r="F127" s="89" t="n">
        <v>0</v>
      </c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849.95</v>
      </c>
      <c r="K127" s="89" t="n">
        <v>0</v>
      </c>
      <c r="L127" s="90" t="inlineStr"/>
      <c r="M127" s="125" t="inlineStr">
        <is>
          <t>UE75U8070HUXXN</t>
        </is>
      </c>
      <c r="N127" s="96">
        <f>IF(O127="","",O127-P127)</f>
        <v/>
      </c>
      <c r="O127" s="89" t="n">
        <v>1472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>
        <is>
          <t>UE65U8090H</t>
        </is>
      </c>
      <c r="D128" s="89">
        <f>IF(E128="","",E128-F128)</f>
        <v/>
      </c>
      <c r="E128" s="89" t="n">
        <v>799</v>
      </c>
      <c r="F128" s="89" t="n">
        <v>0</v>
      </c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699.95</v>
      </c>
      <c r="K128" s="89" t="n">
        <v>0</v>
      </c>
      <c r="L128" s="90" t="inlineStr"/>
      <c r="M128" s="125" t="inlineStr">
        <is>
          <t>UE65U8070H</t>
        </is>
      </c>
      <c r="N128" s="96">
        <f>IF(O128="","",O128-P128)</f>
        <v/>
      </c>
      <c r="O128" s="89" t="n">
        <v>1106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>
        <is>
          <t>UE55U8090H</t>
        </is>
      </c>
      <c r="D129" s="89">
        <f>IF(E129="","",E129-F129)</f>
        <v/>
      </c>
      <c r="E129" s="89" t="n">
        <v>449</v>
      </c>
      <c r="F129" s="89" t="n">
        <v>0</v>
      </c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449.95</v>
      </c>
      <c r="K129" s="89" t="n">
        <v>0</v>
      </c>
      <c r="L129" s="90" t="inlineStr"/>
      <c r="M129" s="125" t="inlineStr">
        <is>
          <t>UE55U8070H</t>
        </is>
      </c>
      <c r="N129" s="96">
        <f>IF(O129="","",O129-P129)</f>
        <v/>
      </c>
      <c r="O129" s="89" t="n">
        <v>862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>
        <is>
          <t>UE50U8090H</t>
        </is>
      </c>
      <c r="D130" s="89">
        <f>IF(E130="","",E130-F130)</f>
        <v/>
      </c>
      <c r="E130" s="89" t="n">
        <v>439</v>
      </c>
      <c r="F130" s="89" t="n">
        <v>0</v>
      </c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449.95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439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>
        <is>
          <t>UE43U8090H</t>
        </is>
      </c>
      <c r="D131" s="89">
        <f>IF(E131="","",E131-F131)</f>
        <v/>
      </c>
      <c r="E131" s="89" t="n">
        <v>499</v>
      </c>
      <c r="F131" s="89" t="n">
        <v>0</v>
      </c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480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2026-09-03T07:08:43Z</dcterms:modified>
  <cp:lastModifiedBy>박대호/책임/TV유럽영업2팀</cp:lastModifiedBy>
</cp:coreProperties>
</file>